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Lookup" sheetId="1" state="visible" r:id="rId1"/>
    <sheet name="A3" sheetId="2" state="visible" r:id="rId2"/>
    <sheet name="A3 (USD reference)" sheetId="3" state="visible" r:id="rId3"/>
    <sheet name="FX Rates (USD-INR)" sheetId="4" state="visible" r:id="rId4"/>
    <sheet name="A2 Custodial Account" sheetId="5" state="visible" r:id="rId5"/>
    <sheet name="Schedule OS - CY2025" sheetId="6" state="visible" r:id="rId6"/>
    <sheet name="Schedule OS - FY2025-26" sheetId="7" state="visible" r:id="rId7"/>
    <sheet name="FTC - Withholding Tax" sheetId="8" state="visible" r:id="rId8"/>
    <sheet name="Capital Gains FY2025-26" sheetId="9" state="visible" r:id="rId9"/>
    <sheet name="Capital Gains FY2024-25" sheetId="10" state="visible" r:id="rId10"/>
    <sheet name="FIFO Lots Register" sheetId="11" state="visible" r:id="rId11"/>
    <sheet name="CG Summary by Symbol" sheetId="12" state="visible" r:id="rId12"/>
    <sheet name="Notes for C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2" customWidth="1" min="3" max="3"/>
    <col width="48" customWidth="1" min="4" max="4"/>
    <col width="10" customWidth="1" min="5" max="5"/>
  </cols>
  <sheetData>
    <row r="1">
      <c r="A1" t="inlineStr">
        <is>
          <t>EDITABLE FX LOOKUP — change rates in column B/C; capital-gain sheets recalculate via VLOOKUP. Rule 115: use TT Buy on last day of month preceding the month of sale / acquisition.</t>
        </is>
      </c>
    </row>
    <row r="2">
      <c r="A2" t="inlineStr">
        <is>
          <t>Table range for VLOOKUP: A4:C26</t>
        </is>
      </c>
    </row>
    <row r="3">
      <c r="A3" s="1" t="inlineStr">
        <is>
          <t>Rate Date (month-end)</t>
        </is>
      </c>
      <c r="B3" s="1" t="inlineStr">
        <is>
          <t>USD/INR (SBI TT Buy)</t>
        </is>
      </c>
      <c r="C3" s="1" t="inlineStr">
        <is>
          <t>EUR/INR (SBI TT Buy)</t>
        </is>
      </c>
      <c r="D3" s="1" t="inlineStr">
        <is>
          <t>Notes</t>
        </is>
      </c>
    </row>
    <row r="4">
      <c r="A4" s="2" t="n">
        <v>45535</v>
      </c>
      <c r="B4" s="3" t="n">
        <v>83.5</v>
      </c>
      <c r="C4" s="3" t="n">
        <v>91.72</v>
      </c>
      <c r="D4" t="inlineStr">
        <is>
          <t>Month-end card — replace with exact SBI card rate if different</t>
        </is>
      </c>
    </row>
    <row r="5">
      <c r="A5" s="2" t="n">
        <v>45565</v>
      </c>
      <c r="B5" s="3" t="n">
        <v>83.3</v>
      </c>
      <c r="C5" s="3" t="n">
        <v>92.34</v>
      </c>
      <c r="D5" t="inlineStr">
        <is>
          <t>Month-end card — replace with exact SBI card rate if different</t>
        </is>
      </c>
    </row>
    <row r="6">
      <c r="A6" s="2" t="n">
        <v>45596</v>
      </c>
      <c r="B6" s="3" t="n">
        <v>83.68000000000001</v>
      </c>
      <c r="C6" s="3" t="n">
        <v>90.06999999999999</v>
      </c>
      <c r="D6" t="inlineStr">
        <is>
          <t>Month-end card — replace with exact SBI card rate if different</t>
        </is>
      </c>
    </row>
    <row r="7">
      <c r="A7" s="2" t="n">
        <v>45626</v>
      </c>
      <c r="B7" s="3" t="n">
        <v>84.15000000000001</v>
      </c>
      <c r="C7" s="3" t="n">
        <v>88.26000000000001</v>
      </c>
      <c r="D7" t="inlineStr">
        <is>
          <t>Month-end card — replace with exact SBI card rate if different</t>
        </is>
      </c>
    </row>
    <row r="8">
      <c r="A8" s="2" t="n">
        <v>45657</v>
      </c>
      <c r="B8" s="3" t="n">
        <v>85.2</v>
      </c>
      <c r="C8" s="3" t="n">
        <v>87.93000000000001</v>
      </c>
      <c r="D8" t="inlineStr">
        <is>
          <t>Month-end card — replace with exact SBI card rate if different</t>
        </is>
      </c>
    </row>
    <row r="9">
      <c r="A9" s="2" t="n">
        <v>45688</v>
      </c>
      <c r="B9" s="3" t="n">
        <v>86.2</v>
      </c>
      <c r="C9" s="3" t="n">
        <v>88.78</v>
      </c>
      <c r="D9" t="inlineStr">
        <is>
          <t>Month-end card — replace with exact SBI card rate if different</t>
        </is>
      </c>
    </row>
    <row r="10">
      <c r="A10" s="2" t="n">
        <v>45716</v>
      </c>
      <c r="B10" s="3" t="n">
        <v>86.95</v>
      </c>
      <c r="C10" s="3" t="n">
        <v>89.55</v>
      </c>
      <c r="D10" t="inlineStr">
        <is>
          <t>Month-end card — replace with exact SBI card rate if different</t>
        </is>
      </c>
    </row>
    <row r="11">
      <c r="A11" s="2" t="n">
        <v>45745</v>
      </c>
      <c r="B11" s="3" t="n">
        <v>85.09999999999999</v>
      </c>
      <c r="C11" s="3" t="n"/>
      <c r="D11" t="inlineStr">
        <is>
          <t>Month-end card — replace with exact SBI card rate if different</t>
        </is>
      </c>
    </row>
    <row r="12">
      <c r="A12" s="2" t="n">
        <v>45747</v>
      </c>
      <c r="B12" s="3" t="n">
        <v>85.09999999999999</v>
      </c>
      <c r="C12" s="3" t="n">
        <v>91.86</v>
      </c>
      <c r="D12" t="inlineStr">
        <is>
          <t>Month-end card — replace with exact SBI card rate if different</t>
        </is>
      </c>
    </row>
    <row r="13">
      <c r="A13" s="2" t="n">
        <v>45777</v>
      </c>
      <c r="B13" s="3" t="n">
        <v>84.25</v>
      </c>
      <c r="C13" s="3" t="n">
        <v>94.97</v>
      </c>
      <c r="D13" t="inlineStr">
        <is>
          <t>Month-end card — replace with exact SBI card rate if different</t>
        </is>
      </c>
    </row>
    <row r="14">
      <c r="A14" s="2" t="n">
        <v>45808</v>
      </c>
      <c r="B14" s="3" t="n">
        <v>85.09999999999999</v>
      </c>
      <c r="C14" s="3" t="n">
        <v>95.78</v>
      </c>
      <c r="D14" t="inlineStr">
        <is>
          <t>Month-end card — replace with exact SBI card rate if different</t>
        </is>
      </c>
    </row>
    <row r="15">
      <c r="A15" s="2" t="n">
        <v>45838</v>
      </c>
      <c r="B15" s="3" t="n">
        <v>85.09999999999999</v>
      </c>
      <c r="C15" s="3" t="n">
        <v>98.92</v>
      </c>
      <c r="D15" t="inlineStr">
        <is>
          <t>Month-end card — replace with exact SBI card rate if different</t>
        </is>
      </c>
    </row>
    <row r="16">
      <c r="A16" s="2" t="n">
        <v>45869</v>
      </c>
      <c r="B16" s="3" t="n">
        <v>87.15000000000001</v>
      </c>
      <c r="C16" s="3" t="n">
        <v>99.02</v>
      </c>
      <c r="D16" t="inlineStr">
        <is>
          <t>Month-end card — replace with exact SBI card rate if different</t>
        </is>
      </c>
    </row>
    <row r="17">
      <c r="A17" s="2" t="n">
        <v>45899</v>
      </c>
      <c r="B17" s="3" t="n">
        <v>87.7</v>
      </c>
      <c r="C17" s="3" t="n"/>
      <c r="D17" t="inlineStr">
        <is>
          <t>Month-end card — replace with exact SBI card rate if different</t>
        </is>
      </c>
    </row>
    <row r="18">
      <c r="A18" s="2" t="n">
        <v>45900</v>
      </c>
      <c r="B18" s="3" t="n">
        <v>87.7</v>
      </c>
      <c r="C18" s="3" t="n">
        <v>101.7</v>
      </c>
      <c r="D18" t="inlineStr">
        <is>
          <t>Month-end card — replace with exact SBI card rate if different</t>
        </is>
      </c>
    </row>
    <row r="19">
      <c r="A19" s="2" t="n">
        <v>45930</v>
      </c>
      <c r="B19" s="3" t="n">
        <v>88.34999999999999</v>
      </c>
      <c r="C19" s="3" t="n">
        <v>103.09</v>
      </c>
      <c r="D19" t="inlineStr">
        <is>
          <t>Month-end card — replace with exact SBI card rate if different</t>
        </is>
      </c>
    </row>
    <row r="20">
      <c r="A20" s="2" t="n">
        <v>45961</v>
      </c>
      <c r="B20" s="3" t="n">
        <v>88.2</v>
      </c>
      <c r="C20" s="3" t="n">
        <v>101.23</v>
      </c>
      <c r="D20" t="inlineStr">
        <is>
          <t>Month-end card — replace with exact SBI card rate if different</t>
        </is>
      </c>
    </row>
    <row r="21">
      <c r="A21" s="2" t="n">
        <v>45990</v>
      </c>
      <c r="B21" s="3" t="n">
        <v>88.95</v>
      </c>
      <c r="C21" s="3" t="n"/>
      <c r="D21" t="inlineStr">
        <is>
          <t>Month-end card — replace with exact SBI card rate if different</t>
        </is>
      </c>
    </row>
    <row r="22">
      <c r="A22" s="2" t="n">
        <v>45991</v>
      </c>
      <c r="B22" s="3" t="n">
        <v>88.95</v>
      </c>
      <c r="C22" s="3" t="n">
        <v>102.4</v>
      </c>
      <c r="D22" t="inlineStr">
        <is>
          <t>Month-end card — replace with exact SBI card rate if different</t>
        </is>
      </c>
    </row>
    <row r="23">
      <c r="A23" s="2" t="n">
        <v>46022</v>
      </c>
      <c r="B23" s="3" t="n">
        <v>89.47</v>
      </c>
      <c r="C23" s="3" t="n">
        <v>104.2</v>
      </c>
      <c r="D23" t="inlineStr">
        <is>
          <t>Month-end card — replace with exact SBI card rate if different</t>
        </is>
      </c>
    </row>
    <row r="24">
      <c r="A24" s="2" t="n">
        <v>46053</v>
      </c>
      <c r="B24" s="3" t="n">
        <v>91.34999999999999</v>
      </c>
      <c r="C24" s="3" t="n">
        <v>105</v>
      </c>
      <c r="D24" t="inlineStr">
        <is>
          <t>Month-end card — replace with exact SBI card rate if different</t>
        </is>
      </c>
    </row>
    <row r="25">
      <c r="A25" s="2" t="n">
        <v>46081</v>
      </c>
      <c r="B25" s="3" t="n">
        <v>90.56</v>
      </c>
      <c r="C25" s="3" t="n">
        <v>104.5</v>
      </c>
      <c r="D25" t="inlineStr">
        <is>
          <t>Month-end card — replace with exact SBI card rate if different</t>
        </is>
      </c>
    </row>
    <row r="26">
      <c r="A26" s="2" t="n">
        <v>46112</v>
      </c>
      <c r="B26" s="3" t="n">
        <v>93.15000000000001</v>
      </c>
      <c r="C26" s="3" t="n">
        <v>106</v>
      </c>
      <c r="D26" t="inlineStr">
        <is>
          <t>Month-end card — replace with exact SBI card rate if different</t>
        </is>
      </c>
    </row>
    <row r="27"/>
    <row r="28">
      <c r="A28" t="inlineStr">
        <is>
          <t>FCY→USD cross rates (IBKR 31-Dec-2025 close — edit if using trade-date FX)</t>
        </is>
      </c>
    </row>
    <row r="29">
      <c r="A29" s="1" t="inlineStr">
        <is>
          <t>Currency</t>
        </is>
      </c>
      <c r="B29" s="1" t="inlineStr">
        <is>
          <t>Units per 1 FCY → USD</t>
        </is>
      </c>
    </row>
    <row r="30">
      <c r="A30" t="inlineStr">
        <is>
          <t>DKK</t>
        </is>
      </c>
      <c r="B30" s="3" t="n">
        <v>0.15726</v>
      </c>
    </row>
    <row r="31">
      <c r="A31" t="inlineStr">
        <is>
          <t>EUR</t>
        </is>
      </c>
      <c r="B31" s="3" t="n">
        <v>1.1746</v>
      </c>
    </row>
    <row r="32">
      <c r="A32" t="inlineStr">
        <is>
          <t>HKD</t>
        </is>
      </c>
      <c r="B32" s="3" t="n">
        <v>0.12849</v>
      </c>
    </row>
    <row r="33">
      <c r="A33" t="inlineStr">
        <is>
          <t>JPY</t>
        </is>
      </c>
      <c r="B33" s="3" t="n">
        <v>0.0063827</v>
      </c>
    </row>
    <row r="34">
      <c r="A34" t="inlineStr">
        <is>
          <t>USD</t>
        </is>
      </c>
      <c r="B34" s="3" t="n">
        <v>1</v>
      </c>
    </row>
    <row r="35"/>
    <row r="36">
      <c r="A36" t="inlineStr">
        <is>
          <t>Yellow/input cells on CG sheets: Sale/Cost FCY, Comm USD, FX rates. All P&amp;L columns are formulas.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37" customWidth="1" min="4" max="4"/>
    <col width="10" customWidth="1" min="5" max="5"/>
    <col width="39" customWidth="1" min="6" max="6"/>
    <col width="32" customWidth="1" min="7" max="7"/>
    <col width="33" customWidth="1" min="8" max="8"/>
    <col width="44" customWidth="1" min="9" max="9"/>
    <col width="17" customWidth="1" min="10" max="10"/>
    <col width="48" customWidth="1" min="11" max="11"/>
    <col width="48" customWidth="1" min="12" max="12"/>
  </cols>
  <sheetData>
    <row r="1">
      <c r="A1" t="inlineStr">
        <is>
          <t>A3. Details of Foreign Equity and Debt Interest held (including any beneficial interest) in any entity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entity</t>
        </is>
      </c>
      <c r="D2" s="1" t="inlineStr">
        <is>
          <t>Address of entity</t>
        </is>
      </c>
      <c r="E2" s="1" t="inlineStr">
        <is>
          <t>ZIP code</t>
        </is>
      </c>
      <c r="F2" s="1" t="inlineStr">
        <is>
          <t>Nature of entity</t>
        </is>
      </c>
      <c r="G2" s="1" t="inlineStr">
        <is>
          <t>Date of acquiring the interest</t>
        </is>
      </c>
      <c r="H2" s="1" t="inlineStr">
        <is>
          <t>Initial value of the investment</t>
        </is>
      </c>
      <c r="I2" s="1" t="inlineStr">
        <is>
          <t>Peak value of investment during the period</t>
        </is>
      </c>
      <c r="J2" s="1" t="inlineStr">
        <is>
          <t>Closing balance</t>
        </is>
      </c>
      <c r="K2" s="1" t="inlineStr">
        <is>
          <t>Total gross amount paid/credited with respect to the holding during the period</t>
        </is>
      </c>
      <c r="L2" s="1" t="inlineStr">
        <is>
          <t>Total gross proceeds from sale or redemption of investment during the period</t>
        </is>
      </c>
    </row>
    <row r="3"/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</row>
    <row r="5">
      <c r="A5" t="inlineStr">
        <is>
          <t>United States of America</t>
        </is>
      </c>
      <c r="B5" t="n">
        <v>2</v>
      </c>
      <c r="C5" t="inlineStr">
        <is>
          <t>AVGO</t>
        </is>
      </c>
      <c r="D5" t="inlineStr">
        <is>
          <t>3421 Hillview Avenue, Palo Alto, CA</t>
        </is>
      </c>
      <c r="E5" t="inlineStr">
        <is>
          <t>94304</t>
        </is>
      </c>
      <c r="F5" t="inlineStr">
        <is>
          <t>Listed Foreign Equity Share (Company)</t>
        </is>
      </c>
      <c r="G5" t="inlineStr">
        <is>
          <t>2025-12-18</t>
        </is>
      </c>
      <c r="H5" t="n">
        <v>1395892</v>
      </c>
      <c r="I5" t="n">
        <v>7292252</v>
      </c>
      <c r="J5" t="n">
        <v>7292252</v>
      </c>
      <c r="K5" t="n">
        <v>14454</v>
      </c>
      <c r="L5" t="n">
        <v>0</v>
      </c>
    </row>
    <row r="6"/>
    <row r="7">
      <c r="G7" t="inlineStr">
        <is>
          <t>TOTAL (Rs.)</t>
        </is>
      </c>
      <c r="H7" s="4" t="n">
        <v>1395892</v>
      </c>
      <c r="I7" s="4" t="n">
        <v>7292252</v>
      </c>
      <c r="J7" s="4" t="n">
        <v>7292252</v>
      </c>
      <c r="K7" s="4" t="n">
        <v>14454</v>
      </c>
      <c r="L7" s="4" t="n">
        <v>0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0" customWidth="1" min="4" max="4"/>
    <col width="14" customWidth="1" min="5" max="5"/>
    <col width="39" customWidth="1" min="6" max="6"/>
    <col width="11" customWidth="1" min="7" max="7"/>
    <col width="21" customWidth="1" min="8" max="8"/>
    <col width="21" customWidth="1" min="9" max="9"/>
    <col width="18" customWidth="1" min="10" max="10"/>
    <col width="21" customWidth="1" min="11" max="11"/>
    <col width="24" customWidth="1" min="12" max="12"/>
    <col width="21" customWidth="1" min="13" max="13"/>
  </cols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Country Code</t>
        </is>
      </c>
      <c r="D1" s="1" t="inlineStr">
        <is>
          <t>Symbol</t>
        </is>
      </c>
      <c r="E1" s="1" t="inlineStr">
        <is>
          <t>Description</t>
        </is>
      </c>
      <c r="F1" s="1" t="inlineStr">
        <is>
          <t>Nature</t>
        </is>
      </c>
      <c r="G1" s="1" t="inlineStr">
        <is>
          <t>Qty Close</t>
        </is>
      </c>
      <c r="H1" s="1" t="inlineStr">
        <is>
          <t>Date of Acquisition</t>
        </is>
      </c>
      <c r="I1" s="1" t="inlineStr">
        <is>
          <t>Initial Value (USD)</t>
        </is>
      </c>
      <c r="J1" s="1" t="inlineStr">
        <is>
          <t>Peak Value (USD)</t>
        </is>
      </c>
      <c r="K1" s="1" t="inlineStr">
        <is>
          <t>Closing Value (USD)</t>
        </is>
      </c>
      <c r="L1" s="1" t="inlineStr">
        <is>
          <t>Dividends CY2025 (USD)</t>
        </is>
      </c>
      <c r="M1" s="1" t="inlineStr">
        <is>
          <t>Sale Proceeds (USD)</t>
        </is>
      </c>
    </row>
    <row r="2">
      <c r="A2" t="n">
        <v>1</v>
      </c>
      <c r="B2" t="inlineStr">
        <is>
          <t>United States of America</t>
        </is>
      </c>
      <c r="C2" t="n">
        <v>2</v>
      </c>
      <c r="D2" t="inlineStr">
        <is>
          <t>AVGO</t>
        </is>
      </c>
      <c r="E2" t="inlineStr">
        <is>
          <t>Broadcom Inc</t>
        </is>
      </c>
      <c r="F2" t="inlineStr">
        <is>
          <t>Listed Foreign Equity Share (Company)</t>
        </is>
      </c>
      <c r="G2" t="n">
        <v>250</v>
      </c>
      <c r="H2" t="inlineStr">
        <is>
          <t>2025-12-18</t>
        </is>
      </c>
      <c r="I2" t="n">
        <v>15693</v>
      </c>
      <c r="J2" t="n">
        <v>81505</v>
      </c>
      <c r="K2" t="n">
        <v>81505</v>
      </c>
      <c r="L2" t="n">
        <v>162.5</v>
      </c>
      <c r="M2" t="n">
        <v>0</v>
      </c>
    </row>
    <row r="3">
      <c r="H3" t="inlineStr">
        <is>
          <t>TOTAL (USD)</t>
        </is>
      </c>
      <c r="I3" t="n">
        <v>15693</v>
      </c>
      <c r="J3" t="n">
        <v>81505</v>
      </c>
      <c r="K3" t="n">
        <v>81505</v>
      </c>
      <c r="L3" t="n">
        <v>162.5</v>
      </c>
      <c r="M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5" customWidth="1" min="3" max="3"/>
    <col width="48" customWidth="1" min="4" max="4"/>
  </cols>
  <sheetData>
    <row r="1">
      <c r="A1" t="inlineStr">
        <is>
          <t>USD / INR SBI TT Buying rates used (month-end card rates — CA to verify exact date rates). Prefer editing 'FX Lookup' sheet for live CG formulas.</t>
        </is>
      </c>
    </row>
    <row r="2"/>
    <row r="3">
      <c r="A3" s="1" t="inlineStr">
        <is>
          <t>Date</t>
        </is>
      </c>
      <c r="B3" s="1" t="inlineStr">
        <is>
          <t>Purpose</t>
        </is>
      </c>
      <c r="C3" s="1" t="inlineStr">
        <is>
          <t>USD/INR (Rs.)</t>
        </is>
      </c>
      <c r="D3" s="1" t="inlineStr">
        <is>
          <t>Source</t>
        </is>
      </c>
    </row>
    <row r="4">
      <c r="A4" s="2" t="n">
        <v>45657</v>
      </c>
      <c r="B4" t="inlineStr">
        <is>
          <t>Initial value for securities held on 01-Jan-2025</t>
        </is>
      </c>
      <c r="C4" t="n">
        <v>85.2</v>
      </c>
      <c r="D4" t="inlineStr">
        <is>
          <t>SBI TTBR month-end compilation — verify on sbi.co.in</t>
        </is>
      </c>
    </row>
    <row r="5">
      <c r="A5" s="2" t="n">
        <v>46022</v>
      </c>
      <c r="B5" t="inlineStr">
        <is>
          <t>Closing balance (year-end) / peak proxy</t>
        </is>
      </c>
      <c r="C5" t="n">
        <v>89.47</v>
      </c>
      <c r="D5" t="inlineStr">
        <is>
          <t>SBI TTBR month-end compilation — verify on sbi.co.in</t>
        </is>
      </c>
    </row>
    <row r="6">
      <c r="A6" s="2" t="n">
        <v>45747</v>
      </c>
      <c r="B6" t="inlineStr">
        <is>
          <t>Rule 115 rate for Apr-2025 events</t>
        </is>
      </c>
      <c r="C6" t="n">
        <v>85.09999999999999</v>
      </c>
      <c r="D6" t="inlineStr">
        <is>
          <t>SBI TTBR month-end compilation — verify on sbi.co.in</t>
        </is>
      </c>
    </row>
    <row r="7">
      <c r="A7" s="2" t="n">
        <v>45838</v>
      </c>
      <c r="B7" t="inlineStr">
        <is>
          <t>Rule 115 rate for Jul-2025 events</t>
        </is>
      </c>
      <c r="C7" t="n">
        <v>85.09999999999999</v>
      </c>
      <c r="D7" t="inlineStr">
        <is>
          <t>SBI TTBR month-end compilation — verify on sbi.co.in</t>
        </is>
      </c>
    </row>
    <row r="8">
      <c r="A8" s="2" t="n">
        <v>45869</v>
      </c>
      <c r="B8" t="inlineStr">
        <is>
          <t>Rule 115 rate for Aug-2025 events</t>
        </is>
      </c>
      <c r="C8" t="n">
        <v>87.15000000000001</v>
      </c>
      <c r="D8" t="inlineStr">
        <is>
          <t>SBI TTBR month-end compilation — verify on sbi.co.in</t>
        </is>
      </c>
    </row>
    <row r="9">
      <c r="A9" s="2" t="n">
        <v>45991</v>
      </c>
      <c r="B9" t="inlineStr">
        <is>
          <t>Rule 115 rate for Dec-2025 events</t>
        </is>
      </c>
      <c r="C9" t="n">
        <v>88.95</v>
      </c>
      <c r="D9" t="inlineStr">
        <is>
          <t>SBI TTBR month-end compilation — verify on sbi.co.in</t>
        </is>
      </c>
    </row>
    <row r="10">
      <c r="A10" s="2" t="n">
        <v>46081</v>
      </c>
      <c r="B10" t="inlineStr">
        <is>
          <t>Rule 115 rate for Mar-2026 events</t>
        </is>
      </c>
      <c r="C10" t="n">
        <v>90.56</v>
      </c>
      <c r="D10" t="inlineStr">
        <is>
          <t>SBI TTBR month-end compilation — verify on sbi.co.in</t>
        </is>
      </c>
    </row>
    <row r="11"/>
    <row r="12">
      <c r="A12" t="inlineStr">
        <is>
          <t>NOTES:</t>
        </is>
      </c>
    </row>
    <row r="13">
      <c r="A13" t="inlineStr">
        <is>
          <t>1. Schedule FA: convert at SBI TT Buy on acquisition date (initial), peak date (peak), and 31-Dec (closing).</t>
        </is>
      </c>
    </row>
    <row r="14">
      <c r="A14" t="inlineStr">
        <is>
          <t>2. Income (dividends/interest/capital gains): Rule 115 — TT Buy on last day of month preceding the month of receipt/transfer.</t>
        </is>
      </c>
    </row>
    <row r="15">
      <c r="A15" t="inlineStr">
        <is>
          <t>3. Non-USD holdings converted to USD using IBKR 31-Dec-2025 FX (EUR 1.1746, HKD 0.12849, JPY 0.0063827, DKK 0.15726), then to INR — editable on CG sheets.</t>
        </is>
      </c>
    </row>
    <row r="16">
      <c r="A16" t="inlineStr">
        <is>
          <t>4. Peak per security estimated as MAX(initial, closing, sale proceeds) — IBKR Activity Statement does not publish daily per-symbol peaks.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8" customWidth="1" min="3" max="3"/>
    <col width="40" customWidth="1" min="4" max="4"/>
    <col width="31" customWidth="1" min="5" max="5"/>
    <col width="31" customWidth="1" min="6" max="6"/>
    <col width="34" customWidth="1" min="7" max="7"/>
    <col width="34" customWidth="1" min="8" max="8"/>
  </cols>
  <sheetData>
    <row r="1">
      <c r="A1" t="inlineStr">
        <is>
          <t>A2. Details of Foreign Custodial Accounts held (including any beneficial interest)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Financial Institution</t>
        </is>
      </c>
      <c r="D2" s="1" t="inlineStr">
        <is>
          <t>Address of Financial Institution</t>
        </is>
      </c>
      <c r="E2" s="1" t="inlineStr">
        <is>
          <t>ZIP Code</t>
        </is>
      </c>
      <c r="F2" s="1" t="inlineStr">
        <is>
          <t>Account Number</t>
        </is>
      </c>
      <c r="G2" s="1" t="inlineStr">
        <is>
          <t>Status</t>
        </is>
      </c>
      <c r="H2" s="1" t="inlineStr">
        <is>
          <t>Account opening date</t>
        </is>
      </c>
    </row>
    <row r="3">
      <c r="A3" t="inlineStr">
        <is>
          <t>United States of America</t>
        </is>
      </c>
      <c r="B3" t="n">
        <v>2</v>
      </c>
      <c r="C3" t="inlineStr">
        <is>
          <t>Interactive Brokers LLC (Clearing Broker), Advisor Client via Interactive Brokers (India) / Investment Advisor: MATCAP WEALTH ADVISORS PRIVATE LIMITED</t>
        </is>
      </c>
      <c r="D3" t="inlineStr">
        <is>
          <t>One Pickwick Plaza, Greenwich, CT, USA</t>
        </is>
      </c>
      <c r="E3" t="inlineStr">
        <is>
          <t>06830</t>
        </is>
      </c>
      <c r="F3" t="inlineStr">
        <is>
          <t>U16003525</t>
        </is>
      </c>
      <c r="G3" t="inlineStr">
        <is>
          <t>Owner - Sole beneficial owner</t>
        </is>
      </c>
      <c r="H3" t="inlineStr">
        <is>
          <t>2025-11-18 (first USD EFT USD 1)</t>
        </is>
      </c>
    </row>
    <row r="4"/>
    <row r="5">
      <c r="A5" s="1" t="inlineStr">
        <is>
          <t>Peak balance in account during period (USD)</t>
        </is>
      </c>
      <c r="B5" s="1" t="inlineStr">
        <is>
          <t>Peak balance (INR)</t>
        </is>
      </c>
      <c r="C5" s="1" t="inlineStr">
        <is>
          <t>Closing balance (USD)</t>
        </is>
      </c>
      <c r="D5" s="1" t="inlineStr">
        <is>
          <t>Closing balance (INR)</t>
        </is>
      </c>
      <c r="E5" s="1" t="inlineStr">
        <is>
          <t>Gross interest received (USD)</t>
        </is>
      </c>
      <c r="F5" s="1" t="inlineStr">
        <is>
          <t>Gross interest received (INR)</t>
        </is>
      </c>
      <c r="G5" s="1" t="inlineStr">
        <is>
          <t>Gross amount paid/credited (USD)</t>
        </is>
      </c>
      <c r="H5" s="1" t="inlineStr">
        <is>
          <t>Gross amount paid/credited (INR)</t>
        </is>
      </c>
    </row>
    <row r="6">
      <c r="A6" t="n">
        <v>81505</v>
      </c>
      <c r="B6" t="n">
        <v>7292252</v>
      </c>
      <c r="C6" t="n">
        <v>81505</v>
      </c>
      <c r="D6" t="n">
        <v>7292252</v>
      </c>
      <c r="E6" t="n">
        <v>0</v>
      </c>
      <c r="F6" t="n">
        <v>0</v>
      </c>
      <c r="G6" t="n">
        <v>162.5</v>
      </c>
      <c r="H6" t="n">
        <v>14454</v>
      </c>
    </row>
    <row r="7"/>
    <row r="8">
      <c r="A8" t="inlineStr">
        <is>
          <t>NOTES:</t>
        </is>
      </c>
    </row>
    <row r="9">
      <c r="A9" t="inlineStr">
        <is>
          <t>Account: IBKR U16003525 — Rajani J Vallath (Individual, USD base, Cash).</t>
        </is>
      </c>
    </row>
    <row r="10">
      <c r="A10" t="inlineStr">
        <is>
          <t>Starting NAV 01-Jan-2025: USD 0.00; Ending NAV 31-Dec-2025: USD 81,505.00.</t>
        </is>
      </c>
    </row>
    <row r="11">
      <c r="A11" t="inlineStr">
        <is>
          <t>Peak NAV: Activity Statement does not include daily NAV — shown as max(start, end). Obtain PortfolioAnalyst for true peak.</t>
        </is>
      </c>
    </row>
    <row r="12">
      <c r="A12" t="inlineStr">
        <is>
          <t>Deposits CY2025: USD 1.00 (2025-11-18: 1.0).</t>
        </is>
      </c>
    </row>
    <row r="13">
      <c r="A13" t="inlineStr">
        <is>
          <t>Gross amount paid/credited = interest + dividends credited in the custodial account during CY2025.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from foreign sources — Calendar Year 2025 (Schedule FA cross-ref / Schedule OS)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B4" t="inlineStr">
        <is>
          <t>TOTAL INTEREST</t>
        </is>
      </c>
      <c r="E4" t="n">
        <v>0</v>
      </c>
      <c r="G4" t="n">
        <v>0</v>
      </c>
    </row>
    <row r="5"/>
    <row r="6">
      <c r="A6" t="inlineStr">
        <is>
          <t>— DIVIDENDS —</t>
        </is>
      </c>
    </row>
    <row r="7">
      <c r="A7" s="2" t="n">
        <v>46022</v>
      </c>
      <c r="B7" t="inlineStr">
        <is>
          <t>AVGO(US11135F1012) Cash Dividend USD 0.65 per Share (Ordinary Dividend)</t>
        </is>
      </c>
      <c r="C7" t="inlineStr">
        <is>
          <t>USD</t>
        </is>
      </c>
      <c r="D7" t="n">
        <v>162.5</v>
      </c>
      <c r="E7" t="n">
        <v>162.5</v>
      </c>
      <c r="F7" t="n">
        <v>88.95</v>
      </c>
      <c r="G7" t="n">
        <v>14454</v>
      </c>
    </row>
    <row r="8">
      <c r="B8" t="inlineStr">
        <is>
          <t>TOTAL DIVIDENDS</t>
        </is>
      </c>
      <c r="E8" t="n">
        <v>162.5</v>
      </c>
      <c r="G8" t="n">
        <v>14454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Financial Year 2025-26 (01-Apr-2025 to 31-Mar-2026) for ITR income schedules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B4" t="inlineStr">
        <is>
          <t>TOTAL INTEREST</t>
        </is>
      </c>
      <c r="E4" t="n">
        <v>0</v>
      </c>
      <c r="G4" t="n">
        <v>0</v>
      </c>
    </row>
    <row r="5"/>
    <row r="6">
      <c r="A6" t="inlineStr">
        <is>
          <t>— DIVIDENDS —</t>
        </is>
      </c>
    </row>
    <row r="7">
      <c r="A7" s="2" t="n">
        <v>46022</v>
      </c>
      <c r="B7" t="inlineStr">
        <is>
          <t>AVGO(US11135F1012) Cash Dividend USD 0.65 per Share (Ordinary Dividend)</t>
        </is>
      </c>
      <c r="C7" t="inlineStr">
        <is>
          <t>USD</t>
        </is>
      </c>
      <c r="D7" t="n">
        <v>162.5</v>
      </c>
      <c r="E7" t="n">
        <v>162.5</v>
      </c>
      <c r="F7" t="n">
        <v>88.95</v>
      </c>
      <c r="G7" t="n">
        <v>14454</v>
      </c>
    </row>
    <row r="8">
      <c r="A8" s="2" t="n">
        <v>46112</v>
      </c>
      <c r="B8" t="inlineStr">
        <is>
          <t>AVGO(US11135F1012) Cash Dividend USD 0.65 per Share (Ordinary Dividend)</t>
        </is>
      </c>
      <c r="C8" t="inlineStr">
        <is>
          <t>USD</t>
        </is>
      </c>
      <c r="D8" t="n">
        <v>40.95</v>
      </c>
      <c r="E8" t="n">
        <v>40.95</v>
      </c>
      <c r="F8" t="n">
        <v>90.56</v>
      </c>
      <c r="G8" t="n">
        <v>3708</v>
      </c>
    </row>
    <row r="9">
      <c r="B9" t="inlineStr">
        <is>
          <t>TOTAL DIVIDENDS</t>
        </is>
      </c>
      <c r="E9" t="n">
        <v>203.45</v>
      </c>
      <c r="G9" t="n">
        <v>18163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10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t="inlineStr">
        <is>
          <t>Foreign tax withheld (for Schedule FSI / TR) — review credit eligibility under DTAA</t>
        </is>
      </c>
    </row>
    <row r="2">
      <c r="A2" s="1" t="inlineStr">
        <is>
          <t>Period</t>
        </is>
      </c>
      <c r="B2" s="1" t="inlineStr">
        <is>
          <t>Date</t>
        </is>
      </c>
      <c r="C2" s="1" t="inlineStr">
        <is>
          <t>Description</t>
        </is>
      </c>
      <c r="D2" s="1" t="inlineStr">
        <is>
          <t>Currency</t>
        </is>
      </c>
      <c r="E2" s="1" t="inlineStr">
        <is>
          <t>Amount (FCY)</t>
        </is>
      </c>
      <c r="F2" s="1" t="inlineStr">
        <is>
          <t>Amount (USD)</t>
        </is>
      </c>
      <c r="G2" s="1" t="inlineStr">
        <is>
          <t>USD/INR</t>
        </is>
      </c>
      <c r="H2" s="1" t="inlineStr">
        <is>
          <t>Amount (INR)</t>
        </is>
      </c>
    </row>
    <row r="3">
      <c r="A3" t="inlineStr">
        <is>
          <t>CY2025</t>
        </is>
      </c>
      <c r="B3" s="2" t="n">
        <v>46022</v>
      </c>
      <c r="C3" t="inlineStr">
        <is>
          <t>AVGO(US11135F1012) Cash Dividend USD 0.65 per Share - US Tax</t>
        </is>
      </c>
      <c r="D3" t="inlineStr">
        <is>
          <t>USD</t>
        </is>
      </c>
      <c r="E3" t="n">
        <v>-40.63</v>
      </c>
      <c r="F3" t="n">
        <v>-40.63</v>
      </c>
      <c r="G3" t="n">
        <v>88.95</v>
      </c>
      <c r="H3" t="n">
        <v>-3614</v>
      </c>
    </row>
    <row r="4">
      <c r="A4" t="inlineStr">
        <is>
          <t>FY2025-26</t>
        </is>
      </c>
      <c r="B4" s="2" t="n">
        <v>46022</v>
      </c>
      <c r="C4" t="inlineStr">
        <is>
          <t>AVGO(US11135F1012) Cash Dividend USD 0.65 per Share - US Tax</t>
        </is>
      </c>
      <c r="D4" t="inlineStr">
        <is>
          <t>USD</t>
        </is>
      </c>
      <c r="E4" t="n">
        <v>-40.63</v>
      </c>
      <c r="F4" t="n">
        <v>-40.63</v>
      </c>
      <c r="G4" t="n">
        <v>88.95</v>
      </c>
      <c r="H4" t="n">
        <v>-3614</v>
      </c>
    </row>
    <row r="5">
      <c r="A5" t="inlineStr">
        <is>
          <t>FY2025-26</t>
        </is>
      </c>
      <c r="B5" s="2" t="n">
        <v>46112</v>
      </c>
      <c r="C5" t="inlineStr">
        <is>
          <t>AVGO(US11135F1012) Cash Dividend USD 0.65 per Share - US Tax</t>
        </is>
      </c>
      <c r="D5" t="inlineStr">
        <is>
          <t>USD</t>
        </is>
      </c>
      <c r="E5" t="n">
        <v>-10.24</v>
      </c>
      <c r="F5" t="n">
        <v>-10.24</v>
      </c>
      <c r="G5" t="n">
        <v>90.56</v>
      </c>
      <c r="H5" t="n">
        <v>-927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2" customWidth="1" min="5" max="5"/>
    <col width="14" customWidth="1" min="6" max="6"/>
    <col width="27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28" customWidth="1" min="20" max="20"/>
    <col width="10" customWidth="1" min="21" max="21"/>
  </cols>
  <sheetData>
    <row r="1">
      <c r="A1" t="inlineStr">
        <is>
          <t>Capital gains — FY 2025-26 (AY 2026-27). FIFO. Yellow cells editable. Formulas compute USD, INR and Gain/(Loss).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>
      <c r="A5" t="inlineStr">
        <is>
          <t>AVGO</t>
        </is>
      </c>
      <c r="B5" t="inlineStr">
        <is>
          <t>USD</t>
        </is>
      </c>
      <c r="C5" t="n">
        <v>7</v>
      </c>
      <c r="D5" s="2" t="n">
        <v>46009</v>
      </c>
      <c r="E5" s="2" t="n">
        <v>46101</v>
      </c>
      <c r="F5">
        <f>E5-D5</f>
        <v/>
      </c>
      <c r="G5">
        <f>IF(F5&gt;730,"LTCG","STCG")</f>
        <v/>
      </c>
      <c r="H5" s="3" t="n">
        <v>2229.08</v>
      </c>
      <c r="I5" s="3" t="n">
        <v>439.4</v>
      </c>
      <c r="J5" s="3" t="n">
        <v>1</v>
      </c>
      <c r="K5" s="3" t="n">
        <v>1</v>
      </c>
      <c r="L5">
        <f>H5*K5</f>
        <v/>
      </c>
      <c r="M5">
        <f>I5*K5</f>
        <v/>
      </c>
      <c r="N5" s="3" t="n">
        <v>90.56</v>
      </c>
      <c r="O5" s="3" t="n">
        <v>88.95</v>
      </c>
      <c r="P5" s="3" t="n">
        <v>90.56</v>
      </c>
      <c r="Q5">
        <f>L5*N5</f>
        <v/>
      </c>
      <c r="R5">
        <f>J5*P5</f>
        <v/>
      </c>
      <c r="S5">
        <f>M5*O5</f>
        <v/>
      </c>
      <c r="T5">
        <f>Q5-R5-S5</f>
        <v/>
      </c>
      <c r="U5" t="inlineStr"/>
    </row>
    <row r="6"/>
    <row r="7">
      <c r="G7" s="4" t="inlineStr">
        <is>
          <t>TOTAL STCG (INR)</t>
        </is>
      </c>
      <c r="T7" s="4">
        <f>SUMIF(G5:G5,"STCG",T5:T5)</f>
        <v/>
      </c>
    </row>
    <row r="8">
      <c r="G8" s="4" t="inlineStr">
        <is>
          <t>TOTAL LTCG (INR)</t>
        </is>
      </c>
      <c r="T8" s="4">
        <f>SUMIF(G5:G5,"LTCG",T5:T5)</f>
        <v/>
      </c>
    </row>
    <row r="9">
      <c r="G9" s="4" t="inlineStr">
        <is>
          <t>TOTAL CG (INR)</t>
        </is>
      </c>
      <c r="T9" s="4">
        <f>T7+T8</f>
        <v/>
      </c>
    </row>
    <row r="10"/>
    <row r="11">
      <c r="A11" t="inlineStr">
        <is>
          <t>How to reconcile before filing:</t>
        </is>
      </c>
    </row>
    <row r="12">
      <c r="A12" t="inlineStr">
        <is>
          <t>1. Check Sale Proceeds (FCY) / Cost Basis (FCY) vs IBKR trade Proceeds &amp; Basis.</t>
        </is>
      </c>
    </row>
    <row r="13">
      <c r="A13" t="inlineStr">
        <is>
          <t>2. Edit yellow FX cells (N Sale FX, O Cost FX, P Comm USD/INR) to exact SBI TT Buy card rates.</t>
        </is>
      </c>
    </row>
    <row r="14">
      <c r="A14" t="inlineStr">
        <is>
          <t>3. For HKD/JPY, edit FCY→USD (K) if using trade-date FX instead of 31-Dec-2025 IBKR close.</t>
        </is>
      </c>
    </row>
    <row r="15">
      <c r="A15" t="inlineStr">
        <is>
          <t>4. Gain/(Loss) cell formula: =Q-R-S i.e. Sale INR − Comm INR − Cost INR.</t>
        </is>
      </c>
    </row>
    <row r="16">
      <c r="A16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2024-25 (AY 2025-26). FIFO from inception. Yellow cells editable.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/>
    <row r="6">
      <c r="G6" s="4" t="n"/>
      <c r="T6" s="4" t="n"/>
    </row>
    <row r="7">
      <c r="G7" s="4" t="n"/>
      <c r="T7" s="4" t="n"/>
    </row>
    <row r="8">
      <c r="G8" s="4" t="n"/>
      <c r="T8" s="4" t="n"/>
    </row>
    <row r="9"/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4" customWidth="1" min="5" max="5"/>
    <col width="10" customWidth="1" min="6" max="6"/>
    <col width="10" customWidth="1" min="7" max="7"/>
  </cols>
  <sheetData>
    <row r="1">
      <c r="A1" t="inlineStr">
        <is>
          <t>FIFO lot register rebuilt from inception statement (actual acquisition dates &amp; IBKR cost basis)</t>
        </is>
      </c>
    </row>
    <row r="2">
      <c r="A2" s="1" t="inlineStr">
        <is>
          <t>As-of</t>
        </is>
      </c>
      <c r="B2" s="1" t="inlineStr">
        <is>
          <t>Symbol</t>
        </is>
      </c>
      <c r="C2" s="1" t="inlineStr">
        <is>
          <t>Qty</t>
        </is>
      </c>
      <c r="D2" s="1" t="inlineStr">
        <is>
          <t>Acquisition Date</t>
        </is>
      </c>
      <c r="E2" s="1" t="inlineStr">
        <is>
          <t>Cost (local)</t>
        </is>
      </c>
      <c r="F2" s="1" t="inlineStr">
        <is>
          <t>Currency</t>
        </is>
      </c>
      <c r="G2" s="1" t="inlineStr">
        <is>
          <t>Source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23" customWidth="1" min="4" max="4"/>
    <col width="19" customWidth="1" min="5" max="5"/>
    <col width="10" customWidth="1" min="6" max="6"/>
  </cols>
  <sheetData>
    <row r="1">
      <c r="A1" s="1" t="inlineStr">
        <is>
          <t>Symbol</t>
        </is>
      </c>
      <c r="B1" s="1" t="inlineStr">
        <is>
          <t>STCG INR</t>
        </is>
      </c>
      <c r="C1" s="1" t="inlineStr">
        <is>
          <t>LTCG INR</t>
        </is>
      </c>
      <c r="D1" s="1" t="inlineStr">
        <is>
          <t>Total Gain/(Loss) INR</t>
        </is>
      </c>
      <c r="E1" s="1" t="inlineStr">
        <is>
          <t>Sale Proceeds USD</t>
        </is>
      </c>
      <c r="F1" s="1" t="inlineStr">
        <is>
          <t>Cost USD</t>
        </is>
      </c>
    </row>
    <row r="2">
      <c r="A2" t="inlineStr">
        <is>
          <t>AVGO</t>
        </is>
      </c>
      <c r="B2" t="n">
        <v>162690</v>
      </c>
      <c r="C2" t="n">
        <v>0</v>
      </c>
      <c r="D2" t="n">
        <v>162690</v>
      </c>
      <c r="E2" t="n">
        <v>2229.08</v>
      </c>
      <c r="F2" t="n">
        <v>439.4</v>
      </c>
    </row>
    <row r="3"/>
    <row r="4">
      <c r="A4" t="inlineStr">
        <is>
          <t>Note</t>
        </is>
      </c>
      <c r="B4" t="inlineStr">
        <is>
          <t>Detail P&amp;L with editable FX is on 'Capital Gains FY2025-26' (formula-driven). This summary is a static cross-check.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t="inlineStr">
        <is>
          <t>Preparation notes — Schedule FA / CG / Dividends for Rajani J Vallath (U16003525)</t>
        </is>
      </c>
    </row>
    <row r="2">
      <c r="A2" t="inlineStr">
        <is>
          <t>Assessee</t>
        </is>
      </c>
      <c r="B2" t="inlineStr">
        <is>
          <t>Rajani J Vallath — IBKR U16003525 (Individual) — Advisor: MATCAP WEALTH ADVISORS PRIVATE LIMITED</t>
        </is>
      </c>
    </row>
    <row r="3">
      <c r="A3" t="inlineStr">
        <is>
          <t>Account opening</t>
        </is>
      </c>
      <c r="B3" t="inlineStr">
        <is>
          <t>Funded 18-Nov-2025 with USD 1 EFT. AVGO × 250 received via ACATS In on 18-Dec-2025 (from external account 27960235; carryover cost ~USD 62.772/share; ACATS MV USD 81,505).</t>
        </is>
      </c>
    </row>
    <row r="4">
      <c r="A4" t="inlineStr">
        <is>
          <t>Related Joint account</t>
        </is>
      </c>
      <c r="B4" t="inlineStr">
        <is>
          <t>Internal Out of AVGO × 180 to U21864112 (Rajani &amp; Sanjeev Joint) on 30-Jan-2026 — excluded from taxable CG (same beneficial owner / related transfer). See Joint workbook.</t>
        </is>
      </c>
    </row>
    <row r="5">
      <c r="A5" t="inlineStr">
        <is>
          <t>Capital gains</t>
        </is>
      </c>
      <c r="B5" t="inlineStr">
        <is>
          <t>Taxable: sold AVGO × 7 on 20-Mar-2026 (proceeds USD 2,229.08, basis USD 439.40; IBKR realized ~USD 1,788.67 as L/T). FIFO acquisition date in workbook = ACATS In 18-Dec-2025 — IBKR tagged L/T, so original buy date at source account 27960235 likely predates ACATS. Confirm original AVGO acquisition date and edit yellow Acquisition Date on CG before filing.</t>
        </is>
      </c>
    </row>
    <row r="6">
      <c r="A6" t="inlineStr">
        <is>
          <t>Annual CY2025 / YE marks</t>
        </is>
      </c>
      <c r="B6" t="inlineStr">
        <is>
          <t>No Calendar-Year Annual furnished. CY2025 synthesized. YE2025 AVGO closing proxied from ACATS transfer price (USD 326.02 on 18-Dec-2025). Prefer IBKR Annual / PortfolioAnalyst for filing-quality YE &amp; peak.</t>
        </is>
      </c>
    </row>
    <row r="7">
      <c r="A7" t="inlineStr">
        <is>
          <t>Holdings at 31-Mar-2026</t>
        </is>
      </c>
      <c r="B7" t="inlineStr">
        <is>
          <t>AVGO × 63 (cost USD 3,954.64); BNO × 39 (cost USD 2,030.09)</t>
        </is>
      </c>
    </row>
    <row r="8">
      <c r="A8" t="inlineStr">
        <is>
          <t>Dividends</t>
        </is>
      </c>
      <c r="B8" t="inlineStr">
        <is>
          <t>CY2025: AVGO USD 162.50 (31-Dec-2025). FY2025-26: USD 203.45 total (incl. 40.95 on 31-Mar-2026).</t>
        </is>
      </c>
    </row>
    <row r="9">
      <c r="A9" t="inlineStr">
        <is>
          <t>Assessee</t>
        </is>
      </c>
      <c r="B9" t="inlineStr">
        <is>
          <t>Rajani J Vallath</t>
        </is>
      </c>
    </row>
    <row r="10">
      <c r="A10" t="inlineStr">
        <is>
          <t>Account</t>
        </is>
      </c>
      <c r="B10" t="inlineStr">
        <is>
          <t>U16003525 — Interactive Brokers LLC (Advisor Client; Advisor: MATCAP WEALTH ADVISORS PRIVATE LIMITED)</t>
        </is>
      </c>
    </row>
    <row r="11">
      <c r="A11" t="inlineStr">
        <is>
          <t>Customer type</t>
        </is>
      </c>
      <c r="B11" t="inlineStr">
        <is>
          <t>Individual</t>
        </is>
      </c>
    </row>
    <row r="12">
      <c r="A12" t="inlineStr">
        <is>
          <t>Base currency</t>
        </is>
      </c>
      <c r="B12" t="inlineStr">
        <is>
          <t>USD</t>
        </is>
      </c>
    </row>
    <row r="13">
      <c r="A13" t="inlineStr">
        <is>
          <t>Account funded</t>
        </is>
      </c>
      <c r="B13" t="inlineStr">
        <is>
          <t>First deposit 2025-11-18 (inception statement)</t>
        </is>
      </c>
    </row>
    <row r="14">
      <c r="A14" t="inlineStr">
        <is>
          <t>Schedule FA period</t>
        </is>
      </c>
      <c r="B14" t="inlineStr">
        <is>
          <t>Calendar Year 2025 (01-Jan-2025 to 31-Dec-2025) — for ITR AY 2026-27</t>
        </is>
      </c>
    </row>
    <row r="15">
      <c r="A15" t="inlineStr">
        <is>
          <t>Income / CG period</t>
        </is>
      </c>
      <c r="B15" t="inlineStr">
        <is>
          <t>FY 2025-26 (01-Apr-2025 to 31-Mar-2026); also FY 2024-25 sheet for prior year</t>
        </is>
      </c>
    </row>
    <row r="16">
      <c r="A16" t="inlineStr">
        <is>
          <t>Source data</t>
        </is>
      </c>
      <c r="B16" t="inlineStr">
        <is>
          <t>IBKR Activity Statements: Inception FY2024-25 + Annual CY2025 + Fiscal FY2025-26</t>
        </is>
      </c>
    </row>
    <row r="17">
      <c r="A17" t="inlineStr">
        <is>
          <t>FIFO method</t>
        </is>
      </c>
      <c r="B17" t="inlineStr">
        <is>
          <t>Actual buy dates &amp; IBKR Basis from inception replay; splits (LRCX 10:1, NFLX 10:1) applied</t>
        </is>
      </c>
    </row>
    <row r="18">
      <c r="A18" t="inlineStr">
        <is>
          <t>CG reconciliation</t>
        </is>
      </c>
      <c r="B18" t="inlineStr">
        <is>
          <t>Sheets 'Capital Gains FY2025-26' / 'FY2024-25' are formula-driven — yellow cells editable; Gain = Sale INR − Comm INR − Cost INR</t>
        </is>
      </c>
    </row>
    <row r="19">
      <c r="A19" t="inlineStr">
        <is>
          <t>FX Lookup</t>
        </is>
      </c>
      <c r="B19" t="inlineStr">
        <is>
          <t>Editable SBI TT USD/INR &amp; EUR/INR month-end rates + FCY→USD cross rates</t>
        </is>
      </c>
    </row>
    <row r="20">
      <c r="A20" t="inlineStr">
        <is>
          <t>Starting NAV CY2025</t>
        </is>
      </c>
      <c r="B20" t="inlineStr">
        <is>
          <t>USD 0.00</t>
        </is>
      </c>
    </row>
    <row r="21">
      <c r="A21" t="inlineStr">
        <is>
          <t>Ending NAV CY2025</t>
        </is>
      </c>
      <c r="B21" t="inlineStr">
        <is>
          <t>USD 81,505.00</t>
        </is>
      </c>
    </row>
    <row r="22">
      <c r="A22" t="inlineStr">
        <is>
          <t>Deposits CY2025</t>
        </is>
      </c>
      <c r="B22" t="inlineStr">
        <is>
          <t>USD 1.00</t>
        </is>
      </c>
    </row>
    <row r="23">
      <c r="A23" t="inlineStr">
        <is>
          <t>Deposits since inception (to 31-Mar-2025)</t>
        </is>
      </c>
      <c r="B23" t="inlineStr">
        <is>
          <t>USD 1.00</t>
        </is>
      </c>
    </row>
    <row r="24">
      <c r="A24" t="inlineStr">
        <is>
          <t>Dividends CY2025</t>
        </is>
      </c>
      <c r="B24" t="inlineStr">
        <is>
          <t>USD 162.50 / INR 14,454 (Rule 115)</t>
        </is>
      </c>
    </row>
    <row r="25">
      <c r="A25" t="inlineStr">
        <is>
          <t>Interest CY2025</t>
        </is>
      </c>
      <c r="B25" t="inlineStr">
        <is>
          <t>USD 0.00 / INR 0 (Rule 115)</t>
        </is>
      </c>
    </row>
    <row r="26">
      <c r="A26" t="inlineStr">
        <is>
          <t>Dividends FY2025-26</t>
        </is>
      </c>
      <c r="B26" t="inlineStr">
        <is>
          <t>USD 203.45 / INR 18,163</t>
        </is>
      </c>
    </row>
    <row r="27">
      <c r="A27" t="inlineStr">
        <is>
          <t>Interest FY2025-26</t>
        </is>
      </c>
      <c r="B27" t="inlineStr">
        <is>
          <t>USD 0.00 / INR 0</t>
        </is>
      </c>
    </row>
    <row r="28">
      <c r="A28" t="inlineStr">
        <is>
          <t>STCG FY2025-26 (INR)</t>
        </is>
      </c>
      <c r="B28" t="inlineStr">
        <is>
          <t>162,690</t>
        </is>
      </c>
    </row>
    <row r="29">
      <c r="A29" t="inlineStr">
        <is>
          <t>LTCG FY2025-26 (INR)</t>
        </is>
      </c>
      <c r="B29" t="inlineStr">
        <is>
          <t>0</t>
        </is>
      </c>
    </row>
    <row r="30">
      <c r="A30" t="inlineStr">
        <is>
          <t>STCG FY2024-25 (INR)</t>
        </is>
      </c>
      <c r="B30" t="inlineStr">
        <is>
          <t>0</t>
        </is>
      </c>
    </row>
    <row r="31">
      <c r="A31" t="inlineStr">
        <is>
          <t>LTCG FY2024-25 (INR)</t>
        </is>
      </c>
      <c r="B31" t="inlineStr">
        <is>
          <t>0</t>
        </is>
      </c>
    </row>
    <row r="32">
      <c r="A32" t="inlineStr">
        <is>
          <t>A1 Foreign Bank/Depository</t>
        </is>
      </c>
      <c r="B32" t="inlineStr">
        <is>
          <t>Generally N/A separately — multi-currency cash sits inside IBKR custodial account (A2)</t>
        </is>
      </c>
    </row>
    <row r="33">
      <c r="A33" t="inlineStr">
        <is>
          <t>A2 Custodial Account</t>
        </is>
      </c>
      <c r="B33" t="inlineStr">
        <is>
          <t>Applicable — see sheet; opening: 2025-11-18 (first USD EFT USD 1)</t>
        </is>
      </c>
    </row>
    <row r="34">
      <c r="A34" t="inlineStr">
        <is>
          <t>A3 Equity &amp; Debt Interest</t>
        </is>
      </c>
      <c r="B34" t="inlineStr">
        <is>
          <t>Applicable — 1 FIFO lot lines (one row per acquisition lot; sold lots match Capital Gains)</t>
        </is>
      </c>
    </row>
    <row r="35">
      <c r="A35" t="inlineStr">
        <is>
          <t>A3 Col C (Name of entity)</t>
        </is>
      </c>
      <c r="B35" t="inlineStr">
        <is>
          <t>Symbol only (e.g. NOVd, AAPL). Legal name / address remain in Address &amp; Nature columns.</t>
        </is>
      </c>
    </row>
    <row r="36">
      <c r="A36" t="inlineStr">
        <is>
          <t>A3 vs CG</t>
        </is>
      </c>
      <c r="B36" t="inlineStr">
        <is>
          <t>Sold lots: A3 Initial = CG Cost (INR), A3 Sale = CG Sale (INR), same Rule 115/EUR FX. Multiple buys (e.g. NOVd 21-Mar &amp; 21-Aug) appear as separate A3 rows.</t>
        </is>
      </c>
    </row>
    <row r="37">
      <c r="A37" t="inlineStr">
        <is>
          <t>ADR country practice</t>
        </is>
      </c>
      <c r="B37" t="inlineStr">
        <is>
          <t>Underlying issuer country used for ADRs/GDRs (ASML NL, BTI UK, TSM TW, BYDDY CN, HYU KR, RIO UK)</t>
        </is>
      </c>
    </row>
    <row r="38">
      <c r="A38" t="inlineStr">
        <is>
          <t>CPNG</t>
        </is>
      </c>
      <c r="B38" t="inlineStr">
        <is>
          <t>USA (Delaware corporation, NYSE) despite Korea operations</t>
        </is>
      </c>
    </row>
    <row r="39">
      <c r="A39" t="inlineStr">
        <is>
          <t>NFLX split</t>
        </is>
      </c>
      <c r="B39" t="inlineStr">
        <is>
          <t>10-for-1 split on 14/17-Nov-2025 reflected in FIFO</t>
        </is>
      </c>
    </row>
    <row r="40">
      <c r="A40" t="inlineStr">
        <is>
          <t>LRCX split</t>
        </is>
      </c>
      <c r="B40" t="inlineStr">
        <is>
          <t>10-for-1 split on 02/03-Oct-2024 reflected in FIFO (bought 1 pre-split → 10)</t>
        </is>
      </c>
    </row>
    <row r="41">
      <c r="A41" t="inlineStr">
        <is>
          <t>HYU</t>
        </is>
      </c>
      <c r="B41" t="inlineStr">
        <is>
          <t>Cash merger acquisition Jul-2025 — sale proceeds USD 1,339.02 reported as redemption proceeds</t>
        </is>
      </c>
    </row>
    <row r="42">
      <c r="A42" t="inlineStr">
        <is>
          <t>Action required</t>
        </is>
      </c>
      <c r="B42" t="inlineStr">
        <is>
          <t>1) Confirm exact SBI TT Buy card rates; 2) Obtain PortfolioAnalyst for true peak NAV; 3) Map withholding to Schedule FSI/TR under DTAA.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2026-08-25T11:36:39Z</dcterms:created>
  <dcterms:modified xsi:type="dcterms:W3CDTF">2026-08-25T11:36:39Z</dcterms:modified>
</cp:coreProperties>
</file>