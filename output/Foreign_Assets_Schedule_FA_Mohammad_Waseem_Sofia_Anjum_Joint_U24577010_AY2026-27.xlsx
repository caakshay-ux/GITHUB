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DKK</t>
        </is>
      </c>
      <c r="B38" s="3" t="n">
        <v>0.15726</v>
      </c>
    </row>
    <row r="39">
      <c r="A39" t="inlineStr">
        <is>
          <t>EUR</t>
        </is>
      </c>
      <c r="B39" s="3" t="n">
        <v>1.1746</v>
      </c>
    </row>
    <row r="40">
      <c r="A40" t="inlineStr">
        <is>
          <t>GBP</t>
        </is>
      </c>
      <c r="B40" s="3" t="n">
        <v>1.342</v>
      </c>
    </row>
    <row r="41">
      <c r="A41" t="inlineStr">
        <is>
          <t>HKD</t>
        </is>
      </c>
      <c r="B41" s="3" t="n">
        <v>0.12849</v>
      </c>
    </row>
    <row r="42">
      <c r="A42" t="inlineStr">
        <is>
          <t>JPY</t>
        </is>
      </c>
      <c r="B42" s="3" t="n">
        <v>0.0063827</v>
      </c>
    </row>
    <row r="43">
      <c r="A43" t="inlineStr">
        <is>
          <t>SGD</t>
        </is>
      </c>
      <c r="B43" s="3" t="n">
        <v>0.7776049766718507</v>
      </c>
    </row>
    <row r="44">
      <c r="A44" t="inlineStr">
        <is>
          <t>USD</t>
        </is>
      </c>
      <c r="B44" s="3" t="n">
        <v>1</v>
      </c>
    </row>
    <row r="46">
      <c r="A4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9" customWidth="1" min="4" max="4"/>
    <col width="10" customWidth="1" min="5" max="5"/>
    <col width="1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6">
      <c r="G6" t="inlineStr">
        <is>
          <t>TOTAL (Rs.)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3" customWidth="1" min="5" max="5"/>
    <col width="10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H2" t="inlineStr">
        <is>
          <t>TOTAL (USD)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U24577010</t>
        </is>
      </c>
      <c r="G3" t="inlineStr">
        <is>
          <t>Owner - Joint beneficial owners</t>
        </is>
      </c>
      <c r="H3" t="inlineStr">
        <is>
          <t>2026-05-21 (Internal In GOOG × 17 from U25039405)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8">
      <c r="A8" t="inlineStr">
        <is>
          <t>NOTES:</t>
        </is>
      </c>
    </row>
    <row r="9">
      <c r="A9" t="inlineStr">
        <is>
          <t>Account: IBKR U24577010 — Mohammad Waseem and Sofia Anjum (Joint, USD base, Cash).</t>
        </is>
      </c>
    </row>
    <row r="10">
      <c r="A10" t="inlineStr">
        <is>
          <t>Starting NAV 01-Jan-2025: USD 0.00; Ending NAV 31-Dec-2025: USD 0.00.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B7" t="inlineStr">
        <is>
          <t>TOTAL DIVIDENDS</t>
        </is>
      </c>
      <c r="E7" t="n">
        <v>0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6">
      <c r="A6" t="inlineStr">
        <is>
          <t>— DIVIDENDS —</t>
        </is>
      </c>
    </row>
    <row r="7">
      <c r="B7" t="inlineStr">
        <is>
          <t>TOTAL DIVIDENDS</t>
        </is>
      </c>
      <c r="E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FY2026-27 YTD</t>
        </is>
      </c>
      <c r="B3" s="2" t="n">
        <v>46252</v>
      </c>
      <c r="C3" t="inlineStr">
        <is>
          <t>NOVO B(DK0062498333) Cash Dividend DKK 3.75 per Share - DK Tax</t>
        </is>
      </c>
      <c r="D3" t="inlineStr">
        <is>
          <t>DKK</t>
        </is>
      </c>
      <c r="E3" t="n">
        <v>-7.09</v>
      </c>
      <c r="F3" t="n">
        <v>-1.115</v>
      </c>
      <c r="G3" t="n">
        <v>95.2</v>
      </c>
      <c r="H3" t="n">
        <v>-106</v>
      </c>
    </row>
    <row r="4">
      <c r="A4" t="inlineStr">
        <is>
          <t>FY2026-27 YTD</t>
        </is>
      </c>
      <c r="B4" s="2" t="n">
        <v>46188</v>
      </c>
      <c r="C4" t="inlineStr">
        <is>
          <t>GOOG(US02079K1079) Cash Dividend USD 0.22 per Share - US Tax</t>
        </is>
      </c>
      <c r="D4" t="inlineStr">
        <is>
          <t>USD</t>
        </is>
      </c>
      <c r="E4" t="n">
        <v>-0.88</v>
      </c>
      <c r="F4" t="n">
        <v>-0.88</v>
      </c>
      <c r="G4" t="n">
        <v>94.59999999999999</v>
      </c>
      <c r="H4" t="n">
        <v>-83</v>
      </c>
    </row>
    <row r="5">
      <c r="A5" t="inlineStr">
        <is>
          <t>FY2026-27 YTD</t>
        </is>
      </c>
      <c r="B5" s="2" t="n">
        <v>46191</v>
      </c>
      <c r="C5" t="inlineStr">
        <is>
          <t>PICK(US46434G8481) Cash Dividend USD 0.542279 per Share - US Tax</t>
        </is>
      </c>
      <c r="D5" t="inlineStr">
        <is>
          <t>USD</t>
        </is>
      </c>
      <c r="E5" t="n">
        <v>-2.03</v>
      </c>
      <c r="F5" t="n">
        <v>-2.03</v>
      </c>
      <c r="G5" t="n">
        <v>94.59999999999999</v>
      </c>
      <c r="H5" t="n">
        <v>-192</v>
      </c>
    </row>
    <row r="6">
      <c r="A6" t="inlineStr">
        <is>
          <t>FY2026-27 YTD</t>
        </is>
      </c>
      <c r="B6" s="2" t="n">
        <v>46198</v>
      </c>
      <c r="C6" t="inlineStr">
        <is>
          <t>QTUM(US26922A4206) Cash Dividend USD 0.269935 per Share - US Tax</t>
        </is>
      </c>
      <c r="D6" t="inlineStr">
        <is>
          <t>USD</t>
        </is>
      </c>
      <c r="E6" t="n">
        <v>-0.16</v>
      </c>
      <c r="F6" t="n">
        <v>-0.16</v>
      </c>
      <c r="G6" t="n">
        <v>94.59999999999999</v>
      </c>
      <c r="H6" t="n">
        <v>-15</v>
      </c>
    </row>
    <row r="7">
      <c r="A7" t="inlineStr">
        <is>
          <t>FY2026-27 YTD</t>
        </is>
      </c>
      <c r="B7" s="2" t="n">
        <v>46220</v>
      </c>
      <c r="C7" t="inlineStr">
        <is>
          <t>MDT(IE00BTN1Y115) Cash Dividend USD 0.72 per Share - IE Tax</t>
        </is>
      </c>
      <c r="D7" t="inlineStr">
        <is>
          <t>USD</t>
        </is>
      </c>
      <c r="E7" t="n">
        <v>-0.9</v>
      </c>
      <c r="F7" t="n">
        <v>-0.9</v>
      </c>
      <c r="G7" t="n">
        <v>93.95</v>
      </c>
      <c r="H7" t="n">
        <v>-85</v>
      </c>
    </row>
    <row r="8">
      <c r="A8" t="inlineStr">
        <is>
          <t>FY2026-27 YTD</t>
        </is>
      </c>
      <c r="B8" s="2" t="n">
        <v>46234</v>
      </c>
      <c r="C8" t="inlineStr">
        <is>
          <t>JPM(US46625H1005) Cash Dividend USD 1.50 per Share - US Tax</t>
        </is>
      </c>
      <c r="D8" t="inlineStr">
        <is>
          <t>USD</t>
        </is>
      </c>
      <c r="E8" t="n">
        <v>-0.75</v>
      </c>
      <c r="F8" t="n">
        <v>-0.75</v>
      </c>
      <c r="G8" t="n">
        <v>93.95</v>
      </c>
      <c r="H8" t="n">
        <v>-70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  <row r="5">
      <c r="A5" t="inlineStr">
        <is>
          <t>— FY 2026-27 YTD (to 03-Sep-2026) —</t>
        </is>
      </c>
    </row>
    <row r="6">
      <c r="A6" t="inlineStr">
        <is>
          <t>Symbol</t>
        </is>
      </c>
      <c r="B6" t="inlineStr">
        <is>
          <t>STCG INR</t>
        </is>
      </c>
      <c r="C6" t="inlineStr">
        <is>
          <t>LTCG INR</t>
        </is>
      </c>
      <c r="D6" t="inlineStr">
        <is>
          <t>Total Gain/(Loss) INR</t>
        </is>
      </c>
      <c r="E6" t="inlineStr">
        <is>
          <t>Sale Proceeds USD</t>
        </is>
      </c>
      <c r="F6" t="inlineStr">
        <is>
          <t>Cost USD</t>
        </is>
      </c>
    </row>
    <row r="7">
      <c r="A7" t="inlineStr">
        <is>
          <t>BNO</t>
        </is>
      </c>
      <c r="B7" t="n">
        <v>-1290</v>
      </c>
      <c r="C7" t="n">
        <v>0</v>
      </c>
      <c r="D7" t="n">
        <v>-1290</v>
      </c>
      <c r="E7" t="n">
        <v>498.6</v>
      </c>
      <c r="F7" t="n">
        <v>507.8</v>
      </c>
    </row>
    <row r="8">
      <c r="A8" t="inlineStr">
        <is>
          <t>GOOG</t>
        </is>
      </c>
      <c r="B8" t="n">
        <v>1123481</v>
      </c>
      <c r="C8" t="n">
        <v>0</v>
      </c>
      <c r="D8" t="n">
        <v>1123481</v>
      </c>
      <c r="E8" t="n">
        <v>16349.11</v>
      </c>
      <c r="F8" t="n">
        <v>4464.06</v>
      </c>
    </row>
    <row r="9">
      <c r="A9" t="inlineStr">
        <is>
          <t>POW</t>
        </is>
      </c>
      <c r="B9" t="n">
        <v>-6882</v>
      </c>
      <c r="C9" t="n">
        <v>0</v>
      </c>
      <c r="D9" t="n">
        <v>-6882</v>
      </c>
      <c r="E9" t="n">
        <v>516</v>
      </c>
      <c r="F9" t="n">
        <v>591</v>
      </c>
    </row>
    <row r="10">
      <c r="A10" t="inlineStr">
        <is>
          <t>QTUM</t>
        </is>
      </c>
      <c r="B10" t="n">
        <v>-3033</v>
      </c>
      <c r="C10" t="n">
        <v>0</v>
      </c>
      <c r="D10" t="n">
        <v>-3033</v>
      </c>
      <c r="E10" t="n">
        <v>356</v>
      </c>
      <c r="F10" t="n">
        <v>389.31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Mohammad Waseem &amp; Sofia Anjum (Joint)</t>
        </is>
      </c>
    </row>
    <row r="2">
      <c r="A2" t="inlineStr">
        <is>
          <t>Assessee</t>
        </is>
      </c>
      <c r="B2" t="inlineStr">
        <is>
          <t>Mohammad Waseem and Sofia Anjum — IBKR U24577010 (Joint) — Advisor: MATCAP WEALTH ADVISORS PRIVATE LIMITED</t>
        </is>
      </c>
    </row>
    <row r="3">
      <c r="A3" t="inlineStr">
        <is>
          <t>Account opening</t>
        </is>
      </c>
      <c r="B3" t="inlineStr">
        <is>
          <t>Opened 21-May-2026 via Internal In of GOOG × 17 from Individual U25039405. Further Internal Ins GOOG × 28 (09-Jun) and × 28 (07-Aug); Internal Out × 28 (20-Aug) back to Individual.</t>
        </is>
      </c>
    </row>
    <row r="4">
      <c r="A4" t="inlineStr">
        <is>
          <t>Statement coverage</t>
        </is>
      </c>
      <c r="B4" t="inlineStr">
        <is>
          <t>Only FY 2026-27 YTD (21-May-2026–03-Sep-2026). CY2025 N/A (opened May-2026). Full FY2026-27 needs statement to 31-Mar-2027.</t>
        </is>
      </c>
    </row>
    <row r="5">
      <c r="A5" t="inlineStr">
        <is>
          <t>Capital gains FY2026-27 YTD</t>
        </is>
      </c>
      <c r="B5" t="inlineStr">
        <is>
          <t>Taxable: GOOG × 45 (Jun-2026), BNO × 10, POW × 20, QTUM × 2.4. Internal Out GOOG not taxable.</t>
        </is>
      </c>
    </row>
    <row r="6">
      <c r="A6" t="inlineStr">
        <is>
          <t>GOOG cost / LTCG</t>
        </is>
      </c>
      <c r="B6" t="inlineStr">
        <is>
          <t>Inbound cost seeded from Individual FIFO (1×98.82 + remainder @99.21). Confirm original Individual/FOP buy dates for LTCG clock (IBKR tagged first GOOG sell Long-term).</t>
        </is>
      </c>
    </row>
    <row r="7">
      <c r="A7" t="inlineStr">
        <is>
          <t>Assessee</t>
        </is>
      </c>
      <c r="B7" t="inlineStr">
        <is>
          <t>Mohammad Waseem and Sofia Anjum</t>
        </is>
      </c>
    </row>
    <row r="8">
      <c r="A8" t="inlineStr">
        <is>
          <t>Account</t>
        </is>
      </c>
      <c r="B8" t="inlineStr">
        <is>
          <t>U24577010 — Interactive Brokers LLC (Advisor Client; Advisor: MATCAP WEALTH ADVISORS PRIVATE LIMITED)</t>
        </is>
      </c>
    </row>
    <row r="9">
      <c r="A9" t="inlineStr">
        <is>
          <t>Customer type</t>
        </is>
      </c>
      <c r="B9" t="inlineStr">
        <is>
          <t>Joint</t>
        </is>
      </c>
    </row>
    <row r="10">
      <c r="A10" t="inlineStr">
        <is>
          <t>Base currency</t>
        </is>
      </c>
      <c r="B10" t="inlineStr">
        <is>
          <t>USD</t>
        </is>
      </c>
    </row>
    <row r="11">
      <c r="A11" t="inlineStr">
        <is>
          <t>Account funded</t>
        </is>
      </c>
      <c r="B11" t="inlineStr">
        <is>
          <t>First deposit n/a (inception statement)</t>
        </is>
      </c>
    </row>
    <row r="12">
      <c r="A12" t="inlineStr">
        <is>
          <t>Schedule FA period</t>
        </is>
      </c>
      <c r="B12" t="inlineStr">
        <is>
          <t>Calendar Year 2025 (01-Jan-2025 to 31-Dec-2025) — for ITR AY 2026-27</t>
        </is>
      </c>
    </row>
    <row r="13">
      <c r="A13" t="inlineStr">
        <is>
          <t>Income / CG period</t>
        </is>
      </c>
      <c r="B13" t="inlineStr">
        <is>
          <t>FY 2025-26 (01-Apr-2025 to 31-Mar-2026); also FY 2024-25 sheet for prior year</t>
        </is>
      </c>
    </row>
    <row r="14">
      <c r="A14" t="inlineStr">
        <is>
          <t>Source data</t>
        </is>
      </c>
      <c r="B14" t="inlineStr">
        <is>
          <t>IBKR Activity Statements: Inception FY2024-25 + Annual CY2025 + Fiscal FY2025-26</t>
        </is>
      </c>
    </row>
    <row r="15">
      <c r="A15" t="inlineStr">
        <is>
          <t>FIFO method</t>
        </is>
      </c>
      <c r="B15" t="inlineStr">
        <is>
          <t>Actual buy dates &amp; IBKR Basis from inception replay; splits (LRCX 10:1, NFLX 10:1) applied</t>
        </is>
      </c>
    </row>
    <row r="16">
      <c r="A16" t="inlineStr">
        <is>
          <t>CG reconciliation</t>
        </is>
      </c>
      <c r="B16" t="inlineStr">
        <is>
          <t>Sheets 'Capital Gains FY2025-26' / 'FY2024-25' are formula-driven — yellow cells editable; Gain = Sale INR − Comm INR − Cost INR</t>
        </is>
      </c>
    </row>
    <row r="17">
      <c r="A17" t="inlineStr">
        <is>
          <t>FX Lookup</t>
        </is>
      </c>
      <c r="B17" t="inlineStr">
        <is>
          <t>Editable SBI TT USD/INR &amp; EUR/INR month-end rates + FCY→USD cross rates</t>
        </is>
      </c>
    </row>
    <row r="18">
      <c r="A18" t="inlineStr">
        <is>
          <t>Starting NAV CY2025</t>
        </is>
      </c>
      <c r="B18" t="inlineStr">
        <is>
          <t>USD 0.00</t>
        </is>
      </c>
    </row>
    <row r="19">
      <c r="A19" t="inlineStr">
        <is>
          <t>Ending NAV CY2025</t>
        </is>
      </c>
      <c r="B19" t="inlineStr">
        <is>
          <t>USD 0.00</t>
        </is>
      </c>
    </row>
    <row r="20">
      <c r="A20" t="inlineStr">
        <is>
          <t>Deposits CY2025</t>
        </is>
      </c>
      <c r="B20" t="inlineStr">
        <is>
          <t>USD 0.00</t>
        </is>
      </c>
    </row>
    <row r="21">
      <c r="A21" t="inlineStr">
        <is>
          <t>Deposits since inception (to 31-Mar-2025)</t>
        </is>
      </c>
      <c r="B21" t="inlineStr">
        <is>
          <t>USD 0.00</t>
        </is>
      </c>
    </row>
    <row r="22">
      <c r="A22" t="inlineStr">
        <is>
          <t>Dividends CY2025</t>
        </is>
      </c>
      <c r="B22" t="inlineStr">
        <is>
          <t>USD 0.00 / INR 0 (Rule 115)</t>
        </is>
      </c>
    </row>
    <row r="23">
      <c r="A23" t="inlineStr">
        <is>
          <t>Interest CY2025</t>
        </is>
      </c>
      <c r="B23" t="inlineStr">
        <is>
          <t>USD 0.00 / INR 0 (Rule 115)</t>
        </is>
      </c>
    </row>
    <row r="24">
      <c r="A24" t="inlineStr">
        <is>
          <t>Dividends FY2025-26</t>
        </is>
      </c>
      <c r="B24" t="inlineStr">
        <is>
          <t>USD 0.00 / INR 0</t>
        </is>
      </c>
    </row>
    <row r="25">
      <c r="A25" t="inlineStr">
        <is>
          <t>Interest FY2025-26</t>
        </is>
      </c>
      <c r="B25" t="inlineStr">
        <is>
          <t>USD 0.00 / INR 0</t>
        </is>
      </c>
    </row>
    <row r="26">
      <c r="A26" t="inlineStr">
        <is>
          <t>STCG FY2025-26 (INR)</t>
        </is>
      </c>
      <c r="B26" t="inlineStr">
        <is>
          <t>0</t>
        </is>
      </c>
    </row>
    <row r="27">
      <c r="A27" t="inlineStr">
        <is>
          <t>LTCG FY2025-26 (INR)</t>
        </is>
      </c>
      <c r="B27" t="inlineStr">
        <is>
          <t>0</t>
        </is>
      </c>
    </row>
    <row r="28">
      <c r="A28" t="inlineStr">
        <is>
          <t>STCG FY2024-25 (INR)</t>
        </is>
      </c>
      <c r="B28" t="inlineStr">
        <is>
          <t>0</t>
        </is>
      </c>
    </row>
    <row r="29">
      <c r="A29" t="inlineStr">
        <is>
          <t>LTCG FY2024-25 (INR)</t>
        </is>
      </c>
      <c r="B29" t="inlineStr">
        <is>
          <t>0</t>
        </is>
      </c>
    </row>
    <row r="30">
      <c r="A30" t="inlineStr">
        <is>
          <t>A1 Foreign Bank/Depository</t>
        </is>
      </c>
      <c r="B30" t="inlineStr">
        <is>
          <t>Generally N/A separately — multi-currency cash sits inside IBKR custodial account (A2)</t>
        </is>
      </c>
    </row>
    <row r="31">
      <c r="A31" t="inlineStr">
        <is>
          <t>A2 Custodial Account</t>
        </is>
      </c>
      <c r="B31" t="inlineStr">
        <is>
          <t>Applicable — see sheet; opening: 2026-05-21 (Internal In GOOG × 17 from U25039405)</t>
        </is>
      </c>
    </row>
    <row r="32">
      <c r="A32" t="inlineStr">
        <is>
          <t>A3 Equity &amp; Debt Interest</t>
        </is>
      </c>
      <c r="B32" t="inlineStr">
        <is>
          <t>Applicable — 0 FIFO lot lines (one row per acquisition lot; sold lots match Capital Gains)</t>
        </is>
      </c>
    </row>
    <row r="33">
      <c r="A33" t="inlineStr">
        <is>
          <t>A3 Col C (Name of entity)</t>
        </is>
      </c>
      <c r="B33" t="inlineStr">
        <is>
          <t>Symbol only (e.g. NOVd, AAPL). Legal name / address remain in Address &amp; Nature columns.</t>
        </is>
      </c>
    </row>
    <row r="34">
      <c r="A34" t="inlineStr">
        <is>
          <t>A3 vs CG</t>
        </is>
      </c>
      <c r="B34" t="inlineStr">
        <is>
          <t>Sold lots: A3 Initial = CG Cost (INR), A3 Sale = CG Sale (INR), same Rule 115/EUR FX. Multiple buys (e.g. NOVd 21-Mar &amp; 21-Aug) appear as separate A3 rows.</t>
        </is>
      </c>
    </row>
    <row r="35">
      <c r="A35" t="inlineStr">
        <is>
          <t>ADR country practice</t>
        </is>
      </c>
      <c r="B35" t="inlineStr">
        <is>
          <t>Underlying issuer country used for ADRs/GDRs (ASML NL, BTI UK, TSM TW, BYDDY CN, HYU KR, RIO UK)</t>
        </is>
      </c>
    </row>
    <row r="36">
      <c r="A36" t="inlineStr">
        <is>
          <t>CPNG</t>
        </is>
      </c>
      <c r="B36" t="inlineStr">
        <is>
          <t>USA (Delaware corporation, NYSE) despite Korea operations</t>
        </is>
      </c>
    </row>
    <row r="37">
      <c r="A37" t="inlineStr">
        <is>
          <t>NFLX split</t>
        </is>
      </c>
      <c r="B37" t="inlineStr">
        <is>
          <t>10-for-1 split on 14/17-Nov-2025 reflected in FIFO</t>
        </is>
      </c>
    </row>
    <row r="38">
      <c r="A38" t="inlineStr">
        <is>
          <t>LRCX split</t>
        </is>
      </c>
      <c r="B38" t="inlineStr">
        <is>
          <t>10-for-1 split on 02/03-Oct-2024 reflected in FIFO (bought 1 pre-split → 10)</t>
        </is>
      </c>
    </row>
    <row r="39">
      <c r="A39" t="inlineStr">
        <is>
          <t>HYU</t>
        </is>
      </c>
      <c r="B39" t="inlineStr">
        <is>
          <t>Cash merger acquisition Jul-2025 — sale proceeds USD 1,339.02 reported as redemption proceeds</t>
        </is>
      </c>
    </row>
    <row r="40">
      <c r="A40" t="inlineStr">
        <is>
          <t>Action required</t>
        </is>
      </c>
      <c r="B40" t="inlineStr">
        <is>
          <t>1) Confirm exact SBI TT Buy card rates; 2) Obtain PortfolioAnalyst for true peak NAV; 3) Map withholding to Schedule FSI/TR under DTAA.</t>
        </is>
      </c>
    </row>
    <row r="42">
      <c r="A42" t="inlineStr">
        <is>
          <t>FY 2026-27 YTD (21-May-2026 to 03-Sep-2026) — partial statement</t>
        </is>
      </c>
    </row>
    <row r="43">
      <c r="A43" t="inlineStr">
        <is>
          <t>Dividends FY2026-27 YTD</t>
        </is>
      </c>
      <c r="B43" t="inlineStr">
        <is>
          <t>USD 42.24 / INR 4,006</t>
        </is>
      </c>
    </row>
    <row r="44">
      <c r="A44" t="inlineStr">
        <is>
          <t>Interest FY2026-27 YTD</t>
        </is>
      </c>
      <c r="B44" t="inlineStr">
        <is>
          <t>USD 0.00 / INR 0</t>
        </is>
      </c>
    </row>
    <row r="45">
      <c r="A45" t="inlineStr">
        <is>
          <t>STCG FY2026-27 YTD (INR)</t>
        </is>
      </c>
      <c r="B45" t="inlineStr">
        <is>
          <t>1,112,276</t>
        </is>
      </c>
    </row>
    <row r="46">
      <c r="A46" t="inlineStr">
        <is>
          <t>LTCG FY2026-27 YTD (INR)</t>
        </is>
      </c>
      <c r="B46" t="inlineStr">
        <is>
          <t>0</t>
        </is>
      </c>
    </row>
    <row r="47">
      <c r="A47" t="inlineStr">
        <is>
          <t>Related Individual</t>
        </is>
      </c>
      <c r="B47" t="inlineStr">
        <is>
          <t>Internal GOOG with U25039405 — not taxable CG; see Individual workbook</t>
        </is>
      </c>
    </row>
    <row r="48">
      <c r="A48" t="inlineStr">
        <is>
          <t>A2 status</t>
        </is>
      </c>
      <c r="B48" t="inlineStr">
        <is>
          <t>Owner - Joint beneficial owners (Mohammad Waseem and Sofia Anjum)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2026-27 YTD (21-May-2026 to 03-Sep-2026). Partial. Internal Outs excluded (code I).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1</v>
      </c>
      <c r="D5" s="2" t="n">
        <v>46163</v>
      </c>
      <c r="E5" s="2" t="n">
        <v>46176</v>
      </c>
      <c r="F5">
        <f>E5-D5</f>
        <v/>
      </c>
      <c r="G5">
        <f>IF(F5&gt;730,"LTCG","STCG")</f>
        <v/>
      </c>
      <c r="H5" s="3" t="n">
        <v>358.35</v>
      </c>
      <c r="I5" s="3" t="n">
        <v>98.81999999999999</v>
      </c>
      <c r="J5" s="3" t="n">
        <v>1.01</v>
      </c>
      <c r="K5" s="3" t="n">
        <v>1</v>
      </c>
      <c r="L5">
        <f>H5*K5</f>
        <v/>
      </c>
      <c r="M5">
        <f>I5*K5</f>
        <v/>
      </c>
      <c r="N5" s="3" t="n">
        <v>94.59999999999999</v>
      </c>
      <c r="O5" s="3" t="n">
        <v>94.8</v>
      </c>
      <c r="P5" s="3" t="n">
        <v>94.59999999999999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>
        <is>
          <t>Acq date = Internal In from U25039405; confirm original Individual/FOP buy dates for LTCG</t>
        </is>
      </c>
    </row>
    <row r="6">
      <c r="A6" t="inlineStr">
        <is>
          <t>GOOG</t>
        </is>
      </c>
      <c r="B6" t="inlineStr">
        <is>
          <t>USD</t>
        </is>
      </c>
      <c r="C6" t="n">
        <v>16</v>
      </c>
      <c r="D6" s="2" t="n">
        <v>46163</v>
      </c>
      <c r="E6" s="2" t="n">
        <v>46181</v>
      </c>
      <c r="F6">
        <f>E6-D6</f>
        <v/>
      </c>
      <c r="G6">
        <f>IF(F6&gt;730,"LTCG","STCG")</f>
        <v/>
      </c>
      <c r="H6" s="3" t="n">
        <v>5799.04</v>
      </c>
      <c r="I6" s="3" t="n">
        <v>1587.36</v>
      </c>
      <c r="J6" s="3" t="n">
        <v>1.12</v>
      </c>
      <c r="K6" s="3" t="n">
        <v>1</v>
      </c>
      <c r="L6">
        <f>H6*K6</f>
        <v/>
      </c>
      <c r="M6">
        <f>I6*K6</f>
        <v/>
      </c>
      <c r="N6" s="3" t="n">
        <v>94.59999999999999</v>
      </c>
      <c r="O6" s="3" t="n">
        <v>94.8</v>
      </c>
      <c r="P6" s="3" t="n">
        <v>94.59999999999999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>
        <is>
          <t>Acq date = Internal In from U25039405; confirm original Individual/FOP buy dates for LTCG</t>
        </is>
      </c>
    </row>
    <row r="7">
      <c r="A7" t="inlineStr">
        <is>
          <t>GOOG</t>
        </is>
      </c>
      <c r="B7" t="inlineStr">
        <is>
          <t>USD</t>
        </is>
      </c>
      <c r="C7" t="n">
        <v>14</v>
      </c>
      <c r="D7" s="2" t="n">
        <v>46182</v>
      </c>
      <c r="E7" s="2" t="n">
        <v>46185</v>
      </c>
      <c r="F7">
        <f>E7-D7</f>
        <v/>
      </c>
      <c r="G7">
        <f>IF(F7&gt;730,"LTCG","STCG")</f>
        <v/>
      </c>
      <c r="H7" s="3" t="n">
        <v>5053.72</v>
      </c>
      <c r="I7" s="3" t="n">
        <v>1388.94</v>
      </c>
      <c r="J7" s="3" t="n">
        <v>1.11</v>
      </c>
      <c r="K7" s="3" t="n">
        <v>1</v>
      </c>
      <c r="L7">
        <f>H7*K7</f>
        <v/>
      </c>
      <c r="M7">
        <f>I7*K7</f>
        <v/>
      </c>
      <c r="N7" s="3" t="n">
        <v>94.59999999999999</v>
      </c>
      <c r="O7" s="3" t="n">
        <v>94.59999999999999</v>
      </c>
      <c r="P7" s="3" t="n">
        <v>94.59999999999999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>
        <is>
          <t>Acq date = Internal In from U25039405; confirm original Individual/FOP buy dates for LTCG</t>
        </is>
      </c>
    </row>
    <row r="8">
      <c r="A8" t="inlineStr">
        <is>
          <t>GOOG</t>
        </is>
      </c>
      <c r="B8" t="inlineStr">
        <is>
          <t>USD</t>
        </is>
      </c>
      <c r="C8" t="n">
        <v>7</v>
      </c>
      <c r="D8" s="2" t="n">
        <v>46182</v>
      </c>
      <c r="E8" s="2" t="n">
        <v>46190</v>
      </c>
      <c r="F8">
        <f>E8-D8</f>
        <v/>
      </c>
      <c r="G8">
        <f>IF(F8&gt;730,"LTCG","STCG")</f>
        <v/>
      </c>
      <c r="H8" s="3" t="n">
        <v>2583</v>
      </c>
      <c r="I8" s="3" t="n">
        <v>694.47</v>
      </c>
      <c r="J8" s="3" t="n">
        <v>1.05</v>
      </c>
      <c r="K8" s="3" t="n">
        <v>1</v>
      </c>
      <c r="L8">
        <f>H8*K8</f>
        <v/>
      </c>
      <c r="M8">
        <f>I8*K8</f>
        <v/>
      </c>
      <c r="N8" s="3" t="n">
        <v>94.59999999999999</v>
      </c>
      <c r="O8" s="3" t="n">
        <v>94.59999999999999</v>
      </c>
      <c r="P8" s="3" t="n">
        <v>94.59999999999999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>
        <is>
          <t>Acq date = Internal In from U25039405; confirm original Individual/FOP buy dates for LTCG</t>
        </is>
      </c>
    </row>
    <row r="9">
      <c r="A9" t="inlineStr">
        <is>
          <t>GOOG</t>
        </is>
      </c>
      <c r="B9" t="inlineStr">
        <is>
          <t>USD</t>
        </is>
      </c>
      <c r="C9" t="n">
        <v>7</v>
      </c>
      <c r="D9" s="2" t="n">
        <v>46182</v>
      </c>
      <c r="E9" s="2" t="n">
        <v>46191</v>
      </c>
      <c r="F9">
        <f>E9-D9</f>
        <v/>
      </c>
      <c r="G9">
        <f>IF(F9&gt;730,"LTCG","STCG")</f>
        <v/>
      </c>
      <c r="H9" s="3" t="n">
        <v>2555</v>
      </c>
      <c r="I9" s="3" t="n">
        <v>694.47</v>
      </c>
      <c r="J9" s="3" t="n">
        <v>1.05</v>
      </c>
      <c r="K9" s="3" t="n">
        <v>1</v>
      </c>
      <c r="L9">
        <f>H9*K9</f>
        <v/>
      </c>
      <c r="M9">
        <f>I9*K9</f>
        <v/>
      </c>
      <c r="N9" s="3" t="n">
        <v>94.59999999999999</v>
      </c>
      <c r="O9" s="3" t="n">
        <v>94.59999999999999</v>
      </c>
      <c r="P9" s="3" t="n">
        <v>94.59999999999999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>
        <is>
          <t>Acq date = Internal In from U25039405; confirm original Individual/FOP buy dates for LTCG</t>
        </is>
      </c>
    </row>
    <row r="10">
      <c r="A10" t="inlineStr">
        <is>
          <t>BNO</t>
        </is>
      </c>
      <c r="B10" t="inlineStr">
        <is>
          <t>USD</t>
        </is>
      </c>
      <c r="C10" t="n">
        <v>10</v>
      </c>
      <c r="D10" s="2" t="n">
        <v>46182</v>
      </c>
      <c r="E10" s="2" t="n">
        <v>46230</v>
      </c>
      <c r="F10">
        <f>E10-D10</f>
        <v/>
      </c>
      <c r="G10">
        <f>IF(F10&gt;730,"LTCG","STCG")</f>
        <v/>
      </c>
      <c r="H10" s="3" t="n">
        <v>498.6</v>
      </c>
      <c r="I10" s="3" t="n">
        <v>507.8</v>
      </c>
      <c r="J10" s="3" t="n">
        <v>1.01</v>
      </c>
      <c r="K10" s="3" t="n">
        <v>1</v>
      </c>
      <c r="L10">
        <f>H10*K10</f>
        <v/>
      </c>
      <c r="M10">
        <f>I10*K10</f>
        <v/>
      </c>
      <c r="N10" s="3" t="n">
        <v>93.95</v>
      </c>
      <c r="O10" s="3" t="n">
        <v>94.59999999999999</v>
      </c>
      <c r="P10" s="3" t="n">
        <v>93.95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POW</t>
        </is>
      </c>
      <c r="B11" t="inlineStr">
        <is>
          <t>USD</t>
        </is>
      </c>
      <c r="C11" t="n">
        <v>20</v>
      </c>
      <c r="D11" s="2" t="n">
        <v>46182</v>
      </c>
      <c r="E11" s="2" t="n">
        <v>46265</v>
      </c>
      <c r="F11">
        <f>E11-D11</f>
        <v/>
      </c>
      <c r="G11">
        <f>IF(F11&gt;730,"LTCG","STCG")</f>
        <v/>
      </c>
      <c r="H11" s="3" t="n">
        <v>516</v>
      </c>
      <c r="I11" s="3" t="n">
        <v>591</v>
      </c>
      <c r="J11" s="3" t="n">
        <v>1.01</v>
      </c>
      <c r="K11" s="3" t="n">
        <v>1</v>
      </c>
      <c r="L11">
        <f>H11*K11</f>
        <v/>
      </c>
      <c r="M11">
        <f>I11*K11</f>
        <v/>
      </c>
      <c r="N11" s="3" t="n">
        <v>95.2</v>
      </c>
      <c r="O11" s="3" t="n">
        <v>94.59999999999999</v>
      </c>
      <c r="P11" s="3" t="n">
        <v>95.2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QTUM</t>
        </is>
      </c>
      <c r="B12" t="inlineStr">
        <is>
          <t>USD</t>
        </is>
      </c>
      <c r="C12" t="n">
        <v>2.4</v>
      </c>
      <c r="D12" s="2" t="n">
        <v>46196</v>
      </c>
      <c r="E12" s="2" t="n">
        <v>46265</v>
      </c>
      <c r="F12">
        <f>E12-D12</f>
        <v/>
      </c>
      <c r="G12">
        <f>IF(F12&gt;730,"LTCG","STCG")</f>
        <v/>
      </c>
      <c r="H12" s="3" t="n">
        <v>356</v>
      </c>
      <c r="I12" s="3" t="n">
        <v>389.31</v>
      </c>
      <c r="J12" s="3" t="n">
        <v>1.01</v>
      </c>
      <c r="K12" s="3" t="n">
        <v>1</v>
      </c>
      <c r="L12">
        <f>H12*K12</f>
        <v/>
      </c>
      <c r="M12">
        <f>I12*K12</f>
        <v/>
      </c>
      <c r="N12" s="3" t="n">
        <v>95.2</v>
      </c>
      <c r="O12" s="3" t="n">
        <v>94.59999999999999</v>
      </c>
      <c r="P12" s="3" t="n">
        <v>95.2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/>
    <row r="14">
      <c r="G14" s="4" t="inlineStr">
        <is>
          <t>TOTAL STCG (INR)</t>
        </is>
      </c>
      <c r="T14" s="4">
        <f>SUMIF(G5:G12,"STCG",T5:T12)</f>
        <v/>
      </c>
    </row>
    <row r="15">
      <c r="G15" s="4" t="inlineStr">
        <is>
          <t>TOTAL LTCG (INR)</t>
        </is>
      </c>
      <c r="T15" s="4">
        <f>SUMIF(G5:G12,"LTCG",T5:T12)</f>
        <v/>
      </c>
    </row>
    <row r="16">
      <c r="G16" s="4" t="inlineStr">
        <is>
          <t>TOTAL CG (INR)</t>
        </is>
      </c>
      <c r="T16" s="4">
        <f>T14+T15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— FY 2026-27 YTD (21-May-2026 to 03-Sep-2026). Partial — full year needs statement to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46252</v>
      </c>
      <c r="B7" t="inlineStr">
        <is>
          <t>NOVO B(DK0062498333) Cash Dividend DKK 3.75 per Share (Ordinary Dividend)</t>
        </is>
      </c>
      <c r="C7" t="inlineStr">
        <is>
          <t>DKK</t>
        </is>
      </c>
      <c r="D7" t="n">
        <v>26.25</v>
      </c>
      <c r="E7" t="n">
        <v>4.1281</v>
      </c>
      <c r="F7" t="n">
        <v>95.2</v>
      </c>
      <c r="G7" t="n">
        <v>393</v>
      </c>
    </row>
    <row r="8">
      <c r="A8" s="2" t="n">
        <v>46237</v>
      </c>
      <c r="B8" t="inlineStr">
        <is>
          <t>UU.(GB00B39J2M42) Cash Dividend GBP 0.3578 per Share (Ordinary Dividend)</t>
        </is>
      </c>
      <c r="C8" t="inlineStr">
        <is>
          <t>GBP</t>
        </is>
      </c>
      <c r="D8" t="n">
        <v>14.31</v>
      </c>
      <c r="E8" t="n">
        <v>19.204</v>
      </c>
      <c r="F8" t="n">
        <v>95.2</v>
      </c>
      <c r="G8" t="n">
        <v>1828</v>
      </c>
    </row>
    <row r="9">
      <c r="A9" s="2" t="n">
        <v>46188</v>
      </c>
      <c r="B9" t="inlineStr">
        <is>
          <t>GOOG(US02079K1079) Cash Dividend USD 0.22 per Share (Ordinary Dividend)</t>
        </is>
      </c>
      <c r="C9" t="inlineStr">
        <is>
          <t>USD</t>
        </is>
      </c>
      <c r="D9" t="n">
        <v>3.52</v>
      </c>
      <c r="E9" t="n">
        <v>3.52</v>
      </c>
      <c r="F9" t="n">
        <v>94.59999999999999</v>
      </c>
      <c r="G9" t="n">
        <v>333</v>
      </c>
    </row>
    <row r="10">
      <c r="A10" s="2" t="n">
        <v>46191</v>
      </c>
      <c r="B10" t="inlineStr">
        <is>
          <t>PICK(US46434G8481) Cash Dividend USD 0.542279 per Share (Ordinary Dividend)</t>
        </is>
      </c>
      <c r="C10" t="inlineStr">
        <is>
          <t>USD</t>
        </is>
      </c>
      <c r="D10" t="n">
        <v>8.130000000000001</v>
      </c>
      <c r="E10" t="n">
        <v>8.130000000000001</v>
      </c>
      <c r="F10" t="n">
        <v>94.59999999999999</v>
      </c>
      <c r="G10" t="n">
        <v>769</v>
      </c>
    </row>
    <row r="11">
      <c r="A11" s="2" t="n">
        <v>46198</v>
      </c>
      <c r="B11" t="inlineStr">
        <is>
          <t>QTUM(US26922A4206) Cash Dividend USD 0.269935 per Share (Ordinary Dividend)</t>
        </is>
      </c>
      <c r="C11" t="inlineStr">
        <is>
          <t>USD</t>
        </is>
      </c>
      <c r="D11" t="n">
        <v>0.65</v>
      </c>
      <c r="E11" t="n">
        <v>0.65</v>
      </c>
      <c r="F11" t="n">
        <v>94.59999999999999</v>
      </c>
      <c r="G11" t="n">
        <v>61</v>
      </c>
    </row>
    <row r="12">
      <c r="A12" s="2" t="n">
        <v>46210</v>
      </c>
      <c r="B12" t="inlineStr">
        <is>
          <t>AIQ(US37954Y6326) Cash Dividend USD 0.000452 per Share (Ordinary Dividend)</t>
        </is>
      </c>
      <c r="C12" t="inlineStr">
        <is>
          <t>USD</t>
        </is>
      </c>
      <c r="D12" t="n">
        <v>0.01</v>
      </c>
      <c r="E12" t="n">
        <v>0.01</v>
      </c>
      <c r="F12" t="n">
        <v>93.95</v>
      </c>
      <c r="G12" t="n">
        <v>1</v>
      </c>
    </row>
    <row r="13">
      <c r="A13" s="2" t="n">
        <v>46220</v>
      </c>
      <c r="B13" t="inlineStr">
        <is>
          <t>MDT(IE00BTN1Y115) Cash Dividend USD 0.72 per Share (Ordinary Dividend)</t>
        </is>
      </c>
      <c r="C13" t="inlineStr">
        <is>
          <t>USD</t>
        </is>
      </c>
      <c r="D13" t="n">
        <v>3.6</v>
      </c>
      <c r="E13" t="n">
        <v>3.6</v>
      </c>
      <c r="F13" t="n">
        <v>93.95</v>
      </c>
      <c r="G13" t="n">
        <v>338</v>
      </c>
    </row>
    <row r="14">
      <c r="A14" s="2" t="n">
        <v>46234</v>
      </c>
      <c r="B14" t="inlineStr">
        <is>
          <t>JPM(US46625H1005) Cash Dividend USD 1.50 per Share (Ordinary Dividend)</t>
        </is>
      </c>
      <c r="C14" t="inlineStr">
        <is>
          <t>USD</t>
        </is>
      </c>
      <c r="D14" t="n">
        <v>3</v>
      </c>
      <c r="E14" t="n">
        <v>3</v>
      </c>
      <c r="F14" t="n">
        <v>93.95</v>
      </c>
      <c r="G14" t="n">
        <v>282</v>
      </c>
    </row>
    <row r="15">
      <c r="B15" t="inlineStr">
        <is>
          <t>TOTAL DIVIDENDS</t>
        </is>
      </c>
      <c r="E15" t="n">
        <v>42.24</v>
      </c>
      <c r="G15" t="n">
        <v>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2026-09-09T10:07:17Z</dcterms:created>
  <dcterms:modified xsi:type="dcterms:W3CDTF">2026-09-09T10:07:17Z</dcterms:modified>
</cp:coreProperties>
</file>