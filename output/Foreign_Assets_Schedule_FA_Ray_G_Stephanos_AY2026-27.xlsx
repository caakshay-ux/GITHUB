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48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Cayman Islands</t>
        </is>
      </c>
      <c r="B5" t="n">
        <v>40</v>
      </c>
      <c r="C5" t="inlineStr">
        <is>
          <t>Xiaomi Corp - Class B  [Ticker: 1810]  Qty: 0</t>
        </is>
      </c>
      <c r="D5" t="inlineStr">
        <is>
          <t>Xiaomi Corporation, Cayman Islands / Beijing ops</t>
        </is>
      </c>
      <c r="E5" t="inlineStr"/>
      <c r="F5" t="inlineStr">
        <is>
          <t>Listed Foreign Equity Share (Company)</t>
        </is>
      </c>
      <c r="G5" t="inlineStr">
        <is>
          <t>2025-08-20</t>
        </is>
      </c>
      <c r="H5" t="n">
        <v>115330</v>
      </c>
      <c r="I5" t="n">
        <v>118401</v>
      </c>
      <c r="J5" t="n">
        <v>0</v>
      </c>
      <c r="K5" t="n">
        <v>0</v>
      </c>
      <c r="L5" t="n">
        <v>91891</v>
      </c>
    </row>
    <row r="6">
      <c r="A6" t="inlineStr">
        <is>
          <t>China</t>
        </is>
      </c>
      <c r="B6" t="n">
        <v>44</v>
      </c>
      <c r="C6" t="inlineStr">
        <is>
          <t>COSCO Shipping Holdings Co - H  [Ticker: 1919]  Qty: 500</t>
        </is>
      </c>
      <c r="D6" t="inlineStr">
        <is>
          <t>COSCO SHIPPING Holdings Co Ltd, Shanghai</t>
        </is>
      </c>
      <c r="E6" t="inlineStr"/>
      <c r="F6" t="inlineStr">
        <is>
          <t>Listed Foreign Equity Share (Company)</t>
        </is>
      </c>
      <c r="G6" t="inlineStr">
        <is>
          <t>2025-08-20</t>
        </is>
      </c>
      <c r="H6" t="n">
        <v>81702</v>
      </c>
      <c r="I6" t="n">
        <v>83877</v>
      </c>
      <c r="J6" t="n">
        <v>79035</v>
      </c>
      <c r="K6" t="n">
        <v>3198</v>
      </c>
      <c r="L6" t="n">
        <v>0</v>
      </c>
    </row>
    <row r="7">
      <c r="A7" t="inlineStr">
        <is>
          <t>Hong Kong</t>
        </is>
      </c>
      <c r="B7" t="n">
        <v>94</v>
      </c>
      <c r="C7" t="inlineStr">
        <is>
          <t>ChinaAMC Hang Seng Biotech ETF  [Ticker: 3069]  Qty: 600</t>
        </is>
      </c>
      <c r="D7" t="inlineStr">
        <is>
          <t>ChinaAMC, Hong Kong</t>
        </is>
      </c>
      <c r="E7" t="inlineStr"/>
      <c r="F7" t="inlineStr">
        <is>
          <t>Exchange Traded Fund (Investment Trust)</t>
        </is>
      </c>
      <c r="G7" t="inlineStr">
        <is>
          <t>2025-08-20</t>
        </is>
      </c>
      <c r="H7" t="n">
        <v>114894</v>
      </c>
      <c r="I7" t="n">
        <v>117952</v>
      </c>
      <c r="J7" t="n">
        <v>98981</v>
      </c>
      <c r="K7" t="n">
        <v>343</v>
      </c>
      <c r="L7" t="n">
        <v>0</v>
      </c>
    </row>
    <row r="8">
      <c r="A8" t="inlineStr">
        <is>
          <t>Hong Kong</t>
        </is>
      </c>
      <c r="B8" t="n">
        <v>94</v>
      </c>
      <c r="C8" t="inlineStr">
        <is>
          <t>ChinaAMC Hang Seng TECH Index ETF  [Ticker: 3088]  Qty: 1000</t>
        </is>
      </c>
      <c r="D8" t="inlineStr">
        <is>
          <t>ChinaAMC, Hong Kong</t>
        </is>
      </c>
      <c r="E8" t="inlineStr"/>
      <c r="F8" t="inlineStr">
        <is>
          <t>Exchange Traded Fund (Investment Trust)</t>
        </is>
      </c>
      <c r="G8" t="inlineStr">
        <is>
          <t>2025-08-20</t>
        </is>
      </c>
      <c r="H8" t="n">
        <v>78981</v>
      </c>
      <c r="I8" t="n">
        <v>81084</v>
      </c>
      <c r="J8" t="n">
        <v>80300</v>
      </c>
      <c r="K8" t="n">
        <v>229</v>
      </c>
      <c r="L8" t="n">
        <v>0</v>
      </c>
    </row>
    <row r="9">
      <c r="A9" t="inlineStr">
        <is>
          <t>Hong Kong</t>
        </is>
      </c>
      <c r="B9" t="n">
        <v>94</v>
      </c>
      <c r="C9" t="inlineStr">
        <is>
          <t>ChinaAMC CSI 300 Index ETF  [Ticker: 3188]  Qty: 200</t>
        </is>
      </c>
      <c r="D9" t="inlineStr">
        <is>
          <t>ChinaAMC, Hong Kong</t>
        </is>
      </c>
      <c r="E9" t="inlineStr"/>
      <c r="F9" t="inlineStr">
        <is>
          <t>Exchange Traded Fund (Investment Trust)</t>
        </is>
      </c>
      <c r="G9" t="inlineStr">
        <is>
          <t>2025-08-20</t>
        </is>
      </c>
      <c r="H9" t="n">
        <v>108824</v>
      </c>
      <c r="I9" t="n">
        <v>122593</v>
      </c>
      <c r="J9" t="n">
        <v>122593</v>
      </c>
      <c r="K9" t="n">
        <v>0</v>
      </c>
      <c r="L9" t="n">
        <v>0</v>
      </c>
    </row>
    <row r="10">
      <c r="A10" t="inlineStr">
        <is>
          <t>Hong Kong</t>
        </is>
      </c>
      <c r="B10" t="n">
        <v>94</v>
      </c>
      <c r="C10" t="inlineStr">
        <is>
          <t>Global X HSCEI Covered Call ETF  [Ticker: 3416]  Qty: 1000</t>
        </is>
      </c>
      <c r="D10" t="inlineStr">
        <is>
          <t>Global X ETFs / Mirae Asset, Hong Kong</t>
        </is>
      </c>
      <c r="E10" t="inlineStr"/>
      <c r="F10" t="inlineStr">
        <is>
          <t>Exchange Traded Fund (Investment Trust)</t>
        </is>
      </c>
      <c r="G10" t="inlineStr">
        <is>
          <t>2025-08-20</t>
        </is>
      </c>
      <c r="H10" t="n">
        <v>120135</v>
      </c>
      <c r="I10" t="n">
        <v>123333</v>
      </c>
      <c r="J10" t="n">
        <v>119788</v>
      </c>
      <c r="K10" t="n">
        <v>6354</v>
      </c>
      <c r="L10" t="n">
        <v>0</v>
      </c>
    </row>
    <row r="11">
      <c r="A11" t="inlineStr">
        <is>
          <t>Japan</t>
        </is>
      </c>
      <c r="B11" t="n">
        <v>111</v>
      </c>
      <c r="C11" t="inlineStr">
        <is>
          <t>Daiichi Sankyo Co Ltd  [Ticker: 4568.T]  Qty: 100</t>
        </is>
      </c>
      <c r="D11" t="inlineStr">
        <is>
          <t>3-5-1 Nihonbashi Honcho, Chuo-ku, Tokyo</t>
        </is>
      </c>
      <c r="E11" t="inlineStr">
        <is>
          <t>103-8426</t>
        </is>
      </c>
      <c r="F11" t="inlineStr">
        <is>
          <t>Listed Foreign Equity Share (Company)</t>
        </is>
      </c>
      <c r="G11" t="inlineStr">
        <is>
          <t>2025-03-20</t>
        </is>
      </c>
      <c r="H11" t="n">
        <v>206616</v>
      </c>
      <c r="I11" t="n">
        <v>212604</v>
      </c>
      <c r="J11" t="n">
        <v>191191</v>
      </c>
      <c r="K11" t="n">
        <v>3844</v>
      </c>
      <c r="L11" t="n">
        <v>0</v>
      </c>
    </row>
    <row r="12">
      <c r="A12" t="inlineStr">
        <is>
          <t>United States of America</t>
        </is>
      </c>
      <c r="B12" t="n">
        <v>2</v>
      </c>
      <c r="C12" t="inlineStr">
        <is>
          <t>Apple Inc - Common Stock  [Ticker: AAPL]  Qty: 7</t>
        </is>
      </c>
      <c r="D12" t="inlineStr">
        <is>
          <t>One Apple Park Way, Cupertino, CA</t>
        </is>
      </c>
      <c r="E12" t="inlineStr">
        <is>
          <t>95014</t>
        </is>
      </c>
      <c r="F12" t="inlineStr">
        <is>
          <t>Listed Foreign Equity Share (Company)</t>
        </is>
      </c>
      <c r="G12" t="inlineStr">
        <is>
          <t>2025-08-21</t>
        </is>
      </c>
      <c r="H12" t="n">
        <v>137263</v>
      </c>
      <c r="I12" t="n">
        <v>170263</v>
      </c>
      <c r="J12" t="n">
        <v>170263</v>
      </c>
      <c r="K12" t="n">
        <v>161</v>
      </c>
      <c r="L12" t="n">
        <v>0</v>
      </c>
    </row>
    <row r="13">
      <c r="A13" t="inlineStr">
        <is>
          <t>United States of America</t>
        </is>
      </c>
      <c r="B13" t="n">
        <v>2</v>
      </c>
      <c r="C13" t="inlineStr">
        <is>
          <t>iShares MSCI All Country Asia ex Japan ETF  [Ticker: AAXJ]  Qty: 8</t>
        </is>
      </c>
      <c r="D13" t="inlineStr">
        <is>
          <t>c/o BlackRock Fund Advisors, 400 Howard Street, San Francisco, CA</t>
        </is>
      </c>
      <c r="E13" t="inlineStr">
        <is>
          <t>94105</t>
        </is>
      </c>
      <c r="F13" t="inlineStr">
        <is>
          <t>Exchange Traded Fund (Investment Trust)</t>
        </is>
      </c>
      <c r="G13" t="inlineStr">
        <is>
          <t>2025-08-21</t>
        </is>
      </c>
      <c r="H13" t="n">
        <v>59747</v>
      </c>
      <c r="I13" t="n">
        <v>66652</v>
      </c>
      <c r="J13" t="n">
        <v>66652</v>
      </c>
      <c r="K13" t="n">
        <v>801</v>
      </c>
      <c r="L13" t="n">
        <v>0</v>
      </c>
    </row>
    <row r="14">
      <c r="A14" t="inlineStr">
        <is>
          <t>United States of America</t>
        </is>
      </c>
      <c r="B14" t="n">
        <v>2</v>
      </c>
      <c r="C14" t="inlineStr">
        <is>
          <t>Global X Artificial Intelligence &amp; Technology ETF  [Ticker: AIQ]  Qty: 36</t>
        </is>
      </c>
      <c r="D14" t="inlineStr">
        <is>
          <t>c/o Global X Management Company LLC, 605 Third Avenue, New York, NY</t>
        </is>
      </c>
      <c r="E14" t="inlineStr">
        <is>
          <t>10158</t>
        </is>
      </c>
      <c r="F14" t="inlineStr">
        <is>
          <t>Exchange Traded Fund (Investment Trust)</t>
        </is>
      </c>
      <c r="G14" t="inlineStr">
        <is>
          <t>2024-12-12</t>
        </is>
      </c>
      <c r="H14" t="n">
        <v>118517</v>
      </c>
      <c r="I14" t="n">
        <v>163816</v>
      </c>
      <c r="J14" t="n">
        <v>163816</v>
      </c>
      <c r="K14" t="n">
        <v>182</v>
      </c>
      <c r="L14" t="n">
        <v>0</v>
      </c>
    </row>
    <row r="15">
      <c r="A15" t="inlineStr">
        <is>
          <t>United States of America</t>
        </is>
      </c>
      <c r="B15" t="n">
        <v>2</v>
      </c>
      <c r="C15" t="inlineStr">
        <is>
          <t>AIR  [Ticker: AIR]  Qty: 0</t>
        </is>
      </c>
      <c r="D15" t="inlineStr"/>
      <c r="E15" t="inlineStr"/>
      <c r="F15" t="inlineStr">
        <is>
          <t>Listed Foreign Equity / ETF</t>
        </is>
      </c>
      <c r="G15" t="inlineStr">
        <is>
          <t>2025-01-01</t>
        </is>
      </c>
      <c r="H15" t="n">
        <v>0</v>
      </c>
      <c r="I15" t="n">
        <v>0</v>
      </c>
      <c r="J15" t="n">
        <v>0</v>
      </c>
      <c r="K15" t="n">
        <v>2999</v>
      </c>
      <c r="L15" t="n">
        <v>0</v>
      </c>
    </row>
    <row r="16">
      <c r="A16" t="inlineStr">
        <is>
          <t>Netherlands</t>
        </is>
      </c>
      <c r="B16" t="n">
        <v>156</v>
      </c>
      <c r="C16" t="inlineStr">
        <is>
          <t>Airbus SE  [Ticker: AIRd]  Qty: 0</t>
        </is>
      </c>
      <c r="D16" t="inlineStr">
        <is>
          <t>2 rond-point Emile Dewoitine, Blagnac / Airbus SE registered NL</t>
        </is>
      </c>
      <c r="E16" t="inlineStr">
        <is>
          <t>31700</t>
        </is>
      </c>
      <c r="F16" t="inlineStr">
        <is>
          <t>Listed Foreign Equity Share (Company)</t>
        </is>
      </c>
      <c r="G16" t="inlineStr">
        <is>
          <t>2025-04-07</t>
        </is>
      </c>
      <c r="H16" t="n">
        <v>137503</v>
      </c>
      <c r="I16" t="n">
        <v>189669</v>
      </c>
      <c r="J16" t="n">
        <v>0</v>
      </c>
      <c r="K16" t="n">
        <v>0</v>
      </c>
      <c r="L16" t="n">
        <v>180405</v>
      </c>
    </row>
    <row r="17">
      <c r="A17" t="inlineStr">
        <is>
          <t>United States of America</t>
        </is>
      </c>
      <c r="B17" t="n">
        <v>2</v>
      </c>
      <c r="C17" t="inlineStr">
        <is>
          <t>Advanced Micro Devices Inc  [Ticker: AMD]  Qty: 9</t>
        </is>
      </c>
      <c r="D17" t="inlineStr">
        <is>
          <t>2485 Augustine Drive, Santa Clara, CA</t>
        </is>
      </c>
      <c r="E17" t="inlineStr">
        <is>
          <t>95054</t>
        </is>
      </c>
      <c r="F17" t="inlineStr">
        <is>
          <t>Listed Foreign Equity Share (Company)</t>
        </is>
      </c>
      <c r="G17" t="inlineStr">
        <is>
          <t>2025-01-30</t>
        </is>
      </c>
      <c r="H17" t="n">
        <v>12161</v>
      </c>
      <c r="I17" t="n">
        <v>172448</v>
      </c>
      <c r="J17" t="n">
        <v>172448</v>
      </c>
      <c r="K17" t="n">
        <v>0</v>
      </c>
      <c r="L17" t="n">
        <v>16564</v>
      </c>
    </row>
    <row r="18">
      <c r="A18" t="inlineStr">
        <is>
          <t>United States of America</t>
        </is>
      </c>
      <c r="B18" t="n">
        <v>2</v>
      </c>
      <c r="C18" t="inlineStr">
        <is>
          <t>Amazon.com Inc  [Ticker: AMZN]  Qty: 0</t>
        </is>
      </c>
      <c r="D18" t="inlineStr">
        <is>
          <t>410 Terry Avenue North, Seattle, WA</t>
        </is>
      </c>
      <c r="E18" t="inlineStr">
        <is>
          <t>98109</t>
        </is>
      </c>
      <c r="F18" t="inlineStr">
        <is>
          <t>Listed Foreign Equity Share (Company)</t>
        </is>
      </c>
      <c r="G18" t="inlineStr">
        <is>
          <t>2024-09-09</t>
        </is>
      </c>
      <c r="H18" t="n">
        <v>112152</v>
      </c>
      <c r="I18" t="n">
        <v>124553</v>
      </c>
      <c r="J18" t="n">
        <v>0</v>
      </c>
      <c r="K18" t="n">
        <v>0</v>
      </c>
      <c r="L18" t="n">
        <v>118469</v>
      </c>
    </row>
    <row r="19">
      <c r="A19" t="inlineStr">
        <is>
          <t>Netherlands</t>
        </is>
      </c>
      <c r="B19" t="n">
        <v>156</v>
      </c>
      <c r="C19" t="inlineStr">
        <is>
          <t>ASML Holding NV - NY Registered Shares  [Ticker: ASML]  Qty: 3</t>
        </is>
      </c>
      <c r="D19" t="inlineStr">
        <is>
          <t>De Run 6501, 5504 DR Veldhoven</t>
        </is>
      </c>
      <c r="E19" t="inlineStr">
        <is>
          <t>5504 DR</t>
        </is>
      </c>
      <c r="F19" t="inlineStr">
        <is>
          <t>American Depository Receipt of Listed Foreign Company</t>
        </is>
      </c>
      <c r="G19" t="inlineStr">
        <is>
          <t>2024-10-22</t>
        </is>
      </c>
      <c r="H19" t="n">
        <v>354302</v>
      </c>
      <c r="I19" t="n">
        <v>388169</v>
      </c>
      <c r="J19" t="n">
        <v>287161</v>
      </c>
      <c r="K19" t="n">
        <v>2362</v>
      </c>
      <c r="L19" t="n">
        <v>369210</v>
      </c>
    </row>
    <row r="20">
      <c r="A20" t="inlineStr">
        <is>
          <t>United States of America</t>
        </is>
      </c>
      <c r="B20" t="n">
        <v>2</v>
      </c>
      <c r="C20" t="inlineStr">
        <is>
          <t>Broadcom Inc  [Ticker: AVGO]  Qty: 0</t>
        </is>
      </c>
      <c r="D20" t="inlineStr">
        <is>
          <t>3421 Hillview Avenue, Palo Alto, CA</t>
        </is>
      </c>
      <c r="E20" t="inlineStr">
        <is>
          <t>94304</t>
        </is>
      </c>
      <c r="F20" t="inlineStr">
        <is>
          <t>Listed Foreign Equity Share (Company)</t>
        </is>
      </c>
      <c r="G20" t="inlineStr">
        <is>
          <t>2024-09-09</t>
        </is>
      </c>
      <c r="H20" t="n">
        <v>177775</v>
      </c>
      <c r="I20" t="n">
        <v>232679</v>
      </c>
      <c r="J20" t="n">
        <v>0</v>
      </c>
      <c r="K20" t="n">
        <v>914</v>
      </c>
      <c r="L20" t="n">
        <v>221314</v>
      </c>
    </row>
    <row r="21">
      <c r="A21" t="inlineStr">
        <is>
          <t>United States of America</t>
        </is>
      </c>
      <c r="B21" t="n">
        <v>2</v>
      </c>
      <c r="C21" t="inlineStr">
        <is>
          <t>Bank of America Corp  [Ticker: BAC]  Qty: 0</t>
        </is>
      </c>
      <c r="D21" t="inlineStr">
        <is>
          <t>100 North Tryon Street, Charlotte, NC</t>
        </is>
      </c>
      <c r="E21" t="inlineStr">
        <is>
          <t>28255</t>
        </is>
      </c>
      <c r="F21" t="inlineStr">
        <is>
          <t>Listed Foreign Equity Share (Company)</t>
        </is>
      </c>
      <c r="G21" t="inlineStr">
        <is>
          <t>2025-04-07</t>
        </is>
      </c>
      <c r="H21" t="n">
        <v>178361</v>
      </c>
      <c r="I21" t="n">
        <v>262156</v>
      </c>
      <c r="J21" t="n">
        <v>0</v>
      </c>
      <c r="K21" t="n">
        <v>1328</v>
      </c>
      <c r="L21" t="n">
        <v>249352</v>
      </c>
    </row>
    <row r="22">
      <c r="A22" t="inlineStr">
        <is>
          <t>United States of America</t>
        </is>
      </c>
      <c r="B22" t="n">
        <v>2</v>
      </c>
      <c r="C22" t="inlineStr">
        <is>
          <t>Blue Bird Corp  [Ticker: BLBD]  Qty: 0</t>
        </is>
      </c>
      <c r="D22" t="inlineStr">
        <is>
          <t>3920 Arkwright Road, Macon, GA</t>
        </is>
      </c>
      <c r="E22" t="inlineStr">
        <is>
          <t>31210</t>
        </is>
      </c>
      <c r="F22" t="inlineStr">
        <is>
          <t>Listed Foreign Equity Share (Company)</t>
        </is>
      </c>
      <c r="G22" t="inlineStr">
        <is>
          <t>2024-10-22</t>
        </is>
      </c>
      <c r="H22" t="n">
        <v>197477</v>
      </c>
      <c r="I22" t="n">
        <v>207374</v>
      </c>
      <c r="J22" t="n">
        <v>0</v>
      </c>
      <c r="K22" t="n">
        <v>0</v>
      </c>
      <c r="L22" t="n">
        <v>179126</v>
      </c>
    </row>
    <row r="23">
      <c r="A23" t="inlineStr">
        <is>
          <t>United States of America</t>
        </is>
      </c>
      <c r="B23" t="n">
        <v>2</v>
      </c>
      <c r="C23" t="inlineStr">
        <is>
          <t>Global X Robotics &amp; Artificial Intelligence ETF  [Ticker: BOTZ]  Qty: 24</t>
        </is>
      </c>
      <c r="D23" t="inlineStr">
        <is>
          <t>c/o Global X Management Company LLC, 605 Third Avenue, New York, NY</t>
        </is>
      </c>
      <c r="E23" t="inlineStr">
        <is>
          <t>10158</t>
        </is>
      </c>
      <c r="F23" t="inlineStr">
        <is>
          <t>Exchange Traded Fund (Investment Trust)</t>
        </is>
      </c>
      <c r="G23" t="inlineStr">
        <is>
          <t>2025-08-21</t>
        </is>
      </c>
      <c r="H23" t="n">
        <v>68953</v>
      </c>
      <c r="I23" t="n">
        <v>77796</v>
      </c>
      <c r="J23" t="n">
        <v>77796</v>
      </c>
      <c r="K23" t="n">
        <v>0</v>
      </c>
      <c r="L23" t="n">
        <v>0</v>
      </c>
    </row>
    <row r="24">
      <c r="A24" t="inlineStr">
        <is>
          <t>United Kingdom</t>
        </is>
      </c>
      <c r="B24" t="n">
        <v>234</v>
      </c>
      <c r="C24" t="inlineStr">
        <is>
          <t>British American Tobacco plc - Sponsored ADR  [Ticker: BTI]  Qty: 0</t>
        </is>
      </c>
      <c r="D24" t="inlineStr">
        <is>
          <t>Globe House, 4 Temple Place, London</t>
        </is>
      </c>
      <c r="E24" t="inlineStr">
        <is>
          <t>WC2R 2PG</t>
        </is>
      </c>
      <c r="F24" t="inlineStr">
        <is>
          <t>American Depository Receipt of Listed Foreign Company</t>
        </is>
      </c>
      <c r="G24" t="inlineStr">
        <is>
          <t>2024-10-04</t>
        </is>
      </c>
      <c r="H24" t="n">
        <v>102117</v>
      </c>
      <c r="I24" t="n">
        <v>155346</v>
      </c>
      <c r="J24" t="n">
        <v>0</v>
      </c>
      <c r="K24" t="n">
        <v>6600</v>
      </c>
      <c r="L24" t="n">
        <v>147759</v>
      </c>
    </row>
    <row r="25">
      <c r="A25" t="inlineStr">
        <is>
          <t>United States of America</t>
        </is>
      </c>
      <c r="B25" t="n">
        <v>2</v>
      </c>
      <c r="C25" t="inlineStr">
        <is>
          <t>Blackstone Inc  [Ticker: BX]  Qty: 0</t>
        </is>
      </c>
      <c r="D25" t="inlineStr">
        <is>
          <t>345 Park Avenue, New York, NY</t>
        </is>
      </c>
      <c r="E25" t="inlineStr">
        <is>
          <t>10154</t>
        </is>
      </c>
      <c r="F25" t="inlineStr">
        <is>
          <t>Listed Foreign Equity Share (Company)</t>
        </is>
      </c>
      <c r="G25" t="inlineStr">
        <is>
          <t>2024-10-04</t>
        </is>
      </c>
      <c r="H25" t="n">
        <v>176282</v>
      </c>
      <c r="I25" t="n">
        <v>192751</v>
      </c>
      <c r="J25" t="n">
        <v>0</v>
      </c>
      <c r="K25" t="n">
        <v>2430</v>
      </c>
      <c r="L25" t="n">
        <v>183336</v>
      </c>
    </row>
    <row r="26">
      <c r="A26" t="inlineStr">
        <is>
          <t>China</t>
        </is>
      </c>
      <c r="B26" t="n">
        <v>44</v>
      </c>
      <c r="C26" t="inlineStr">
        <is>
          <t>BYD Co Ltd - Unsponsored ADR  [Ticker: BYDDY]  Qty: 0</t>
        </is>
      </c>
      <c r="D26" t="inlineStr">
        <is>
          <t>No. 3009 BYD Road, Pingshan, Shenzhen</t>
        </is>
      </c>
      <c r="E26" t="inlineStr">
        <is>
          <t>518118</t>
        </is>
      </c>
      <c r="F26" t="inlineStr">
        <is>
          <t>American Depository Receipt of Listed Foreign Company</t>
        </is>
      </c>
      <c r="G26" t="inlineStr">
        <is>
          <t>2025-04-07</t>
        </is>
      </c>
      <c r="H26" t="n">
        <v>299710</v>
      </c>
      <c r="I26" t="n">
        <v>375736</v>
      </c>
      <c r="J26" t="n">
        <v>0</v>
      </c>
      <c r="K26" t="n">
        <v>4035</v>
      </c>
      <c r="L26" t="n">
        <v>357384</v>
      </c>
    </row>
    <row r="27">
      <c r="A27" t="inlineStr">
        <is>
          <t>United States of America</t>
        </is>
      </c>
      <c r="B27" t="n">
        <v>2</v>
      </c>
      <c r="C27" t="inlineStr">
        <is>
          <t>Caterpillar Inc  [Ticker: CAT]  Qty: 0</t>
        </is>
      </c>
      <c r="D27" t="inlineStr">
        <is>
          <t>5205 N O'Connor Boulevard, Irving, TX</t>
        </is>
      </c>
      <c r="E27" t="inlineStr">
        <is>
          <t>75039</t>
        </is>
      </c>
      <c r="F27" t="inlineStr">
        <is>
          <t>Listed Foreign Equity Share (Company)</t>
        </is>
      </c>
      <c r="G27" t="inlineStr">
        <is>
          <t>2024-09-09</t>
        </is>
      </c>
      <c r="H27" t="n">
        <v>92721</v>
      </c>
      <c r="I27" t="n">
        <v>345009</v>
      </c>
      <c r="J27" t="n">
        <v>0</v>
      </c>
      <c r="K27" t="n">
        <v>2618</v>
      </c>
      <c r="L27" t="n">
        <v>328158</v>
      </c>
    </row>
    <row r="28">
      <c r="A28" t="inlineStr">
        <is>
          <t>United States of America</t>
        </is>
      </c>
      <c r="B28" t="n">
        <v>2</v>
      </c>
      <c r="C28" t="inlineStr">
        <is>
          <t>ClearPoint Neuro Inc  [Ticker: CLPT]  Qty: 42</t>
        </is>
      </c>
      <c r="D28" t="inlineStr">
        <is>
          <t>120 S Sierra Avenue, Solana Beach, CA</t>
        </is>
      </c>
      <c r="E28" t="inlineStr">
        <is>
          <t>92075</t>
        </is>
      </c>
      <c r="F28" t="inlineStr">
        <is>
          <t>Listed Foreign Equity Share (Company)</t>
        </is>
      </c>
      <c r="G28" t="inlineStr">
        <is>
          <t>2025-10-06</t>
        </is>
      </c>
      <c r="H28" t="n">
        <v>102504</v>
      </c>
      <c r="I28" t="n">
        <v>103803</v>
      </c>
      <c r="J28" t="n">
        <v>51406</v>
      </c>
      <c r="K28" t="n">
        <v>0</v>
      </c>
      <c r="L28" t="n">
        <v>0</v>
      </c>
    </row>
    <row r="29">
      <c r="A29" t="inlineStr">
        <is>
          <t>United States of America</t>
        </is>
      </c>
      <c r="B29" t="n">
        <v>2</v>
      </c>
      <c r="C29" t="inlineStr">
        <is>
          <t>Coupang Inc (Delaware) - Class A  [Ticker: CPNG]  Qty: 50</t>
        </is>
      </c>
      <c r="D29" t="inlineStr">
        <is>
          <t>720 Olive Way, Suite 600, Seattle, WA</t>
        </is>
      </c>
      <c r="E29" t="inlineStr">
        <is>
          <t>98101</t>
        </is>
      </c>
      <c r="F29" t="inlineStr">
        <is>
          <t>Listed Foreign Equity Share (Company)</t>
        </is>
      </c>
      <c r="G29" t="inlineStr">
        <is>
          <t>2025-08-21</t>
        </is>
      </c>
      <c r="H29" t="n">
        <v>122816</v>
      </c>
      <c r="I29" t="n">
        <v>126086</v>
      </c>
      <c r="J29" t="n">
        <v>105530</v>
      </c>
      <c r="K29" t="n">
        <v>0</v>
      </c>
      <c r="L29" t="n">
        <v>0</v>
      </c>
    </row>
    <row r="30">
      <c r="A30" t="inlineStr">
        <is>
          <t>United States of America</t>
        </is>
      </c>
      <c r="B30" t="n">
        <v>2</v>
      </c>
      <c r="C30" t="inlineStr">
        <is>
          <t>Circle Internet Group Inc  [Ticker: CRCL]  Qty: 10</t>
        </is>
      </c>
      <c r="D30" t="inlineStr">
        <is>
          <t>99 High Street, Boston, MA</t>
        </is>
      </c>
      <c r="E30" t="inlineStr">
        <is>
          <t>02110</t>
        </is>
      </c>
      <c r="F30" t="inlineStr">
        <is>
          <t>Listed Foreign Equity Share (Company)</t>
        </is>
      </c>
      <c r="G30" t="inlineStr">
        <is>
          <t>2025-08-05</t>
        </is>
      </c>
      <c r="H30" t="n">
        <v>705409</v>
      </c>
      <c r="I30" t="n">
        <v>724188</v>
      </c>
      <c r="J30" t="n">
        <v>70950</v>
      </c>
      <c r="K30" t="n">
        <v>0</v>
      </c>
      <c r="L30" t="n">
        <v>523710</v>
      </c>
    </row>
    <row r="31">
      <c r="A31" t="inlineStr">
        <is>
          <t>United States of America</t>
        </is>
      </c>
      <c r="B31" t="n">
        <v>2</v>
      </c>
      <c r="C31" t="inlineStr">
        <is>
          <t>Cisco Systems Inc  [Ticker: CSCO]  Qty: 20</t>
        </is>
      </c>
      <c r="D31" t="inlineStr">
        <is>
          <t>170 West Tasman Drive, San Jose, CA</t>
        </is>
      </c>
      <c r="E31" t="inlineStr">
        <is>
          <t>95134</t>
        </is>
      </c>
      <c r="F31" t="inlineStr">
        <is>
          <t>Listed Foreign Equity Share (Company)</t>
        </is>
      </c>
      <c r="G31" t="inlineStr">
        <is>
          <t>2025-09-22</t>
        </is>
      </c>
      <c r="H31" t="n">
        <v>118869</v>
      </c>
      <c r="I31" t="n">
        <v>137837</v>
      </c>
      <c r="J31" t="n">
        <v>137837</v>
      </c>
      <c r="K31" t="n">
        <v>724</v>
      </c>
      <c r="L31" t="n">
        <v>0</v>
      </c>
    </row>
    <row r="32">
      <c r="A32" t="inlineStr">
        <is>
          <t>Germany</t>
        </is>
      </c>
      <c r="B32" t="n">
        <v>78</v>
      </c>
      <c r="C32" t="inlineStr">
        <is>
          <t>Deutsche Bank AG - Registered Shares  [Ticker: DB]  Qty: 33</t>
        </is>
      </c>
      <c r="D32" t="inlineStr">
        <is>
          <t>Taunusanlage 12, Frankfurt am Main</t>
        </is>
      </c>
      <c r="E32" t="inlineStr">
        <is>
          <t>60325</t>
        </is>
      </c>
      <c r="F32" t="inlineStr">
        <is>
          <t>Listed Foreign Equity Share (Company)</t>
        </is>
      </c>
      <c r="G32" t="inlineStr">
        <is>
          <t>2025-08-21</t>
        </is>
      </c>
      <c r="H32" t="n">
        <v>105287</v>
      </c>
      <c r="I32" t="n">
        <v>113849</v>
      </c>
      <c r="J32" t="n">
        <v>113849</v>
      </c>
      <c r="K32" t="n">
        <v>0</v>
      </c>
      <c r="L32" t="n">
        <v>0</v>
      </c>
    </row>
    <row r="33">
      <c r="A33" t="inlineStr">
        <is>
          <t>United States of America</t>
        </is>
      </c>
      <c r="B33" t="n">
        <v>2</v>
      </c>
      <c r="C33" t="inlineStr">
        <is>
          <t>Duolingo Inc  [Ticker: DUOL]  Qty: 9</t>
        </is>
      </c>
      <c r="D33" t="inlineStr">
        <is>
          <t>5900 Penn Avenue, Pittsburgh, PA</t>
        </is>
      </c>
      <c r="E33" t="inlineStr">
        <is>
          <t>15206</t>
        </is>
      </c>
      <c r="F33" t="inlineStr">
        <is>
          <t>Listed Foreign Equity Share (Company)</t>
        </is>
      </c>
      <c r="G33" t="inlineStr">
        <is>
          <t>2025-10-06</t>
        </is>
      </c>
      <c r="H33" t="n">
        <v>182535</v>
      </c>
      <c r="I33" t="n">
        <v>184849</v>
      </c>
      <c r="J33" t="n">
        <v>141318</v>
      </c>
      <c r="K33" t="n">
        <v>0</v>
      </c>
      <c r="L33" t="n">
        <v>0</v>
      </c>
    </row>
    <row r="34">
      <c r="A34" t="inlineStr">
        <is>
          <t>United States of America</t>
        </is>
      </c>
      <c r="B34" t="n">
        <v>2</v>
      </c>
      <c r="C34" t="inlineStr">
        <is>
          <t>WisdomTree Japan Hedged Equity Fund  [Ticker: DXJ]  Qty: 0</t>
        </is>
      </c>
      <c r="D34" t="inlineStr">
        <is>
          <t>c/o WisdomTree Investments Inc, 250 West 34th Street, New York, NY</t>
        </is>
      </c>
      <c r="E34" t="inlineStr">
        <is>
          <t>10119</t>
        </is>
      </c>
      <c r="F34" t="inlineStr">
        <is>
          <t>Exchange Traded Fund (Investment Trust)</t>
        </is>
      </c>
      <c r="G34" t="inlineStr">
        <is>
          <t>2024-09-09</t>
        </is>
      </c>
      <c r="H34" t="n">
        <v>56380</v>
      </c>
      <c r="I34" t="n">
        <v>64966</v>
      </c>
      <c r="J34" t="n">
        <v>0</v>
      </c>
      <c r="K34" t="n">
        <v>684</v>
      </c>
      <c r="L34" t="n">
        <v>61793</v>
      </c>
    </row>
    <row r="35">
      <c r="A35" t="inlineStr">
        <is>
          <t>United States of America</t>
        </is>
      </c>
      <c r="B35" t="n">
        <v>2</v>
      </c>
      <c r="C35" t="inlineStr">
        <is>
          <t>iShares MSCI Emerging Markets ex China ETF  [Ticker: EMXC]  Qty: 0</t>
        </is>
      </c>
      <c r="D35" t="inlineStr">
        <is>
          <t>c/o BlackRock Fund Advisors, 400 Howard Street, San Francisco, CA</t>
        </is>
      </c>
      <c r="E35" t="inlineStr">
        <is>
          <t>94105</t>
        </is>
      </c>
      <c r="F35" t="inlineStr">
        <is>
          <t>Exchange Traded Fund (Investment Trust)</t>
        </is>
      </c>
      <c r="G35" t="inlineStr">
        <is>
          <t>2024-09-09</t>
        </is>
      </c>
      <c r="H35" t="n">
        <v>42519</v>
      </c>
      <c r="I35" t="n">
        <v>51595</v>
      </c>
      <c r="J35" t="n">
        <v>0</v>
      </c>
      <c r="K35" t="n">
        <v>545</v>
      </c>
      <c r="L35" t="n">
        <v>49075</v>
      </c>
    </row>
    <row r="36">
      <c r="A36" t="inlineStr">
        <is>
          <t>United States of America</t>
        </is>
      </c>
      <c r="B36" t="n">
        <v>2</v>
      </c>
      <c r="C36" t="inlineStr">
        <is>
          <t>General Dynamics Corp  [Ticker: GD]  Qty: 0</t>
        </is>
      </c>
      <c r="D36" t="inlineStr">
        <is>
          <t>11011 Sunset Hills Road, Reston, VA</t>
        </is>
      </c>
      <c r="E36" t="inlineStr">
        <is>
          <t>20190</t>
        </is>
      </c>
      <c r="F36" t="inlineStr">
        <is>
          <t>Listed Foreign Equity Share (Company)</t>
        </is>
      </c>
      <c r="G36" t="inlineStr">
        <is>
          <t>2025-01-28</t>
        </is>
      </c>
      <c r="H36" t="n">
        <v>135512</v>
      </c>
      <c r="I36" t="n">
        <v>169848</v>
      </c>
      <c r="J36" t="n">
        <v>0</v>
      </c>
      <c r="K36" t="n">
        <v>1543</v>
      </c>
      <c r="L36" t="n">
        <v>161552</v>
      </c>
    </row>
    <row r="37">
      <c r="A37" t="inlineStr">
        <is>
          <t>United States of America</t>
        </is>
      </c>
      <c r="B37" t="n">
        <v>2</v>
      </c>
      <c r="C37" t="inlineStr">
        <is>
          <t>GE Aerospace / General Electric  [Ticker: GE]  Qty: 0</t>
        </is>
      </c>
      <c r="D37" t="inlineStr">
        <is>
          <t>1 Neumann Way, Cincinnati, OH</t>
        </is>
      </c>
      <c r="E37" t="inlineStr">
        <is>
          <t>45215</t>
        </is>
      </c>
      <c r="F37" t="inlineStr">
        <is>
          <t>Listed Foreign Equity Share (Company)</t>
        </is>
      </c>
      <c r="G37" t="inlineStr">
        <is>
          <t>2024-09-09</t>
        </is>
      </c>
      <c r="H37" t="n">
        <v>42632</v>
      </c>
      <c r="I37" t="n">
        <v>72228</v>
      </c>
      <c r="J37" t="n">
        <v>0</v>
      </c>
      <c r="K37" t="n">
        <v>255</v>
      </c>
      <c r="L37" t="n">
        <v>68700</v>
      </c>
    </row>
    <row r="38">
      <c r="A38" t="inlineStr">
        <is>
          <t>United States of America</t>
        </is>
      </c>
      <c r="B38" t="n">
        <v>2</v>
      </c>
      <c r="C38" t="inlineStr">
        <is>
          <t>SPDR Gold Shares (World Gold Trust)  [Ticker: GLD]  Qty: 10</t>
        </is>
      </c>
      <c r="D38" t="inlineStr">
        <is>
          <t>c/o World Gold Trust Services LLC, 685 Third Avenue, New York, NY</t>
        </is>
      </c>
      <c r="E38" t="inlineStr">
        <is>
          <t>10017</t>
        </is>
      </c>
      <c r="F38" t="inlineStr">
        <is>
          <t>Exchange Traded Fund (Investment Trust)</t>
        </is>
      </c>
      <c r="G38" t="inlineStr">
        <is>
          <t>2025-08-21</t>
        </is>
      </c>
      <c r="H38" t="n">
        <v>268064</v>
      </c>
      <c r="I38" t="n">
        <v>354579</v>
      </c>
      <c r="J38" t="n">
        <v>354579</v>
      </c>
      <c r="K38" t="n">
        <v>0</v>
      </c>
      <c r="L38" t="n">
        <v>0</v>
      </c>
    </row>
    <row r="39">
      <c r="A39" t="inlineStr">
        <is>
          <t>Korea, Republic of</t>
        </is>
      </c>
      <c r="B39" t="n">
        <v>116</v>
      </c>
      <c r="C39" t="inlineStr">
        <is>
          <t>Hyundai Motor Co - Reg S GDR  [Ticker: HYU]  Qty: 0</t>
        </is>
      </c>
      <c r="D39" t="inlineStr">
        <is>
          <t>12 Heolleung-ro, Seocho-gu, Seoul</t>
        </is>
      </c>
      <c r="E39" t="inlineStr">
        <is>
          <t>06797</t>
        </is>
      </c>
      <c r="F39" t="inlineStr">
        <is>
          <t>Global Depository Receipt of Listed Foreign Company</t>
        </is>
      </c>
      <c r="G39" t="inlineStr">
        <is>
          <t>2024-10-22</t>
        </is>
      </c>
      <c r="H39" t="n">
        <v>114327</v>
      </c>
      <c r="I39" t="n">
        <v>120056</v>
      </c>
      <c r="J39" t="n">
        <v>0</v>
      </c>
      <c r="K39" t="n">
        <v>6221</v>
      </c>
      <c r="L39" t="n">
        <v>113950</v>
      </c>
    </row>
    <row r="40">
      <c r="A40" t="inlineStr">
        <is>
          <t>United States of America</t>
        </is>
      </c>
      <c r="B40" t="n">
        <v>2</v>
      </c>
      <c r="C40" t="inlineStr">
        <is>
          <t>International Business Machines Corp  [Ticker: IBM]  Qty: 5</t>
        </is>
      </c>
      <c r="D40" t="inlineStr">
        <is>
          <t>1 New Orchard Road, Armonk, NY</t>
        </is>
      </c>
      <c r="E40" t="inlineStr">
        <is>
          <t>10504</t>
        </is>
      </c>
      <c r="F40" t="inlineStr">
        <is>
          <t>Listed Foreign Equity Share (Company)</t>
        </is>
      </c>
      <c r="G40" t="inlineStr">
        <is>
          <t>2025-09-22</t>
        </is>
      </c>
      <c r="H40" t="n">
        <v>116974</v>
      </c>
      <c r="I40" t="n">
        <v>132510</v>
      </c>
      <c r="J40" t="n">
        <v>132510</v>
      </c>
      <c r="K40" t="n">
        <v>747</v>
      </c>
      <c r="L40" t="n">
        <v>0</v>
      </c>
    </row>
    <row r="41">
      <c r="A41" t="inlineStr">
        <is>
          <t>United States of America</t>
        </is>
      </c>
      <c r="B41" t="n">
        <v>2</v>
      </c>
      <c r="C41" t="inlineStr">
        <is>
          <t>iShares Global Clean Energy ETF  [Ticker: ICLN]  Qty: 50</t>
        </is>
      </c>
      <c r="D41" t="inlineStr">
        <is>
          <t>c/o BlackRock Fund Advisors, 400 Howard Street, San Francisco, CA</t>
        </is>
      </c>
      <c r="E41" t="inlineStr">
        <is>
          <t>94105</t>
        </is>
      </c>
      <c r="F41" t="inlineStr">
        <is>
          <t>Exchange Traded Fund (Investment Trust)</t>
        </is>
      </c>
      <c r="G41" t="inlineStr">
        <is>
          <t>2025-08-21</t>
        </is>
      </c>
      <c r="H41" t="n">
        <v>61898</v>
      </c>
      <c r="I41" t="n">
        <v>73500</v>
      </c>
      <c r="J41" t="n">
        <v>73500</v>
      </c>
      <c r="K41" t="n">
        <v>570</v>
      </c>
      <c r="L41" t="n">
        <v>0</v>
      </c>
    </row>
    <row r="42">
      <c r="A42" t="inlineStr">
        <is>
          <t>United States of America</t>
        </is>
      </c>
      <c r="B42" t="n">
        <v>2</v>
      </c>
      <c r="C42" t="inlineStr">
        <is>
          <t>Invesco AI and Next Gen Software ETF  [Ticker: IGPT]  Qty: 0</t>
        </is>
      </c>
      <c r="D42" t="inlineStr">
        <is>
          <t>c/o Invesco Capital Management LLC, Downers Grove, IL</t>
        </is>
      </c>
      <c r="E42" t="inlineStr">
        <is>
          <t>60515</t>
        </is>
      </c>
      <c r="F42" t="inlineStr">
        <is>
          <t>Exchange Traded Fund (Investment Trust)</t>
        </is>
      </c>
      <c r="G42" t="inlineStr">
        <is>
          <t>2024-12-12</t>
        </is>
      </c>
      <c r="H42" t="n">
        <v>127169</v>
      </c>
      <c r="I42" t="n">
        <v>148939</v>
      </c>
      <c r="J42" t="n">
        <v>0</v>
      </c>
      <c r="K42" t="n">
        <v>47</v>
      </c>
      <c r="L42" t="n">
        <v>141665</v>
      </c>
    </row>
    <row r="43">
      <c r="A43" t="inlineStr">
        <is>
          <t>United States of America</t>
        </is>
      </c>
      <c r="B43" t="n">
        <v>2</v>
      </c>
      <c r="C43" t="inlineStr">
        <is>
          <t>Intel Corp  [Ticker: INTC]  Qty: 72</t>
        </is>
      </c>
      <c r="D43" t="inlineStr">
        <is>
          <t>2200 Mission College Boulevard, Santa Clara, CA</t>
        </is>
      </c>
      <c r="E43" t="inlineStr">
        <is>
          <t>95054</t>
        </is>
      </c>
      <c r="F43" t="inlineStr">
        <is>
          <t>Listed Foreign Equity Share (Company)</t>
        </is>
      </c>
      <c r="G43" t="inlineStr">
        <is>
          <t>2025-08-21</t>
        </is>
      </c>
      <c r="H43" t="n">
        <v>145129</v>
      </c>
      <c r="I43" t="n">
        <v>237704</v>
      </c>
      <c r="J43" t="n">
        <v>237704</v>
      </c>
      <c r="K43" t="n">
        <v>0</v>
      </c>
      <c r="L43" t="n">
        <v>0</v>
      </c>
    </row>
    <row r="44">
      <c r="A44" t="inlineStr">
        <is>
          <t>United States of America</t>
        </is>
      </c>
      <c r="B44" t="n">
        <v>2</v>
      </c>
      <c r="C44" t="inlineStr">
        <is>
          <t>iShares Russell Mid-Cap ETF  [Ticker: IWR]  Qty: 10</t>
        </is>
      </c>
      <c r="D44" t="inlineStr">
        <is>
          <t>c/o BlackRock Fund Advisors, 400 Howard Street, San Francisco, CA</t>
        </is>
      </c>
      <c r="E44" t="inlineStr">
        <is>
          <t>94105</t>
        </is>
      </c>
      <c r="F44" t="inlineStr">
        <is>
          <t>Exchange Traded Fund (Investment Trust)</t>
        </is>
      </c>
      <c r="G44" t="inlineStr">
        <is>
          <t>2025-08-21</t>
        </is>
      </c>
      <c r="H44" t="n">
        <v>82065</v>
      </c>
      <c r="I44" t="n">
        <v>86133</v>
      </c>
      <c r="J44" t="n">
        <v>86133</v>
      </c>
      <c r="K44" t="n">
        <v>633</v>
      </c>
      <c r="L44" t="n">
        <v>0</v>
      </c>
    </row>
    <row r="45">
      <c r="A45" t="inlineStr">
        <is>
          <t>United States of America</t>
        </is>
      </c>
      <c r="B45" t="n">
        <v>2</v>
      </c>
      <c r="C45" t="inlineStr">
        <is>
          <t>Eli Lilly &amp; Company  [Ticker: LLY]  Qty: 3.5</t>
        </is>
      </c>
      <c r="D45" t="inlineStr">
        <is>
          <t>Lilly Corporate Center, Indianapolis, IN</t>
        </is>
      </c>
      <c r="E45" t="inlineStr">
        <is>
          <t>46285</t>
        </is>
      </c>
      <c r="F45" t="inlineStr">
        <is>
          <t>Listed Foreign Equity Share (Company)</t>
        </is>
      </c>
      <c r="G45" t="inlineStr">
        <is>
          <t>2024-11-04</t>
        </is>
      </c>
      <c r="H45" t="n">
        <v>394646</v>
      </c>
      <c r="I45" t="n">
        <v>433740</v>
      </c>
      <c r="J45" t="n">
        <v>336531</v>
      </c>
      <c r="K45" t="n">
        <v>2015</v>
      </c>
      <c r="L45" t="n">
        <v>412555</v>
      </c>
    </row>
    <row r="46">
      <c r="A46" t="inlineStr">
        <is>
          <t>United States of America</t>
        </is>
      </c>
      <c r="B46" t="n">
        <v>2</v>
      </c>
      <c r="C46" t="inlineStr">
        <is>
          <t>Lam Research Corp  [Ticker: LRCX]  Qty: 0</t>
        </is>
      </c>
      <c r="D46" t="inlineStr">
        <is>
          <t>4650 Cushing Parkway, Fremont, CA</t>
        </is>
      </c>
      <c r="E46" t="inlineStr">
        <is>
          <t>94538</t>
        </is>
      </c>
      <c r="F46" t="inlineStr">
        <is>
          <t>Listed Foreign Equity Share (Company)</t>
        </is>
      </c>
      <c r="G46" t="inlineStr">
        <is>
          <t>2024-09-09</t>
        </is>
      </c>
      <c r="H46" t="n">
        <v>61540</v>
      </c>
      <c r="I46" t="n">
        <v>87629</v>
      </c>
      <c r="J46" t="n">
        <v>0</v>
      </c>
      <c r="K46" t="n">
        <v>587</v>
      </c>
      <c r="L46" t="n">
        <v>83349</v>
      </c>
    </row>
    <row r="47">
      <c r="A47" t="inlineStr">
        <is>
          <t>United States of America</t>
        </is>
      </c>
      <c r="B47" t="n">
        <v>2</v>
      </c>
      <c r="C47" t="inlineStr">
        <is>
          <t>iShares MSCI China ETF  [Ticker: MCHI]  Qty: 0</t>
        </is>
      </c>
      <c r="D47" t="inlineStr">
        <is>
          <t>c/o BlackRock Fund Advisors, 400 Howard Street, San Francisco, CA</t>
        </is>
      </c>
      <c r="E47" t="inlineStr">
        <is>
          <t>94105</t>
        </is>
      </c>
      <c r="F47" t="inlineStr">
        <is>
          <t>Exchange Traded Fund (Investment Trust)</t>
        </is>
      </c>
      <c r="G47" t="inlineStr">
        <is>
          <t>2024-10-04</t>
        </is>
      </c>
      <c r="H47" t="n">
        <v>107797</v>
      </c>
      <c r="I47" t="n">
        <v>143069</v>
      </c>
      <c r="J47" t="n">
        <v>0</v>
      </c>
      <c r="K47" t="n">
        <v>1231</v>
      </c>
      <c r="L47" t="n">
        <v>136081</v>
      </c>
    </row>
    <row r="48">
      <c r="A48" t="inlineStr">
        <is>
          <t>United States of America</t>
        </is>
      </c>
      <c r="B48" t="n">
        <v>2</v>
      </c>
      <c r="C48" t="inlineStr">
        <is>
          <t>Meta Platforms Inc - Class A  [Ticker: META]  Qty: 2</t>
        </is>
      </c>
      <c r="D48" t="inlineStr">
        <is>
          <t>1 Meta Way, Menlo Park, CA</t>
        </is>
      </c>
      <c r="E48" t="inlineStr">
        <is>
          <t>94025</t>
        </is>
      </c>
      <c r="F48" t="inlineStr">
        <is>
          <t>Listed Foreign Equity Share (Company)</t>
        </is>
      </c>
      <c r="G48" t="inlineStr">
        <is>
          <t>2025-10-30</t>
        </is>
      </c>
      <c r="H48" t="n">
        <v>116226</v>
      </c>
      <c r="I48" t="n">
        <v>118117</v>
      </c>
      <c r="J48" t="n">
        <v>118117</v>
      </c>
      <c r="K48" t="n">
        <v>93</v>
      </c>
      <c r="L48" t="n">
        <v>0</v>
      </c>
    </row>
    <row r="49">
      <c r="A49" t="inlineStr">
        <is>
          <t>United States of America</t>
        </is>
      </c>
      <c r="B49" t="n">
        <v>2</v>
      </c>
      <c r="C49" t="inlineStr">
        <is>
          <t>Microsoft Corp  [Ticker: MSFT]  Qty: 0</t>
        </is>
      </c>
      <c r="D49" t="inlineStr">
        <is>
          <t>One Microsoft Way, Redmond, WA</t>
        </is>
      </c>
      <c r="E49" t="inlineStr">
        <is>
          <t>98052</t>
        </is>
      </c>
      <c r="F49" t="inlineStr">
        <is>
          <t>Listed Foreign Equity Share (Company)</t>
        </is>
      </c>
      <c r="G49" t="inlineStr">
        <is>
          <t>2024-10-31</t>
        </is>
      </c>
      <c r="H49" t="n">
        <v>215471</v>
      </c>
      <c r="I49" t="n">
        <v>275254</v>
      </c>
      <c r="J49" t="n">
        <v>0</v>
      </c>
      <c r="K49" t="n">
        <v>857</v>
      </c>
      <c r="L49" t="n">
        <v>261810</v>
      </c>
    </row>
    <row r="50">
      <c r="A50" t="inlineStr">
        <is>
          <t>Netherlands</t>
        </is>
      </c>
      <c r="B50" t="n">
        <v>156</v>
      </c>
      <c r="C50" t="inlineStr">
        <is>
          <t>Nebius Group NV  [Ticker: NBIS]  Qty: 15</t>
        </is>
      </c>
      <c r="D50" t="inlineStr">
        <is>
          <t>Schiphol Boulevard 165, 1118 BG Schiphol</t>
        </is>
      </c>
      <c r="E50" t="inlineStr">
        <is>
          <t>1118 BG</t>
        </is>
      </c>
      <c r="F50" t="inlineStr">
        <is>
          <t>Listed Foreign Equity Share (Company)</t>
        </is>
      </c>
      <c r="G50" t="inlineStr">
        <is>
          <t>2025-08-21</t>
        </is>
      </c>
      <c r="H50" t="n">
        <v>87503</v>
      </c>
      <c r="I50" t="n">
        <v>112337</v>
      </c>
      <c r="J50" t="n">
        <v>112337</v>
      </c>
      <c r="K50" t="n">
        <v>0</v>
      </c>
      <c r="L50" t="n">
        <v>0</v>
      </c>
    </row>
    <row r="51">
      <c r="A51" t="inlineStr">
        <is>
          <t>United States of America</t>
        </is>
      </c>
      <c r="B51" t="n">
        <v>2</v>
      </c>
      <c r="C51" t="inlineStr">
        <is>
          <t>Netflix Inc  [Ticker: NFLX]  Qty: 10</t>
        </is>
      </c>
      <c r="D51" t="inlineStr">
        <is>
          <t>121 Albright Way, Los Gatos, CA</t>
        </is>
      </c>
      <c r="E51" t="inlineStr">
        <is>
          <t>95032</t>
        </is>
      </c>
      <c r="F51" t="inlineStr">
        <is>
          <t>Listed Foreign Equity Share (Company)</t>
        </is>
      </c>
      <c r="G51" t="inlineStr">
        <is>
          <t>2024-12-12</t>
        </is>
      </c>
      <c r="H51" t="n">
        <v>182257</v>
      </c>
      <c r="I51" t="n">
        <v>250316</v>
      </c>
      <c r="J51" t="n">
        <v>83887</v>
      </c>
      <c r="K51" t="n">
        <v>0</v>
      </c>
      <c r="L51" t="n">
        <v>238090</v>
      </c>
    </row>
    <row r="52">
      <c r="A52" t="inlineStr">
        <is>
          <t>United States of America</t>
        </is>
      </c>
      <c r="B52" t="n">
        <v>2</v>
      </c>
      <c r="C52" t="inlineStr">
        <is>
          <t>NOV  [Ticker: NOV]  Qty: 0</t>
        </is>
      </c>
      <c r="D52" t="inlineStr"/>
      <c r="E52" t="inlineStr"/>
      <c r="F52" t="inlineStr">
        <is>
          <t>Listed Foreign Equity / ETF</t>
        </is>
      </c>
      <c r="G52" t="inlineStr">
        <is>
          <t>2025-01-01</t>
        </is>
      </c>
      <c r="H52" t="n">
        <v>0</v>
      </c>
      <c r="I52" t="n">
        <v>0</v>
      </c>
      <c r="J52" t="n">
        <v>0</v>
      </c>
      <c r="K52" t="n">
        <v>4714</v>
      </c>
      <c r="L52" t="n">
        <v>0</v>
      </c>
    </row>
    <row r="53">
      <c r="A53" t="inlineStr">
        <is>
          <t>Denmark</t>
        </is>
      </c>
      <c r="B53" t="n">
        <v>61</v>
      </c>
      <c r="C53" t="inlineStr">
        <is>
          <t>Novo Nordisk A/S - B Shares  [Ticker: NOVd]  Qty: 0</t>
        </is>
      </c>
      <c r="D53" t="inlineStr">
        <is>
          <t>Novo Alle 1, 2880 Bagsvaerd</t>
        </is>
      </c>
      <c r="E53" t="inlineStr">
        <is>
          <t>2880</t>
        </is>
      </c>
      <c r="F53" t="inlineStr">
        <is>
          <t>Listed Foreign Equity Share (Company)</t>
        </is>
      </c>
      <c r="G53" t="inlineStr">
        <is>
          <t>2025-03-21</t>
        </is>
      </c>
      <c r="H53" t="n">
        <v>483312</v>
      </c>
      <c r="I53" t="n">
        <v>497319</v>
      </c>
      <c r="J53" t="n">
        <v>0</v>
      </c>
      <c r="K53" t="n">
        <v>0</v>
      </c>
      <c r="L53" t="n">
        <v>327010</v>
      </c>
    </row>
    <row r="54">
      <c r="A54" t="inlineStr">
        <is>
          <t>United States of America</t>
        </is>
      </c>
      <c r="B54" t="n">
        <v>2</v>
      </c>
      <c r="C54" t="inlineStr">
        <is>
          <t>NVIDIA Corp  [Ticker: NVDA]  Qty: 0</t>
        </is>
      </c>
      <c r="D54" t="inlineStr">
        <is>
          <t>2788 San Tomas Expressway, Santa Clara, CA</t>
        </is>
      </c>
      <c r="E54" t="inlineStr">
        <is>
          <t>95051</t>
        </is>
      </c>
      <c r="F54" t="inlineStr">
        <is>
          <t>Listed Foreign Equity Share (Company)</t>
        </is>
      </c>
      <c r="G54" t="inlineStr">
        <is>
          <t>2025-01-30</t>
        </is>
      </c>
      <c r="H54" t="n">
        <v>139413</v>
      </c>
      <c r="I54" t="n">
        <v>251553</v>
      </c>
      <c r="J54" t="n">
        <v>0</v>
      </c>
      <c r="K54" t="n">
        <v>17</v>
      </c>
      <c r="L54" t="n">
        <v>239266</v>
      </c>
    </row>
    <row r="55">
      <c r="A55" t="inlineStr">
        <is>
          <t>United States of America</t>
        </is>
      </c>
      <c r="B55" t="n">
        <v>2</v>
      </c>
      <c r="C55" t="inlineStr">
        <is>
          <t>Oracle Corp  [Ticker: ORCL]  Qty: 0</t>
        </is>
      </c>
      <c r="D55" t="inlineStr">
        <is>
          <t>2300 Oracle Way, Austin, TX</t>
        </is>
      </c>
      <c r="E55" t="inlineStr">
        <is>
          <t>78741</t>
        </is>
      </c>
      <c r="F55" t="inlineStr">
        <is>
          <t>Listed Foreign Equity Share (Company)</t>
        </is>
      </c>
      <c r="G55" t="inlineStr">
        <is>
          <t>2025-09-22</t>
        </is>
      </c>
      <c r="H55" t="n">
        <v>136417</v>
      </c>
      <c r="I55" t="n">
        <v>139171</v>
      </c>
      <c r="J55" t="n">
        <v>0</v>
      </c>
      <c r="K55" t="n">
        <v>221</v>
      </c>
      <c r="L55" t="n">
        <v>86436</v>
      </c>
    </row>
    <row r="56">
      <c r="A56" t="inlineStr">
        <is>
          <t>United States of America</t>
        </is>
      </c>
      <c r="B56" t="n">
        <v>2</v>
      </c>
      <c r="C56" t="inlineStr">
        <is>
          <t>Invesco QQQ Trust Series 1  [Ticker: QQQ]  Qty: 2</t>
        </is>
      </c>
      <c r="D56" t="inlineStr">
        <is>
          <t>c/o Invesco Capital Management LLC, Downers Grove, IL</t>
        </is>
      </c>
      <c r="E56" t="inlineStr">
        <is>
          <t>60515</t>
        </is>
      </c>
      <c r="F56" t="inlineStr">
        <is>
          <t>Exchange Traded Fund (Investment Trust)</t>
        </is>
      </c>
      <c r="G56" t="inlineStr">
        <is>
          <t>2025-08-21</t>
        </is>
      </c>
      <c r="H56" t="n">
        <v>98554</v>
      </c>
      <c r="I56" t="n">
        <v>109925</v>
      </c>
      <c r="J56" t="n">
        <v>109925</v>
      </c>
      <c r="K56" t="n">
        <v>264</v>
      </c>
      <c r="L56" t="n">
        <v>0</v>
      </c>
    </row>
    <row r="57">
      <c r="A57" t="inlineStr">
        <is>
          <t>United Kingdom</t>
        </is>
      </c>
      <c r="B57" t="n">
        <v>234</v>
      </c>
      <c r="C57" t="inlineStr">
        <is>
          <t>Shell plc  [Ticker: R6C0d]  Qty: 0</t>
        </is>
      </c>
      <c r="D57" t="inlineStr">
        <is>
          <t>Shell Centre, 2 York Road, London</t>
        </is>
      </c>
      <c r="E57" t="inlineStr">
        <is>
          <t>SE1 7NA</t>
        </is>
      </c>
      <c r="F57" t="inlineStr">
        <is>
          <t>Listed Foreign Equity Share (Company)</t>
        </is>
      </c>
      <c r="G57" t="inlineStr">
        <is>
          <t>2024-09-10</t>
        </is>
      </c>
      <c r="H57" t="n">
        <v>126579</v>
      </c>
      <c r="I57" t="n">
        <v>135302</v>
      </c>
      <c r="J57" t="n">
        <v>0</v>
      </c>
      <c r="K57" t="n">
        <v>0</v>
      </c>
      <c r="L57" t="n">
        <v>128694</v>
      </c>
    </row>
    <row r="58">
      <c r="A58" t="inlineStr">
        <is>
          <t>United States of America</t>
        </is>
      </c>
      <c r="B58" t="n">
        <v>2</v>
      </c>
      <c r="C58" t="inlineStr">
        <is>
          <t>Rubrik Inc - Class A  [Ticker: RBRK]  Qty: 17</t>
        </is>
      </c>
      <c r="D58" t="inlineStr">
        <is>
          <t>3495 Deer Creek Road, Palo Alto, CA</t>
        </is>
      </c>
      <c r="E58" t="inlineStr">
        <is>
          <t>94304</t>
        </is>
      </c>
      <c r="F58" t="inlineStr">
        <is>
          <t>Listed Foreign Equity Share (Company)</t>
        </is>
      </c>
      <c r="G58" t="inlineStr">
        <is>
          <t>2025-08-21</t>
        </is>
      </c>
      <c r="H58" t="n">
        <v>127249</v>
      </c>
      <c r="I58" t="n">
        <v>130636</v>
      </c>
      <c r="J58" t="n">
        <v>116325</v>
      </c>
      <c r="K58" t="n">
        <v>0</v>
      </c>
      <c r="L58" t="n">
        <v>0</v>
      </c>
    </row>
    <row r="59">
      <c r="A59" t="inlineStr">
        <is>
          <t>United States of America</t>
        </is>
      </c>
      <c r="B59" t="n">
        <v>2</v>
      </c>
      <c r="C59" t="inlineStr">
        <is>
          <t>Regeneron Pharmaceuticals Inc  [Ticker: REGN]  Qty: 3</t>
        </is>
      </c>
      <c r="D59" t="inlineStr">
        <is>
          <t>777 Old Saw Mill River Road, Tarrytown, NY</t>
        </is>
      </c>
      <c r="E59" t="inlineStr">
        <is>
          <t>10591</t>
        </is>
      </c>
      <c r="F59" t="inlineStr">
        <is>
          <t>Listed Foreign Equity Share (Company)</t>
        </is>
      </c>
      <c r="G59" t="inlineStr">
        <is>
          <t>2025-10-06</t>
        </is>
      </c>
      <c r="H59" t="n">
        <v>158782</v>
      </c>
      <c r="I59" t="n">
        <v>207178</v>
      </c>
      <c r="J59" t="n">
        <v>207178</v>
      </c>
      <c r="K59" t="n">
        <v>235</v>
      </c>
      <c r="L59" t="n">
        <v>0</v>
      </c>
    </row>
    <row r="60">
      <c r="A60" t="inlineStr">
        <is>
          <t>United Kingdom</t>
        </is>
      </c>
      <c r="B60" t="n">
        <v>234</v>
      </c>
      <c r="C60" t="inlineStr">
        <is>
          <t>Rio Tinto plc - Sponsored ADR  [Ticker: RIO]  Qty: 0</t>
        </is>
      </c>
      <c r="D60" t="inlineStr">
        <is>
          <t>6 St James's Square, London</t>
        </is>
      </c>
      <c r="E60" t="inlineStr">
        <is>
          <t>SW1Y 4AD</t>
        </is>
      </c>
      <c r="F60" t="inlineStr">
        <is>
          <t>American Depository Receipt of Listed Foreign Company</t>
        </is>
      </c>
      <c r="G60" t="inlineStr">
        <is>
          <t>2024-09-09</t>
        </is>
      </c>
      <c r="H60" t="n">
        <v>45096</v>
      </c>
      <c r="I60" t="n">
        <v>51426</v>
      </c>
      <c r="J60" t="n">
        <v>0</v>
      </c>
      <c r="K60" t="n">
        <v>1723</v>
      </c>
      <c r="L60" t="n">
        <v>48914</v>
      </c>
    </row>
    <row r="61">
      <c r="A61" t="inlineStr">
        <is>
          <t>United States of America</t>
        </is>
      </c>
      <c r="B61" t="n">
        <v>2</v>
      </c>
      <c r="C61" t="inlineStr">
        <is>
          <t>RTX Corp  [Ticker: RTX]  Qty: 0</t>
        </is>
      </c>
      <c r="D61" t="inlineStr">
        <is>
          <t>1000 Wilson Boulevard, Arlington, VA</t>
        </is>
      </c>
      <c r="E61" t="inlineStr">
        <is>
          <t>22209</t>
        </is>
      </c>
      <c r="F61" t="inlineStr">
        <is>
          <t>Listed Foreign Equity Share (Company)</t>
        </is>
      </c>
      <c r="G61" t="inlineStr">
        <is>
          <t>2025-04-07</t>
        </is>
      </c>
      <c r="H61" t="n">
        <v>295059</v>
      </c>
      <c r="I61" t="n">
        <v>418424</v>
      </c>
      <c r="J61" t="n">
        <v>0</v>
      </c>
      <c r="K61" t="n">
        <v>1736</v>
      </c>
      <c r="L61" t="n">
        <v>397987</v>
      </c>
    </row>
    <row r="62">
      <c r="A62" t="inlineStr">
        <is>
          <t>Ireland</t>
        </is>
      </c>
      <c r="B62" t="n">
        <v>101</v>
      </c>
      <c r="C62" t="inlineStr">
        <is>
          <t>iShares MSCI Australia UCITS ETF  [Ticker: SAUS]  Qty: 6</t>
        </is>
      </c>
      <c r="D62" t="inlineStr">
        <is>
          <t>c/o BlackRock Asset Management Ireland Ltd, Dublin</t>
        </is>
      </c>
      <c r="E62" t="inlineStr">
        <is>
          <t>D01 W5P4</t>
        </is>
      </c>
      <c r="F62" t="inlineStr">
        <is>
          <t>Exchange Traded Fund (Investment Trust)</t>
        </is>
      </c>
      <c r="G62" t="inlineStr">
        <is>
          <t>2024-09-09</t>
        </is>
      </c>
      <c r="H62" t="n">
        <v>28735</v>
      </c>
      <c r="I62" t="n">
        <v>30481</v>
      </c>
      <c r="J62" t="n">
        <v>30481</v>
      </c>
      <c r="K62" t="n">
        <v>0</v>
      </c>
      <c r="L62" t="n">
        <v>0</v>
      </c>
    </row>
    <row r="63">
      <c r="A63" t="inlineStr">
        <is>
          <t>Germany</t>
        </is>
      </c>
      <c r="B63" t="n">
        <v>78</v>
      </c>
      <c r="C63" t="inlineStr">
        <is>
          <t>Siemens AG - Registered  [Ticker: SIEd]  Qty: 0</t>
        </is>
      </c>
      <c r="D63" t="inlineStr">
        <is>
          <t>Werner-von-Siemens-Strasse 1, Munich</t>
        </is>
      </c>
      <c r="E63" t="inlineStr">
        <is>
          <t>80333</t>
        </is>
      </c>
      <c r="F63" t="inlineStr">
        <is>
          <t>Listed Foreign Equity Share (Company)</t>
        </is>
      </c>
      <c r="G63" t="inlineStr">
        <is>
          <t>2025-04-07</t>
        </is>
      </c>
      <c r="H63" t="n">
        <v>356032</v>
      </c>
      <c r="I63" t="n">
        <v>475224</v>
      </c>
      <c r="J63" t="n">
        <v>0</v>
      </c>
      <c r="K63" t="n">
        <v>0</v>
      </c>
      <c r="L63" t="n">
        <v>452012</v>
      </c>
    </row>
    <row r="64">
      <c r="A64" t="inlineStr">
        <is>
          <t>United States of America</t>
        </is>
      </c>
      <c r="B64" t="n">
        <v>2</v>
      </c>
      <c r="C64" t="inlineStr">
        <is>
          <t>Snowflake Inc  [Ticker: SNOW]  Qty: 8</t>
        </is>
      </c>
      <c r="D64" t="inlineStr">
        <is>
          <t>106 East Babcock Street, Bozeman, MT</t>
        </is>
      </c>
      <c r="E64" t="inlineStr">
        <is>
          <t>59715</t>
        </is>
      </c>
      <c r="F64" t="inlineStr">
        <is>
          <t>Listed Foreign Equity Share (Company)</t>
        </is>
      </c>
      <c r="G64" t="inlineStr">
        <is>
          <t>2025-08-21</t>
        </is>
      </c>
      <c r="H64" t="n">
        <v>135016</v>
      </c>
      <c r="I64" t="n">
        <v>157009</v>
      </c>
      <c r="J64" t="n">
        <v>157009</v>
      </c>
      <c r="K64" t="n">
        <v>0</v>
      </c>
      <c r="L64" t="n">
        <v>0</v>
      </c>
    </row>
    <row r="65">
      <c r="A65" t="inlineStr">
        <is>
          <t>United States of America</t>
        </is>
      </c>
      <c r="B65" t="n">
        <v>2</v>
      </c>
      <c r="C65" t="inlineStr">
        <is>
          <t>Target Corp  [Ticker: TGT]  Qty: 26</t>
        </is>
      </c>
      <c r="D65" t="inlineStr">
        <is>
          <t>1000 Nicollet Mall, Minneapolis, MN</t>
        </is>
      </c>
      <c r="E65" t="inlineStr">
        <is>
          <t>55403</t>
        </is>
      </c>
      <c r="F65" t="inlineStr">
        <is>
          <t>Listed Foreign Equity Share (Company)</t>
        </is>
      </c>
      <c r="G65" t="inlineStr">
        <is>
          <t>2024-09-09</t>
        </is>
      </c>
      <c r="H65" t="n">
        <v>69104</v>
      </c>
      <c r="I65" t="n">
        <v>227388</v>
      </c>
      <c r="J65" t="n">
        <v>227388</v>
      </c>
      <c r="K65" t="n">
        <v>8298</v>
      </c>
      <c r="L65" t="n">
        <v>0</v>
      </c>
    </row>
    <row r="66">
      <c r="A66" t="inlineStr">
        <is>
          <t>United States of America</t>
        </is>
      </c>
      <c r="B66" t="n">
        <v>2</v>
      </c>
      <c r="C66" t="inlineStr">
        <is>
          <t>iShares TIPS Bond ETF  [Ticker: TIP]  Qty: 60</t>
        </is>
      </c>
      <c r="D66" t="inlineStr">
        <is>
          <t>c/o BlackRock Fund Advisors, 400 Howard Street, San Francisco, CA</t>
        </is>
      </c>
      <c r="E66" t="inlineStr">
        <is>
          <t>94105</t>
        </is>
      </c>
      <c r="F66" t="inlineStr">
        <is>
          <t>Exchange Traded Fund (Investment Trust)</t>
        </is>
      </c>
      <c r="G66" t="inlineStr">
        <is>
          <t>2024-10-04</t>
        </is>
      </c>
      <c r="H66" t="n">
        <v>544684</v>
      </c>
      <c r="I66" t="n">
        <v>590019</v>
      </c>
      <c r="J66" t="n">
        <v>590019</v>
      </c>
      <c r="K66" t="n">
        <v>19744</v>
      </c>
      <c r="L66" t="n">
        <v>0</v>
      </c>
    </row>
    <row r="67">
      <c r="A67" t="inlineStr">
        <is>
          <t>United States of America</t>
        </is>
      </c>
      <c r="B67" t="n">
        <v>2</v>
      </c>
      <c r="C67" t="inlineStr">
        <is>
          <t>Tesla Inc  [Ticker: TSLA]  Qty: 0</t>
        </is>
      </c>
      <c r="D67" t="inlineStr">
        <is>
          <t>1 Tesla Road, Austin, TX</t>
        </is>
      </c>
      <c r="E67" t="inlineStr">
        <is>
          <t>78725</t>
        </is>
      </c>
      <c r="F67" t="inlineStr">
        <is>
          <t>Listed Foreign Equity Share (Company)</t>
        </is>
      </c>
      <c r="G67" t="inlineStr">
        <is>
          <t>2024-12-06</t>
        </is>
      </c>
      <c r="H67" t="n">
        <v>344072</v>
      </c>
      <c r="I67" t="n">
        <v>361316</v>
      </c>
      <c r="J67" t="n">
        <v>0</v>
      </c>
      <c r="K67" t="n">
        <v>0</v>
      </c>
      <c r="L67" t="n">
        <v>214358</v>
      </c>
    </row>
    <row r="68">
      <c r="A68" t="inlineStr">
        <is>
          <t>Taiwan</t>
        </is>
      </c>
      <c r="B68" t="n">
        <v>212</v>
      </c>
      <c r="C68" t="inlineStr">
        <is>
          <t>Taiwan Semiconductor Manufacturing Co - Sponsored ADR  [Ticker: TSM]  Qty: 0</t>
        </is>
      </c>
      <c r="D68" t="inlineStr">
        <is>
          <t>8 Li-Hsin Road 6, Hsinchu Science Park, Hsinchu</t>
        </is>
      </c>
      <c r="E68" t="inlineStr">
        <is>
          <t>30078</t>
        </is>
      </c>
      <c r="F68" t="inlineStr">
        <is>
          <t>American Depository Receipt of Listed Foreign Company</t>
        </is>
      </c>
      <c r="G68" t="inlineStr">
        <is>
          <t>2024-09-09</t>
        </is>
      </c>
      <c r="H68" t="n">
        <v>100957</v>
      </c>
      <c r="I68" t="n">
        <v>129390</v>
      </c>
      <c r="J68" t="n">
        <v>0</v>
      </c>
      <c r="K68" t="n">
        <v>1055</v>
      </c>
      <c r="L68" t="n">
        <v>123070</v>
      </c>
    </row>
    <row r="69">
      <c r="A69" t="inlineStr">
        <is>
          <t>United States of America</t>
        </is>
      </c>
      <c r="B69" t="n">
        <v>2</v>
      </c>
      <c r="C69" t="inlineStr">
        <is>
          <t>Viking Therapeutics Inc  [Ticker: VKTX]  Qty: 0</t>
        </is>
      </c>
      <c r="D69" t="inlineStr">
        <is>
          <t>9920 Pacific Heights Boulevard, San Diego, CA</t>
        </is>
      </c>
      <c r="E69" t="inlineStr">
        <is>
          <t>92121</t>
        </is>
      </c>
      <c r="F69" t="inlineStr">
        <is>
          <t>Listed Foreign Equity Share (Company)</t>
        </is>
      </c>
      <c r="G69" t="inlineStr">
        <is>
          <t>2025-01-28</t>
        </is>
      </c>
      <c r="H69" t="n">
        <v>94949</v>
      </c>
      <c r="I69" t="n">
        <v>100430</v>
      </c>
      <c r="J69" t="n">
        <v>0</v>
      </c>
      <c r="K69" t="n">
        <v>0</v>
      </c>
      <c r="L69" t="n">
        <v>95524</v>
      </c>
    </row>
    <row r="70">
      <c r="A70" t="inlineStr">
        <is>
          <t>United States of America</t>
        </is>
      </c>
      <c r="B70" t="n">
        <v>2</v>
      </c>
      <c r="C70" t="inlineStr">
        <is>
          <t>Vanguard Total World Stock ETF  [Ticker: VT]  Qty: 9</t>
        </is>
      </c>
      <c r="D70" t="inlineStr">
        <is>
          <t>c/o The Vanguard Group Inc, 100 Vanguard Boulevard, Malvern, PA</t>
        </is>
      </c>
      <c r="E70" t="inlineStr">
        <is>
          <t>19355</t>
        </is>
      </c>
      <c r="F70" t="inlineStr">
        <is>
          <t>Exchange Traded Fund (Investment Trust)</t>
        </is>
      </c>
      <c r="G70" t="inlineStr">
        <is>
          <t>2025-08-21</t>
        </is>
      </c>
      <c r="H70" t="n">
        <v>103955</v>
      </c>
      <c r="I70" t="n">
        <v>113586</v>
      </c>
      <c r="J70" t="n">
        <v>113586</v>
      </c>
      <c r="K70" t="n">
        <v>1270</v>
      </c>
      <c r="L70" t="n">
        <v>0</v>
      </c>
    </row>
    <row r="71">
      <c r="A71" t="inlineStr">
        <is>
          <t>United States of America</t>
        </is>
      </c>
      <c r="B71" t="n">
        <v>2</v>
      </c>
      <c r="C71" t="inlineStr">
        <is>
          <t>Vanguard Value ETF  [Ticker: VTV]  Qty: 6</t>
        </is>
      </c>
      <c r="D71" t="inlineStr">
        <is>
          <t>c/o The Vanguard Group Inc, 100 Vanguard Boulevard, Malvern, PA</t>
        </is>
      </c>
      <c r="E71" t="inlineStr">
        <is>
          <t>19355</t>
        </is>
      </c>
      <c r="F71" t="inlineStr">
        <is>
          <t>Exchange Traded Fund (Investment Trust)</t>
        </is>
      </c>
      <c r="G71" t="inlineStr">
        <is>
          <t>2025-08-21</t>
        </is>
      </c>
      <c r="H71" t="n">
        <v>94852</v>
      </c>
      <c r="I71" t="n">
        <v>102527</v>
      </c>
      <c r="J71" t="n">
        <v>102527</v>
      </c>
      <c r="K71" t="n">
        <v>1027</v>
      </c>
      <c r="L71" t="n">
        <v>0</v>
      </c>
    </row>
    <row r="72">
      <c r="A72" t="inlineStr">
        <is>
          <t>Ireland</t>
        </is>
      </c>
      <c r="B72" t="n">
        <v>101</v>
      </c>
      <c r="C72" t="inlineStr">
        <is>
          <t>WisdomTree Cybersecurity UCITS ETF  [Ticker: WCBR]  Qty: 75</t>
        </is>
      </c>
      <c r="D72" t="inlineStr">
        <is>
          <t>c/o WisdomTree Issuer ICAV, Dublin</t>
        </is>
      </c>
      <c r="E72" t="inlineStr">
        <is>
          <t>D02 T860</t>
        </is>
      </c>
      <c r="F72" t="inlineStr">
        <is>
          <t>Exchange Traded Fund (Investment Trust)</t>
        </is>
      </c>
      <c r="G72" t="inlineStr">
        <is>
          <t>2025-08-21</t>
        </is>
      </c>
      <c r="H72" t="n">
        <v>192628</v>
      </c>
      <c r="I72" t="n">
        <v>197756</v>
      </c>
      <c r="J72" t="n">
        <v>186462</v>
      </c>
      <c r="K72" t="n">
        <v>0</v>
      </c>
      <c r="L72" t="n">
        <v>0</v>
      </c>
    </row>
    <row r="73">
      <c r="A73" t="inlineStr">
        <is>
          <t>United States of America</t>
        </is>
      </c>
      <c r="B73" t="n">
        <v>2</v>
      </c>
      <c r="C73" t="inlineStr">
        <is>
          <t>Wells Fargo &amp; Company  [Ticker: WFC]  Qty: 50</t>
        </is>
      </c>
      <c r="D73" t="inlineStr">
        <is>
          <t>420 Montgomery Street, San Francisco, CA</t>
        </is>
      </c>
      <c r="E73" t="inlineStr">
        <is>
          <t>94104</t>
        </is>
      </c>
      <c r="F73" t="inlineStr">
        <is>
          <t>Listed Foreign Equity Share (Company)</t>
        </is>
      </c>
      <c r="G73" t="inlineStr">
        <is>
          <t>2025-08-21</t>
        </is>
      </c>
      <c r="H73" t="n">
        <v>339166</v>
      </c>
      <c r="I73" t="n">
        <v>416930</v>
      </c>
      <c r="J73" t="n">
        <v>416930</v>
      </c>
      <c r="K73" t="n">
        <v>2001</v>
      </c>
      <c r="L73" t="n">
        <v>0</v>
      </c>
    </row>
    <row r="74"/>
    <row r="75">
      <c r="G75" t="inlineStr">
        <is>
          <t>TOTAL (Rs.)</t>
        </is>
      </c>
      <c r="H75" s="4" t="n">
        <v>10761663</v>
      </c>
      <c r="I75" s="4" t="n">
        <v>13150383</v>
      </c>
      <c r="J75" s="4" t="n">
        <v>6044042</v>
      </c>
      <c r="K75" s="4" t="n">
        <v>97455</v>
      </c>
      <c r="L75" s="4" t="n">
        <v>6808569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Cayman Islands</t>
        </is>
      </c>
      <c r="C2" t="n">
        <v>40</v>
      </c>
      <c r="D2" t="inlineStr">
        <is>
          <t>1810</t>
        </is>
      </c>
      <c r="E2" t="inlineStr">
        <is>
          <t>Xiaomi Corp - Class B</t>
        </is>
      </c>
      <c r="F2" t="inlineStr">
        <is>
          <t>Listed Foreign Equity Share (Company)</t>
        </is>
      </c>
      <c r="G2" t="n">
        <v>0</v>
      </c>
      <c r="H2" t="inlineStr">
        <is>
          <t>2025-08-20</t>
        </is>
      </c>
      <c r="I2" t="n">
        <v>1323.36</v>
      </c>
      <c r="J2" t="n">
        <v>1323.36</v>
      </c>
      <c r="K2" t="n">
        <v>0</v>
      </c>
      <c r="L2" t="n">
        <v>0</v>
      </c>
      <c r="M2" t="n">
        <v>1033.06</v>
      </c>
    </row>
    <row r="3">
      <c r="A3" t="n">
        <v>2</v>
      </c>
      <c r="B3" t="inlineStr">
        <is>
          <t>China</t>
        </is>
      </c>
      <c r="C3" t="n">
        <v>44</v>
      </c>
      <c r="D3" t="inlineStr">
        <is>
          <t>1919</t>
        </is>
      </c>
      <c r="E3" t="inlineStr">
        <is>
          <t>COSCO Shipping Holdings Co - H</t>
        </is>
      </c>
      <c r="F3" t="inlineStr">
        <is>
          <t>Listed Foreign Equity Share (Company)</t>
        </is>
      </c>
      <c r="G3" t="n">
        <v>500</v>
      </c>
      <c r="H3" t="inlineStr">
        <is>
          <t>2025-08-20</t>
        </is>
      </c>
      <c r="I3" t="n">
        <v>937.49</v>
      </c>
      <c r="J3" t="n">
        <v>937.49</v>
      </c>
      <c r="K3" t="n">
        <v>883.37</v>
      </c>
      <c r="L3" t="n">
        <v>36.19</v>
      </c>
      <c r="M3" t="n">
        <v>0</v>
      </c>
    </row>
    <row r="4">
      <c r="A4" t="n">
        <v>3</v>
      </c>
      <c r="B4" t="inlineStr">
        <is>
          <t>Hong Kong</t>
        </is>
      </c>
      <c r="C4" t="n">
        <v>94</v>
      </c>
      <c r="D4" t="inlineStr">
        <is>
          <t>3069</t>
        </is>
      </c>
      <c r="E4" t="inlineStr">
        <is>
          <t>ChinaAMC Hang Seng Biotech ETF</t>
        </is>
      </c>
      <c r="F4" t="inlineStr">
        <is>
          <t>Exchange Traded Fund (Investment Trust)</t>
        </is>
      </c>
      <c r="G4" t="n">
        <v>600</v>
      </c>
      <c r="H4" t="inlineStr">
        <is>
          <t>2025-08-20</t>
        </is>
      </c>
      <c r="I4" t="n">
        <v>1318.34</v>
      </c>
      <c r="J4" t="n">
        <v>1318.34</v>
      </c>
      <c r="K4" t="n">
        <v>1106.3</v>
      </c>
      <c r="L4" t="n">
        <v>3.85</v>
      </c>
      <c r="M4" t="n">
        <v>0</v>
      </c>
    </row>
    <row r="5">
      <c r="A5" t="n">
        <v>4</v>
      </c>
      <c r="B5" t="inlineStr">
        <is>
          <t>Hong Kong</t>
        </is>
      </c>
      <c r="C5" t="n">
        <v>94</v>
      </c>
      <c r="D5" t="inlineStr">
        <is>
          <t>3088</t>
        </is>
      </c>
      <c r="E5" t="inlineStr">
        <is>
          <t>ChinaAMC Hang Seng TECH Index ETF</t>
        </is>
      </c>
      <c r="F5" t="inlineStr">
        <is>
          <t>Exchange Traded Fund (Investment Trust)</t>
        </is>
      </c>
      <c r="G5" t="n">
        <v>1000</v>
      </c>
      <c r="H5" t="inlineStr">
        <is>
          <t>2025-08-20</t>
        </is>
      </c>
      <c r="I5" t="n">
        <v>906.27</v>
      </c>
      <c r="J5" t="n">
        <v>906.27</v>
      </c>
      <c r="K5" t="n">
        <v>897.5</v>
      </c>
      <c r="L5" t="n">
        <v>2.57</v>
      </c>
      <c r="M5" t="n">
        <v>0</v>
      </c>
    </row>
    <row r="6">
      <c r="A6" t="n">
        <v>5</v>
      </c>
      <c r="B6" t="inlineStr">
        <is>
          <t>Hong Kong</t>
        </is>
      </c>
      <c r="C6" t="n">
        <v>94</v>
      </c>
      <c r="D6" t="inlineStr">
        <is>
          <t>3188</t>
        </is>
      </c>
      <c r="E6" t="inlineStr">
        <is>
          <t>ChinaAMC CSI 300 Index ETF</t>
        </is>
      </c>
      <c r="F6" t="inlineStr">
        <is>
          <t>Exchange Traded Fund (Investment Trust)</t>
        </is>
      </c>
      <c r="G6" t="n">
        <v>200</v>
      </c>
      <c r="H6" t="inlineStr">
        <is>
          <t>2025-08-20</t>
        </is>
      </c>
      <c r="I6" t="n">
        <v>1248.7</v>
      </c>
      <c r="J6" t="n">
        <v>1370.22</v>
      </c>
      <c r="K6" t="n">
        <v>1370.22</v>
      </c>
      <c r="L6" t="n">
        <v>0</v>
      </c>
      <c r="M6" t="n">
        <v>0</v>
      </c>
    </row>
    <row r="7">
      <c r="A7" t="n">
        <v>6</v>
      </c>
      <c r="B7" t="inlineStr">
        <is>
          <t>Hong Kong</t>
        </is>
      </c>
      <c r="C7" t="n">
        <v>94</v>
      </c>
      <c r="D7" t="inlineStr">
        <is>
          <t>3416</t>
        </is>
      </c>
      <c r="E7" t="inlineStr">
        <is>
          <t>Global X HSCEI Covered Call ETF</t>
        </is>
      </c>
      <c r="F7" t="inlineStr">
        <is>
          <t>Exchange Traded Fund (Investment Trust)</t>
        </is>
      </c>
      <c r="G7" t="n">
        <v>1000</v>
      </c>
      <c r="H7" t="inlineStr">
        <is>
          <t>2025-08-20</t>
        </is>
      </c>
      <c r="I7" t="n">
        <v>1378.48</v>
      </c>
      <c r="J7" t="n">
        <v>1378.48</v>
      </c>
      <c r="K7" t="n">
        <v>1338.87</v>
      </c>
      <c r="L7" t="n">
        <v>71.95</v>
      </c>
      <c r="M7" t="n">
        <v>0</v>
      </c>
    </row>
    <row r="8">
      <c r="A8" t="n">
        <v>7</v>
      </c>
      <c r="B8" t="inlineStr">
        <is>
          <t>Japan</t>
        </is>
      </c>
      <c r="C8" t="n">
        <v>111</v>
      </c>
      <c r="D8" t="inlineStr">
        <is>
          <t>4568.T</t>
        </is>
      </c>
      <c r="E8" t="inlineStr">
        <is>
          <t>Daiichi Sankyo Co Ltd</t>
        </is>
      </c>
      <c r="F8" t="inlineStr">
        <is>
          <t>Listed Foreign Equity Share (Company)</t>
        </is>
      </c>
      <c r="G8" t="n">
        <v>100</v>
      </c>
      <c r="H8" t="inlineStr">
        <is>
          <t>2025-03-20</t>
        </is>
      </c>
      <c r="I8" t="n">
        <v>2376.26</v>
      </c>
      <c r="J8" t="n">
        <v>2376.26</v>
      </c>
      <c r="K8" t="n">
        <v>2136.93</v>
      </c>
      <c r="L8" t="n">
        <v>44.04</v>
      </c>
      <c r="M8" t="n">
        <v>0</v>
      </c>
    </row>
    <row r="9">
      <c r="A9" t="n">
        <v>8</v>
      </c>
      <c r="B9" t="inlineStr">
        <is>
          <t>United States of America</t>
        </is>
      </c>
      <c r="C9" t="n">
        <v>2</v>
      </c>
      <c r="D9" t="inlineStr">
        <is>
          <t>AAPL</t>
        </is>
      </c>
      <c r="E9" t="inlineStr">
        <is>
          <t>Apple Inc - Common Stock</t>
        </is>
      </c>
      <c r="F9" t="inlineStr">
        <is>
          <t>Listed Foreign Equity Share (Company)</t>
        </is>
      </c>
      <c r="G9" t="n">
        <v>7</v>
      </c>
      <c r="H9" t="inlineStr">
        <is>
          <t>2025-08-21</t>
        </is>
      </c>
      <c r="I9" t="n">
        <v>1575.02</v>
      </c>
      <c r="J9" t="n">
        <v>1903.02</v>
      </c>
      <c r="K9" t="n">
        <v>1903.02</v>
      </c>
      <c r="L9" t="n">
        <v>1.82</v>
      </c>
      <c r="M9" t="n">
        <v>0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AAXJ</t>
        </is>
      </c>
      <c r="E10" t="inlineStr">
        <is>
          <t>iShares MSCI All Country Asia ex Japan ETF</t>
        </is>
      </c>
      <c r="F10" t="inlineStr">
        <is>
          <t>Exchange Traded Fund (Investment Trust)</t>
        </is>
      </c>
      <c r="G10" t="n">
        <v>8</v>
      </c>
      <c r="H10" t="inlineStr">
        <is>
          <t>2025-08-21</t>
        </is>
      </c>
      <c r="I10" t="n">
        <v>685.5599999999999</v>
      </c>
      <c r="J10" t="n">
        <v>744.96</v>
      </c>
      <c r="K10" t="n">
        <v>744.96</v>
      </c>
      <c r="L10" t="n">
        <v>9</v>
      </c>
      <c r="M10" t="n">
        <v>0</v>
      </c>
    </row>
    <row r="11">
      <c r="A11" t="n">
        <v>10</v>
      </c>
      <c r="B11" t="inlineStr">
        <is>
          <t>United States of America</t>
        </is>
      </c>
      <c r="C11" t="n">
        <v>2</v>
      </c>
      <c r="D11" t="inlineStr">
        <is>
          <t>AIQ</t>
        </is>
      </c>
      <c r="E11" t="inlineStr">
        <is>
          <t>Global X Artificial Intelligence &amp; Technology ETF</t>
        </is>
      </c>
      <c r="F11" t="inlineStr">
        <is>
          <t>Exchange Traded Fund (Investment Trust)</t>
        </is>
      </c>
      <c r="G11" t="n">
        <v>36</v>
      </c>
      <c r="H11" t="inlineStr">
        <is>
          <t>2024-12-12</t>
        </is>
      </c>
      <c r="I11" t="n">
        <v>1391.04</v>
      </c>
      <c r="J11" t="n">
        <v>1830.96</v>
      </c>
      <c r="K11" t="n">
        <v>1830.96</v>
      </c>
      <c r="L11" t="n">
        <v>2.14</v>
      </c>
      <c r="M11" t="n">
        <v>0</v>
      </c>
    </row>
    <row r="12">
      <c r="A12" t="n">
        <v>11</v>
      </c>
      <c r="B12" t="inlineStr">
        <is>
          <t>United States of America</t>
        </is>
      </c>
      <c r="C12" t="n">
        <v>2</v>
      </c>
      <c r="D12" t="inlineStr">
        <is>
          <t>AIR</t>
        </is>
      </c>
      <c r="E12" t="inlineStr">
        <is>
          <t>AIR</t>
        </is>
      </c>
      <c r="F12" t="inlineStr">
        <is>
          <t>Listed Foreign Equity / ETF</t>
        </is>
      </c>
      <c r="G12" t="n">
        <v>0</v>
      </c>
      <c r="H12" t="inlineStr">
        <is>
          <t>2025-01-01</t>
        </is>
      </c>
      <c r="I12" t="n">
        <v>0</v>
      </c>
      <c r="J12" t="n">
        <v>0</v>
      </c>
      <c r="K12" t="n">
        <v>0</v>
      </c>
      <c r="L12" t="n">
        <v>35.24</v>
      </c>
      <c r="M12" t="n">
        <v>0</v>
      </c>
    </row>
    <row r="13">
      <c r="A13" t="n">
        <v>12</v>
      </c>
      <c r="B13" t="inlineStr">
        <is>
          <t>Netherlands</t>
        </is>
      </c>
      <c r="C13" t="n">
        <v>156</v>
      </c>
      <c r="D13" t="inlineStr">
        <is>
          <t>AIRd</t>
        </is>
      </c>
      <c r="E13" t="inlineStr">
        <is>
          <t>Airbus SE</t>
        </is>
      </c>
      <c r="F13" t="inlineStr">
        <is>
          <t>Listed Foreign Equity Share (Company)</t>
        </is>
      </c>
      <c r="G13" t="n">
        <v>0</v>
      </c>
      <c r="H13" t="inlineStr">
        <is>
          <t>2025-04-07</t>
        </is>
      </c>
      <c r="I13" t="n">
        <v>1615.78</v>
      </c>
      <c r="J13" t="n">
        <v>2119.92</v>
      </c>
      <c r="K13" t="n">
        <v>0</v>
      </c>
      <c r="L13" t="n">
        <v>0</v>
      </c>
      <c r="M13" t="n">
        <v>2119.92</v>
      </c>
    </row>
    <row r="14">
      <c r="A14" t="n">
        <v>13</v>
      </c>
      <c r="B14" t="inlineStr">
        <is>
          <t>United States of America</t>
        </is>
      </c>
      <c r="C14" t="n">
        <v>2</v>
      </c>
      <c r="D14" t="inlineStr">
        <is>
          <t>AMD</t>
        </is>
      </c>
      <c r="E14" t="inlineStr">
        <is>
          <t>Advanced Micro Devices Inc</t>
        </is>
      </c>
      <c r="F14" t="inlineStr">
        <is>
          <t>Listed Foreign Equity Share (Company)</t>
        </is>
      </c>
      <c r="G14" t="n">
        <v>9</v>
      </c>
      <c r="H14" t="inlineStr">
        <is>
          <t>2025-01-30</t>
        </is>
      </c>
      <c r="I14" t="n">
        <v>142.73</v>
      </c>
      <c r="J14" t="n">
        <v>1927.44</v>
      </c>
      <c r="K14" t="n">
        <v>1927.44</v>
      </c>
      <c r="L14" t="n">
        <v>0</v>
      </c>
      <c r="M14" t="n">
        <v>194.64</v>
      </c>
    </row>
    <row r="15">
      <c r="A15" t="n">
        <v>14</v>
      </c>
      <c r="B15" t="inlineStr">
        <is>
          <t>United States of America</t>
        </is>
      </c>
      <c r="C15" t="n">
        <v>2</v>
      </c>
      <c r="D15" t="inlineStr">
        <is>
          <t>AMZN</t>
        </is>
      </c>
      <c r="E15" t="inlineStr">
        <is>
          <t>Amazon.com Inc</t>
        </is>
      </c>
      <c r="F15" t="inlineStr">
        <is>
          <t>Listed Foreign Equity Share (Company)</t>
        </is>
      </c>
      <c r="G15" t="n">
        <v>0</v>
      </c>
      <c r="H15" t="inlineStr">
        <is>
          <t>2024-09-09</t>
        </is>
      </c>
      <c r="I15" t="n">
        <v>1316.34</v>
      </c>
      <c r="J15" t="n">
        <v>1392.12</v>
      </c>
      <c r="K15" t="n">
        <v>0</v>
      </c>
      <c r="L15" t="n">
        <v>0</v>
      </c>
      <c r="M15" t="n">
        <v>1392.12</v>
      </c>
    </row>
    <row r="16">
      <c r="A16" t="n">
        <v>15</v>
      </c>
      <c r="B16" t="inlineStr">
        <is>
          <t>Netherlands</t>
        </is>
      </c>
      <c r="C16" t="n">
        <v>156</v>
      </c>
      <c r="D16" t="inlineStr">
        <is>
          <t>ASML</t>
        </is>
      </c>
      <c r="E16" t="inlineStr">
        <is>
          <t>ASML Holding NV - NY Registered Shares</t>
        </is>
      </c>
      <c r="F16" t="inlineStr">
        <is>
          <t>American Depository Receipt of Listed Foreign Company</t>
        </is>
      </c>
      <c r="G16" t="n">
        <v>3</v>
      </c>
      <c r="H16" t="inlineStr">
        <is>
          <t>2024-10-22</t>
        </is>
      </c>
      <c r="I16" t="n">
        <v>4158.48</v>
      </c>
      <c r="J16" t="n">
        <v>4338.54</v>
      </c>
      <c r="K16" t="n">
        <v>3209.58</v>
      </c>
      <c r="L16" t="n">
        <v>27.55</v>
      </c>
      <c r="M16" t="n">
        <v>4338.54</v>
      </c>
    </row>
    <row r="17">
      <c r="A17" t="n">
        <v>16</v>
      </c>
      <c r="B17" t="inlineStr">
        <is>
          <t>United States of America</t>
        </is>
      </c>
      <c r="C17" t="n">
        <v>2</v>
      </c>
      <c r="D17" t="inlineStr">
        <is>
          <t>AVGO</t>
        </is>
      </c>
      <c r="E17" t="inlineStr">
        <is>
          <t>Broadcom Inc</t>
        </is>
      </c>
      <c r="F17" t="inlineStr">
        <is>
          <t>Listed Foreign Equity Share (Company)</t>
        </is>
      </c>
      <c r="G17" t="n">
        <v>0</v>
      </c>
      <c r="H17" t="inlineStr">
        <is>
          <t>2024-09-09</t>
        </is>
      </c>
      <c r="I17" t="n">
        <v>2086.56</v>
      </c>
      <c r="J17" t="n">
        <v>2600.64</v>
      </c>
      <c r="K17" t="n">
        <v>0</v>
      </c>
      <c r="L17" t="n">
        <v>10.62</v>
      </c>
      <c r="M17" t="n">
        <v>2600.64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BAC</t>
        </is>
      </c>
      <c r="E18" t="inlineStr">
        <is>
          <t>Bank of America Corp</t>
        </is>
      </c>
      <c r="F18" t="inlineStr">
        <is>
          <t>Listed Foreign Equity Share (Company)</t>
        </is>
      </c>
      <c r="G18" t="n">
        <v>0</v>
      </c>
      <c r="H18" t="inlineStr">
        <is>
          <t>2025-04-07</t>
        </is>
      </c>
      <c r="I18" t="n">
        <v>2095.9</v>
      </c>
      <c r="J18" t="n">
        <v>2930.1</v>
      </c>
      <c r="K18" t="n">
        <v>0</v>
      </c>
      <c r="L18" t="n">
        <v>15.6</v>
      </c>
      <c r="M18" t="n">
        <v>2930.1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BLBD</t>
        </is>
      </c>
      <c r="E19" t="inlineStr">
        <is>
          <t>Blue Bird Corp</t>
        </is>
      </c>
      <c r="F19" t="inlineStr">
        <is>
          <t>Listed Foreign Equity Share (Company)</t>
        </is>
      </c>
      <c r="G19" t="n">
        <v>0</v>
      </c>
      <c r="H19" t="inlineStr">
        <is>
          <t>2024-10-22</t>
        </is>
      </c>
      <c r="I19" t="n">
        <v>2317.8</v>
      </c>
      <c r="J19" t="n">
        <v>2317.8</v>
      </c>
      <c r="K19" t="n">
        <v>0</v>
      </c>
      <c r="L19" t="n">
        <v>0</v>
      </c>
      <c r="M19" t="n">
        <v>2060.1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BOTZ</t>
        </is>
      </c>
      <c r="E20" t="inlineStr">
        <is>
          <t>Global X Robotics &amp; Artificial Intelligence ETF</t>
        </is>
      </c>
      <c r="F20" t="inlineStr">
        <is>
          <t>Exchange Traded Fund (Investment Trust)</t>
        </is>
      </c>
      <c r="G20" t="n">
        <v>24</v>
      </c>
      <c r="H20" t="inlineStr">
        <is>
          <t>2025-08-21</t>
        </is>
      </c>
      <c r="I20" t="n">
        <v>791.2</v>
      </c>
      <c r="J20" t="n">
        <v>869.52</v>
      </c>
      <c r="K20" t="n">
        <v>869.52</v>
      </c>
      <c r="L20" t="n">
        <v>0</v>
      </c>
      <c r="M20" t="n">
        <v>0</v>
      </c>
    </row>
    <row r="21">
      <c r="A21" t="n">
        <v>20</v>
      </c>
      <c r="B21" t="inlineStr">
        <is>
          <t>United Kingdom</t>
        </is>
      </c>
      <c r="C21" t="n">
        <v>234</v>
      </c>
      <c r="D21" t="inlineStr">
        <is>
          <t>BTI</t>
        </is>
      </c>
      <c r="E21" t="inlineStr">
        <is>
          <t>British American Tobacco plc - Sponsored ADR</t>
        </is>
      </c>
      <c r="F21" t="inlineStr">
        <is>
          <t>American Depository Receipt of Listed Foreign Company</t>
        </is>
      </c>
      <c r="G21" t="n">
        <v>0</v>
      </c>
      <c r="H21" t="inlineStr">
        <is>
          <t>2024-10-04</t>
        </is>
      </c>
      <c r="I21" t="n">
        <v>1198.56</v>
      </c>
      <c r="J21" t="n">
        <v>1736.3</v>
      </c>
      <c r="K21" t="n">
        <v>0</v>
      </c>
      <c r="L21" t="n">
        <v>76.88</v>
      </c>
      <c r="M21" t="n">
        <v>1736.3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BX</t>
        </is>
      </c>
      <c r="E22" t="inlineStr">
        <is>
          <t>Blackstone Inc</t>
        </is>
      </c>
      <c r="F22" t="inlineStr">
        <is>
          <t>Listed Foreign Equity Share (Company)</t>
        </is>
      </c>
      <c r="G22" t="n">
        <v>0</v>
      </c>
      <c r="H22" t="inlineStr">
        <is>
          <t>2024-10-04</t>
        </is>
      </c>
      <c r="I22" t="n">
        <v>2069.04</v>
      </c>
      <c r="J22" t="n">
        <v>2154.36</v>
      </c>
      <c r="K22" t="n">
        <v>0</v>
      </c>
      <c r="L22" t="n">
        <v>28.44</v>
      </c>
      <c r="M22" t="n">
        <v>2154.36</v>
      </c>
    </row>
    <row r="23">
      <c r="A23" t="n">
        <v>22</v>
      </c>
      <c r="B23" t="inlineStr">
        <is>
          <t>China</t>
        </is>
      </c>
      <c r="C23" t="n">
        <v>44</v>
      </c>
      <c r="D23" t="inlineStr">
        <is>
          <t>BYDDY</t>
        </is>
      </c>
      <c r="E23" t="inlineStr">
        <is>
          <t>BYD Co Ltd - Unsponsored ADR</t>
        </is>
      </c>
      <c r="F23" t="inlineStr">
        <is>
          <t>American Depository Receipt of Listed Foreign Company</t>
        </is>
      </c>
      <c r="G23" t="n">
        <v>0</v>
      </c>
      <c r="H23" t="inlineStr">
        <is>
          <t>2025-04-07</t>
        </is>
      </c>
      <c r="I23" t="n">
        <v>3521.86</v>
      </c>
      <c r="J23" t="n">
        <v>4199.58</v>
      </c>
      <c r="K23" t="n">
        <v>0</v>
      </c>
      <c r="L23" t="n">
        <v>46.3</v>
      </c>
      <c r="M23" t="n">
        <v>4199.58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CAT</t>
        </is>
      </c>
      <c r="E24" t="inlineStr">
        <is>
          <t>Caterpillar Inc</t>
        </is>
      </c>
      <c r="F24" t="inlineStr">
        <is>
          <t>Listed Foreign Equity Share (Company)</t>
        </is>
      </c>
      <c r="G24" t="n">
        <v>0</v>
      </c>
      <c r="H24" t="inlineStr">
        <is>
          <t>2024-09-09</t>
        </is>
      </c>
      <c r="I24" t="n">
        <v>1088.28</v>
      </c>
      <c r="J24" t="n">
        <v>3856.14</v>
      </c>
      <c r="K24" t="n">
        <v>0</v>
      </c>
      <c r="L24" t="n">
        <v>30.51</v>
      </c>
      <c r="M24" t="n">
        <v>3856.14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CLPT</t>
        </is>
      </c>
      <c r="E25" t="inlineStr">
        <is>
          <t>ClearPoint Neuro Inc</t>
        </is>
      </c>
      <c r="F25" t="inlineStr">
        <is>
          <t>Listed Foreign Equity Share (Company)</t>
        </is>
      </c>
      <c r="G25" t="n">
        <v>42</v>
      </c>
      <c r="H25" t="inlineStr">
        <is>
          <t>2025-10-06</t>
        </is>
      </c>
      <c r="I25" t="n">
        <v>1160.2</v>
      </c>
      <c r="J25" t="n">
        <v>1160.2</v>
      </c>
      <c r="K25" t="n">
        <v>574.5599999999999</v>
      </c>
      <c r="L25" t="n">
        <v>0</v>
      </c>
      <c r="M25" t="n">
        <v>0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CPNG</t>
        </is>
      </c>
      <c r="E26" t="inlineStr">
        <is>
          <t>Coupang Inc (Delaware) - Class A</t>
        </is>
      </c>
      <c r="F26" t="inlineStr">
        <is>
          <t>Listed Foreign Equity Share (Company)</t>
        </is>
      </c>
      <c r="G26" t="n">
        <v>50</v>
      </c>
      <c r="H26" t="inlineStr">
        <is>
          <t>2025-08-21</t>
        </is>
      </c>
      <c r="I26" t="n">
        <v>1409.25</v>
      </c>
      <c r="J26" t="n">
        <v>1409.25</v>
      </c>
      <c r="K26" t="n">
        <v>1179.5</v>
      </c>
      <c r="L26" t="n">
        <v>0</v>
      </c>
      <c r="M26" t="n">
        <v>0</v>
      </c>
    </row>
    <row r="27">
      <c r="A27" t="n">
        <v>26</v>
      </c>
      <c r="B27" t="inlineStr">
        <is>
          <t>United States of America</t>
        </is>
      </c>
      <c r="C27" t="n">
        <v>2</v>
      </c>
      <c r="D27" t="inlineStr">
        <is>
          <t>CRCL</t>
        </is>
      </c>
      <c r="E27" t="inlineStr">
        <is>
          <t>Circle Internet Group Inc</t>
        </is>
      </c>
      <c r="F27" t="inlineStr">
        <is>
          <t>Listed Foreign Equity Share (Company)</t>
        </is>
      </c>
      <c r="G27" t="n">
        <v>10</v>
      </c>
      <c r="H27" t="inlineStr">
        <is>
          <t>2025-08-05</t>
        </is>
      </c>
      <c r="I27" t="n">
        <v>8094.2</v>
      </c>
      <c r="J27" t="n">
        <v>8094.2</v>
      </c>
      <c r="K27" t="n">
        <v>793</v>
      </c>
      <c r="L27" t="n">
        <v>0</v>
      </c>
      <c r="M27" t="n">
        <v>5971.61</v>
      </c>
    </row>
    <row r="28">
      <c r="A28" t="n">
        <v>27</v>
      </c>
      <c r="B28" t="inlineStr">
        <is>
          <t>United States of America</t>
        </is>
      </c>
      <c r="C28" t="n">
        <v>2</v>
      </c>
      <c r="D28" t="inlineStr">
        <is>
          <t>CSCO</t>
        </is>
      </c>
      <c r="E28" t="inlineStr">
        <is>
          <t>Cisco Systems Inc</t>
        </is>
      </c>
      <c r="F28" t="inlineStr">
        <is>
          <t>Listed Foreign Equity Share (Company)</t>
        </is>
      </c>
      <c r="G28" t="n">
        <v>20</v>
      </c>
      <c r="H28" t="inlineStr">
        <is>
          <t>2025-09-22</t>
        </is>
      </c>
      <c r="I28" t="n">
        <v>1355.4</v>
      </c>
      <c r="J28" t="n">
        <v>1540.6</v>
      </c>
      <c r="K28" t="n">
        <v>1540.6</v>
      </c>
      <c r="L28" t="n">
        <v>8.199999999999999</v>
      </c>
      <c r="M28" t="n">
        <v>0</v>
      </c>
    </row>
    <row r="29">
      <c r="A29" t="n">
        <v>28</v>
      </c>
      <c r="B29" t="inlineStr">
        <is>
          <t>Germany</t>
        </is>
      </c>
      <c r="C29" t="n">
        <v>78</v>
      </c>
      <c r="D29" t="inlineStr">
        <is>
          <t>DB</t>
        </is>
      </c>
      <c r="E29" t="inlineStr">
        <is>
          <t>Deutsche Bank AG - Registered Shares</t>
        </is>
      </c>
      <c r="F29" t="inlineStr">
        <is>
          <t>Listed Foreign Equity Share (Company)</t>
        </is>
      </c>
      <c r="G29" t="n">
        <v>33</v>
      </c>
      <c r="H29" t="inlineStr">
        <is>
          <t>2025-08-21</t>
        </is>
      </c>
      <c r="I29" t="n">
        <v>1208.12</v>
      </c>
      <c r="J29" t="n">
        <v>1272.48</v>
      </c>
      <c r="K29" t="n">
        <v>1272.48</v>
      </c>
      <c r="L29" t="n">
        <v>0</v>
      </c>
      <c r="M29" t="n">
        <v>0</v>
      </c>
    </row>
    <row r="30">
      <c r="A30" t="n">
        <v>29</v>
      </c>
      <c r="B30" t="inlineStr">
        <is>
          <t>United States of America</t>
        </is>
      </c>
      <c r="C30" t="n">
        <v>2</v>
      </c>
      <c r="D30" t="inlineStr">
        <is>
          <t>DUOL</t>
        </is>
      </c>
      <c r="E30" t="inlineStr">
        <is>
          <t>Duolingo Inc</t>
        </is>
      </c>
      <c r="F30" t="inlineStr">
        <is>
          <t>Listed Foreign Equity Share (Company)</t>
        </is>
      </c>
      <c r="G30" t="n">
        <v>9</v>
      </c>
      <c r="H30" t="inlineStr">
        <is>
          <t>2025-10-06</t>
        </is>
      </c>
      <c r="I30" t="n">
        <v>2066.05</v>
      </c>
      <c r="J30" t="n">
        <v>2066.05</v>
      </c>
      <c r="K30" t="n">
        <v>1579.5</v>
      </c>
      <c r="L30" t="n">
        <v>0</v>
      </c>
      <c r="M30" t="n">
        <v>0</v>
      </c>
    </row>
    <row r="31">
      <c r="A31" t="n">
        <v>30</v>
      </c>
      <c r="B31" t="inlineStr">
        <is>
          <t>United States of America</t>
        </is>
      </c>
      <c r="C31" t="n">
        <v>2</v>
      </c>
      <c r="D31" t="inlineStr">
        <is>
          <t>DXJ</t>
        </is>
      </c>
      <c r="E31" t="inlineStr">
        <is>
          <t>WisdomTree Japan Hedged Equity Fund</t>
        </is>
      </c>
      <c r="F31" t="inlineStr">
        <is>
          <t>Exchange Traded Fund (Investment Trust)</t>
        </is>
      </c>
      <c r="G31" t="n">
        <v>0</v>
      </c>
      <c r="H31" t="inlineStr">
        <is>
          <t>2024-09-09</t>
        </is>
      </c>
      <c r="I31" t="n">
        <v>661.74</v>
      </c>
      <c r="J31" t="n">
        <v>726.12</v>
      </c>
      <c r="K31" t="n">
        <v>0</v>
      </c>
      <c r="L31" t="n">
        <v>8.039999999999999</v>
      </c>
      <c r="M31" t="n">
        <v>726.12</v>
      </c>
    </row>
    <row r="32">
      <c r="A32" t="n">
        <v>31</v>
      </c>
      <c r="B32" t="inlineStr">
        <is>
          <t>United States of America</t>
        </is>
      </c>
      <c r="C32" t="n">
        <v>2</v>
      </c>
      <c r="D32" t="inlineStr">
        <is>
          <t>EMXC</t>
        </is>
      </c>
      <c r="E32" t="inlineStr">
        <is>
          <t>iShares MSCI Emerging Markets ex China ETF</t>
        </is>
      </c>
      <c r="F32" t="inlineStr">
        <is>
          <t>Exchange Traded Fund (Investment Trust)</t>
        </is>
      </c>
      <c r="G32" t="n">
        <v>0</v>
      </c>
      <c r="H32" t="inlineStr">
        <is>
          <t>2024-09-09</t>
        </is>
      </c>
      <c r="I32" t="n">
        <v>499.05</v>
      </c>
      <c r="J32" t="n">
        <v>576.67</v>
      </c>
      <c r="K32" t="n">
        <v>0</v>
      </c>
      <c r="L32" t="n">
        <v>6.4</v>
      </c>
      <c r="M32" t="n">
        <v>576.67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GD</t>
        </is>
      </c>
      <c r="E33" t="inlineStr">
        <is>
          <t>General Dynamics Corp</t>
        </is>
      </c>
      <c r="F33" t="inlineStr">
        <is>
          <t>Listed Foreign Equity Share (Company)</t>
        </is>
      </c>
      <c r="G33" t="n">
        <v>0</v>
      </c>
      <c r="H33" t="inlineStr">
        <is>
          <t>2025-01-28</t>
        </is>
      </c>
      <c r="I33" t="n">
        <v>1590.52</v>
      </c>
      <c r="J33" t="n">
        <v>1898.37</v>
      </c>
      <c r="K33" t="n">
        <v>0</v>
      </c>
      <c r="L33" t="n">
        <v>18</v>
      </c>
      <c r="M33" t="n">
        <v>1898.37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GE</t>
        </is>
      </c>
      <c r="E34" t="inlineStr">
        <is>
          <t>GE Aerospace / General Electric</t>
        </is>
      </c>
      <c r="F34" t="inlineStr">
        <is>
          <t>Listed Foreign Equity Share (Company)</t>
        </is>
      </c>
      <c r="G34" t="n">
        <v>0</v>
      </c>
      <c r="H34" t="inlineStr">
        <is>
          <t>2024-09-09</t>
        </is>
      </c>
      <c r="I34" t="n">
        <v>500.37</v>
      </c>
      <c r="J34" t="n">
        <v>807.28</v>
      </c>
      <c r="K34" t="n">
        <v>0</v>
      </c>
      <c r="L34" t="n">
        <v>3</v>
      </c>
      <c r="M34" t="n">
        <v>807.28</v>
      </c>
    </row>
    <row r="35">
      <c r="A35" t="n">
        <v>34</v>
      </c>
      <c r="B35" t="inlineStr">
        <is>
          <t>United States of America</t>
        </is>
      </c>
      <c r="C35" t="n">
        <v>2</v>
      </c>
      <c r="D35" t="inlineStr">
        <is>
          <t>GLD</t>
        </is>
      </c>
      <c r="E35" t="inlineStr">
        <is>
          <t>SPDR Gold Shares (World Gold Trust)</t>
        </is>
      </c>
      <c r="F35" t="inlineStr">
        <is>
          <t>Exchange Traded Fund (Investment Trust)</t>
        </is>
      </c>
      <c r="G35" t="n">
        <v>10</v>
      </c>
      <c r="H35" t="inlineStr">
        <is>
          <t>2025-08-21</t>
        </is>
      </c>
      <c r="I35" t="n">
        <v>3075.89</v>
      </c>
      <c r="J35" t="n">
        <v>3963.1</v>
      </c>
      <c r="K35" t="n">
        <v>3963.1</v>
      </c>
      <c r="L35" t="n">
        <v>0</v>
      </c>
      <c r="M35" t="n">
        <v>0</v>
      </c>
    </row>
    <row r="36">
      <c r="A36" t="n">
        <v>35</v>
      </c>
      <c r="B36" t="inlineStr">
        <is>
          <t>Korea, Republic of</t>
        </is>
      </c>
      <c r="C36" t="n">
        <v>116</v>
      </c>
      <c r="D36" t="inlineStr">
        <is>
          <t>HYU</t>
        </is>
      </c>
      <c r="E36" t="inlineStr">
        <is>
          <t>Hyundai Motor Co - Reg S GDR</t>
        </is>
      </c>
      <c r="F36" t="inlineStr">
        <is>
          <t>Global Depository Receipt of Listed Foreign Company</t>
        </is>
      </c>
      <c r="G36" t="n">
        <v>0</v>
      </c>
      <c r="H36" t="inlineStr">
        <is>
          <t>2024-10-22</t>
        </is>
      </c>
      <c r="I36" t="n">
        <v>1341.86</v>
      </c>
      <c r="J36" t="n">
        <v>1341.86</v>
      </c>
      <c r="K36" t="n">
        <v>0</v>
      </c>
      <c r="L36" t="n">
        <v>73.09999999999999</v>
      </c>
      <c r="M36" t="n">
        <v>1339.02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IBM</t>
        </is>
      </c>
      <c r="E37" t="inlineStr">
        <is>
          <t>International Business Machines Corp</t>
        </is>
      </c>
      <c r="F37" t="inlineStr">
        <is>
          <t>Listed Foreign Equity Share (Company)</t>
        </is>
      </c>
      <c r="G37" t="n">
        <v>5</v>
      </c>
      <c r="H37" t="inlineStr">
        <is>
          <t>2025-09-22</t>
        </is>
      </c>
      <c r="I37" t="n">
        <v>1333.8</v>
      </c>
      <c r="J37" t="n">
        <v>1481.05</v>
      </c>
      <c r="K37" t="n">
        <v>1481.05</v>
      </c>
      <c r="L37" t="n">
        <v>8.4</v>
      </c>
      <c r="M37" t="n">
        <v>0</v>
      </c>
    </row>
    <row r="38">
      <c r="A38" t="n">
        <v>37</v>
      </c>
      <c r="B38" t="inlineStr">
        <is>
          <t>United States of America</t>
        </is>
      </c>
      <c r="C38" t="n">
        <v>2</v>
      </c>
      <c r="D38" t="inlineStr">
        <is>
          <t>ICLN</t>
        </is>
      </c>
      <c r="E38" t="inlineStr">
        <is>
          <t>iShares Global Clean Energy ETF</t>
        </is>
      </c>
      <c r="F38" t="inlineStr">
        <is>
          <t>Exchange Traded Fund (Investment Trust)</t>
        </is>
      </c>
      <c r="G38" t="n">
        <v>50</v>
      </c>
      <c r="H38" t="inlineStr">
        <is>
          <t>2025-08-21</t>
        </is>
      </c>
      <c r="I38" t="n">
        <v>710.25</v>
      </c>
      <c r="J38" t="n">
        <v>821.5</v>
      </c>
      <c r="K38" t="n">
        <v>821.5</v>
      </c>
      <c r="L38" t="n">
        <v>6.41</v>
      </c>
      <c r="M38" t="n">
        <v>0</v>
      </c>
    </row>
    <row r="39">
      <c r="A39" t="n">
        <v>38</v>
      </c>
      <c r="B39" t="inlineStr">
        <is>
          <t>United States of America</t>
        </is>
      </c>
      <c r="C39" t="n">
        <v>2</v>
      </c>
      <c r="D39" t="inlineStr">
        <is>
          <t>IGPT</t>
        </is>
      </c>
      <c r="E39" t="inlineStr">
        <is>
          <t>Invesco AI and Next Gen Software ETF</t>
        </is>
      </c>
      <c r="F39" t="inlineStr">
        <is>
          <t>Exchange Traded Fund (Investment Trust)</t>
        </is>
      </c>
      <c r="G39" t="n">
        <v>0</v>
      </c>
      <c r="H39" t="inlineStr">
        <is>
          <t>2024-12-12</t>
        </is>
      </c>
      <c r="I39" t="n">
        <v>1492.59</v>
      </c>
      <c r="J39" t="n">
        <v>1664.68</v>
      </c>
      <c r="K39" t="n">
        <v>0</v>
      </c>
      <c r="L39" t="n">
        <v>0.55</v>
      </c>
      <c r="M39" t="n">
        <v>1664.68</v>
      </c>
    </row>
    <row r="40">
      <c r="A40" t="n">
        <v>39</v>
      </c>
      <c r="B40" t="inlineStr">
        <is>
          <t>United States of America</t>
        </is>
      </c>
      <c r="C40" t="n">
        <v>2</v>
      </c>
      <c r="D40" t="inlineStr">
        <is>
          <t>INTC</t>
        </is>
      </c>
      <c r="E40" t="inlineStr">
        <is>
          <t>Intel Corp</t>
        </is>
      </c>
      <c r="F40" t="inlineStr">
        <is>
          <t>Listed Foreign Equity Share (Company)</t>
        </is>
      </c>
      <c r="G40" t="n">
        <v>72</v>
      </c>
      <c r="H40" t="inlineStr">
        <is>
          <t>2025-08-21</t>
        </is>
      </c>
      <c r="I40" t="n">
        <v>1665.28</v>
      </c>
      <c r="J40" t="n">
        <v>2656.8</v>
      </c>
      <c r="K40" t="n">
        <v>2656.8</v>
      </c>
      <c r="L40" t="n">
        <v>0</v>
      </c>
      <c r="M40" t="n">
        <v>0</v>
      </c>
    </row>
    <row r="41">
      <c r="A41" t="n">
        <v>40</v>
      </c>
      <c r="B41" t="inlineStr">
        <is>
          <t>United States of America</t>
        </is>
      </c>
      <c r="C41" t="n">
        <v>2</v>
      </c>
      <c r="D41" t="inlineStr">
        <is>
          <t>IWR</t>
        </is>
      </c>
      <c r="E41" t="inlineStr">
        <is>
          <t>iShares Russell Mid-Cap ETF</t>
        </is>
      </c>
      <c r="F41" t="inlineStr">
        <is>
          <t>Exchange Traded Fund (Investment Trust)</t>
        </is>
      </c>
      <c r="G41" t="n">
        <v>10</v>
      </c>
      <c r="H41" t="inlineStr">
        <is>
          <t>2025-08-21</t>
        </is>
      </c>
      <c r="I41" t="n">
        <v>941.65</v>
      </c>
      <c r="J41" t="n">
        <v>962.7</v>
      </c>
      <c r="K41" t="n">
        <v>962.7</v>
      </c>
      <c r="L41" t="n">
        <v>7.16</v>
      </c>
      <c r="M41" t="n">
        <v>0</v>
      </c>
    </row>
    <row r="42">
      <c r="A42" t="n">
        <v>41</v>
      </c>
      <c r="B42" t="inlineStr">
        <is>
          <t>United States of America</t>
        </is>
      </c>
      <c r="C42" t="n">
        <v>2</v>
      </c>
      <c r="D42" t="inlineStr">
        <is>
          <t>LLY</t>
        </is>
      </c>
      <c r="E42" t="inlineStr">
        <is>
          <t>Eli Lilly &amp; Company</t>
        </is>
      </c>
      <c r="F42" t="inlineStr">
        <is>
          <t>Listed Foreign Equity Share (Company)</t>
        </is>
      </c>
      <c r="G42" t="n">
        <v>3.5</v>
      </c>
      <c r="H42" t="inlineStr">
        <is>
          <t>2024-11-04</t>
        </is>
      </c>
      <c r="I42" t="n">
        <v>4632</v>
      </c>
      <c r="J42" t="n">
        <v>4847.88</v>
      </c>
      <c r="K42" t="n">
        <v>3761.38</v>
      </c>
      <c r="L42" t="n">
        <v>23.25</v>
      </c>
      <c r="M42" t="n">
        <v>4847.88</v>
      </c>
    </row>
    <row r="43">
      <c r="A43" t="n">
        <v>42</v>
      </c>
      <c r="B43" t="inlineStr">
        <is>
          <t>United States of America</t>
        </is>
      </c>
      <c r="C43" t="n">
        <v>2</v>
      </c>
      <c r="D43" t="inlineStr">
        <is>
          <t>LRCX</t>
        </is>
      </c>
      <c r="E43" t="inlineStr">
        <is>
          <t>Lam Research Corp</t>
        </is>
      </c>
      <c r="F43" t="inlineStr">
        <is>
          <t>Listed Foreign Equity Share (Company)</t>
        </is>
      </c>
      <c r="G43" t="n">
        <v>0</v>
      </c>
      <c r="H43" t="inlineStr">
        <is>
          <t>2024-09-09</t>
        </is>
      </c>
      <c r="I43" t="n">
        <v>722.3</v>
      </c>
      <c r="J43" t="n">
        <v>979.42</v>
      </c>
      <c r="K43" t="n">
        <v>0</v>
      </c>
      <c r="L43" t="n">
        <v>6.9</v>
      </c>
      <c r="M43" t="n">
        <v>979.42</v>
      </c>
    </row>
    <row r="44">
      <c r="A44" t="n">
        <v>43</v>
      </c>
      <c r="B44" t="inlineStr">
        <is>
          <t>United States of America</t>
        </is>
      </c>
      <c r="C44" t="n">
        <v>2</v>
      </c>
      <c r="D44" t="inlineStr">
        <is>
          <t>MCHI</t>
        </is>
      </c>
      <c r="E44" t="inlineStr">
        <is>
          <t>iShares MSCI China ETF</t>
        </is>
      </c>
      <c r="F44" t="inlineStr">
        <is>
          <t>Exchange Traded Fund (Investment Trust)</t>
        </is>
      </c>
      <c r="G44" t="n">
        <v>0</v>
      </c>
      <c r="H44" t="inlineStr">
        <is>
          <t>2024-10-04</t>
        </is>
      </c>
      <c r="I44" t="n">
        <v>1265.22</v>
      </c>
      <c r="J44" t="n">
        <v>1599.08</v>
      </c>
      <c r="K44" t="n">
        <v>0</v>
      </c>
      <c r="L44" t="n">
        <v>14.46</v>
      </c>
      <c r="M44" t="n">
        <v>1599.08</v>
      </c>
    </row>
    <row r="45">
      <c r="A45" t="n">
        <v>44</v>
      </c>
      <c r="B45" t="inlineStr">
        <is>
          <t>United States of America</t>
        </is>
      </c>
      <c r="C45" t="n">
        <v>2</v>
      </c>
      <c r="D45" t="inlineStr">
        <is>
          <t>META</t>
        </is>
      </c>
      <c r="E45" t="inlineStr">
        <is>
          <t>Meta Platforms Inc - Class A</t>
        </is>
      </c>
      <c r="F45" t="inlineStr">
        <is>
          <t>Listed Foreign Equity Share (Company)</t>
        </is>
      </c>
      <c r="G45" t="n">
        <v>2</v>
      </c>
      <c r="H45" t="inlineStr">
        <is>
          <t>2025-10-30</t>
        </is>
      </c>
      <c r="I45" t="n">
        <v>1315.52</v>
      </c>
      <c r="J45" t="n">
        <v>1320.18</v>
      </c>
      <c r="K45" t="n">
        <v>1320.18</v>
      </c>
      <c r="L45" t="n">
        <v>1.05</v>
      </c>
      <c r="M45" t="n">
        <v>0</v>
      </c>
    </row>
    <row r="46">
      <c r="A46" t="n">
        <v>45</v>
      </c>
      <c r="B46" t="inlineStr">
        <is>
          <t>United States of America</t>
        </is>
      </c>
      <c r="C46" t="n">
        <v>2</v>
      </c>
      <c r="D46" t="inlineStr">
        <is>
          <t>MSFT</t>
        </is>
      </c>
      <c r="E46" t="inlineStr">
        <is>
          <t>Microsoft Corp</t>
        </is>
      </c>
      <c r="F46" t="inlineStr">
        <is>
          <t>Listed Foreign Equity Share (Company)</t>
        </is>
      </c>
      <c r="G46" t="n">
        <v>0</v>
      </c>
      <c r="H46" t="inlineStr">
        <is>
          <t>2024-10-31</t>
        </is>
      </c>
      <c r="I46" t="n">
        <v>2529</v>
      </c>
      <c r="J46" t="n">
        <v>3076.5</v>
      </c>
      <c r="K46" t="n">
        <v>0</v>
      </c>
      <c r="L46" t="n">
        <v>9.960000000000001</v>
      </c>
      <c r="M46" t="n">
        <v>3076.5</v>
      </c>
    </row>
    <row r="47">
      <c r="A47" t="n">
        <v>46</v>
      </c>
      <c r="B47" t="inlineStr">
        <is>
          <t>Netherlands</t>
        </is>
      </c>
      <c r="C47" t="n">
        <v>156</v>
      </c>
      <c r="D47" t="inlineStr">
        <is>
          <t>NBIS</t>
        </is>
      </c>
      <c r="E47" t="inlineStr">
        <is>
          <t>Nebius Group NV</t>
        </is>
      </c>
      <c r="F47" t="inlineStr">
        <is>
          <t>Listed Foreign Equity Share (Company)</t>
        </is>
      </c>
      <c r="G47" t="n">
        <v>15</v>
      </c>
      <c r="H47" t="inlineStr">
        <is>
          <t>2025-08-21</t>
        </is>
      </c>
      <c r="I47" t="n">
        <v>1004.05</v>
      </c>
      <c r="J47" t="n">
        <v>1255.58</v>
      </c>
      <c r="K47" t="n">
        <v>1255.58</v>
      </c>
      <c r="L47" t="n">
        <v>0</v>
      </c>
      <c r="M47" t="n">
        <v>0</v>
      </c>
    </row>
    <row r="48">
      <c r="A48" t="n">
        <v>47</v>
      </c>
      <c r="B48" t="inlineStr">
        <is>
          <t>United States of America</t>
        </is>
      </c>
      <c r="C48" t="n">
        <v>2</v>
      </c>
      <c r="D48" t="inlineStr">
        <is>
          <t>NFLX</t>
        </is>
      </c>
      <c r="E48" t="inlineStr">
        <is>
          <t>Netflix Inc</t>
        </is>
      </c>
      <c r="F48" t="inlineStr">
        <is>
          <t>Listed Foreign Equity Share (Company)</t>
        </is>
      </c>
      <c r="G48" t="n">
        <v>10</v>
      </c>
      <c r="H48" t="inlineStr">
        <is>
          <t>2024-12-12</t>
        </is>
      </c>
      <c r="I48" t="n">
        <v>2139.17</v>
      </c>
      <c r="J48" t="n">
        <v>2797.76</v>
      </c>
      <c r="K48" t="n">
        <v>937.6</v>
      </c>
      <c r="L48" t="n">
        <v>0</v>
      </c>
      <c r="M48" t="n">
        <v>2797.76</v>
      </c>
    </row>
    <row r="49">
      <c r="A49" t="n">
        <v>48</v>
      </c>
      <c r="B49" t="inlineStr">
        <is>
          <t>United States of America</t>
        </is>
      </c>
      <c r="C49" t="n">
        <v>2</v>
      </c>
      <c r="D49" t="inlineStr">
        <is>
          <t>NOV</t>
        </is>
      </c>
      <c r="E49" t="inlineStr">
        <is>
          <t>NOV</t>
        </is>
      </c>
      <c r="F49" t="inlineStr">
        <is>
          <t>Listed Foreign Equity / ETF</t>
        </is>
      </c>
      <c r="G49" t="n">
        <v>0</v>
      </c>
      <c r="H49" t="inlineStr">
        <is>
          <t>2025-01-01</t>
        </is>
      </c>
      <c r="I49" t="n">
        <v>0</v>
      </c>
      <c r="J49" t="n">
        <v>0</v>
      </c>
      <c r="K49" t="n">
        <v>0</v>
      </c>
      <c r="L49" t="n">
        <v>54.96</v>
      </c>
      <c r="M49" t="n">
        <v>0</v>
      </c>
    </row>
    <row r="50">
      <c r="A50" t="n">
        <v>49</v>
      </c>
      <c r="B50" t="inlineStr">
        <is>
          <t>Denmark</t>
        </is>
      </c>
      <c r="C50" t="n">
        <v>61</v>
      </c>
      <c r="D50" t="inlineStr">
        <is>
          <t>NOVd</t>
        </is>
      </c>
      <c r="E50" t="inlineStr">
        <is>
          <t>Novo Nordisk A/S - B Shares</t>
        </is>
      </c>
      <c r="F50" t="inlineStr">
        <is>
          <t>Listed Foreign Equity Share (Company)</t>
        </is>
      </c>
      <c r="G50" t="n">
        <v>0</v>
      </c>
      <c r="H50" t="inlineStr">
        <is>
          <t>2025-03-21</t>
        </is>
      </c>
      <c r="I50" t="n">
        <v>5558.5</v>
      </c>
      <c r="J50" t="n">
        <v>5558.5</v>
      </c>
      <c r="K50" t="n">
        <v>0</v>
      </c>
      <c r="L50" t="n">
        <v>0</v>
      </c>
      <c r="M50" t="n">
        <v>3707.6</v>
      </c>
    </row>
    <row r="51">
      <c r="A51" t="n">
        <v>50</v>
      </c>
      <c r="B51" t="inlineStr">
        <is>
          <t>United States of America</t>
        </is>
      </c>
      <c r="C51" t="n">
        <v>2</v>
      </c>
      <c r="D51" t="inlineStr">
        <is>
          <t>NVDA</t>
        </is>
      </c>
      <c r="E51" t="inlineStr">
        <is>
          <t>NVIDIA Corp</t>
        </is>
      </c>
      <c r="F51" t="inlineStr">
        <is>
          <t>Listed Foreign Equity Share (Company)</t>
        </is>
      </c>
      <c r="G51" t="n">
        <v>0</v>
      </c>
      <c r="H51" t="inlineStr">
        <is>
          <t>2025-01-30</t>
        </is>
      </c>
      <c r="I51" t="n">
        <v>1636.31</v>
      </c>
      <c r="J51" t="n">
        <v>2811.59</v>
      </c>
      <c r="K51" t="n">
        <v>0</v>
      </c>
      <c r="L51" t="n">
        <v>0.2</v>
      </c>
      <c r="M51" t="n">
        <v>2811.59</v>
      </c>
    </row>
    <row r="52">
      <c r="A52" t="n">
        <v>51</v>
      </c>
      <c r="B52" t="inlineStr">
        <is>
          <t>United States of America</t>
        </is>
      </c>
      <c r="C52" t="n">
        <v>2</v>
      </c>
      <c r="D52" t="inlineStr">
        <is>
          <t>ORCL</t>
        </is>
      </c>
      <c r="E52" t="inlineStr">
        <is>
          <t>Oracle Corp</t>
        </is>
      </c>
      <c r="F52" t="inlineStr">
        <is>
          <t>Listed Foreign Equity Share (Company)</t>
        </is>
      </c>
      <c r="G52" t="n">
        <v>0</v>
      </c>
      <c r="H52" t="inlineStr">
        <is>
          <t>2025-09-22</t>
        </is>
      </c>
      <c r="I52" t="n">
        <v>1555.5</v>
      </c>
      <c r="J52" t="n">
        <v>1555.5</v>
      </c>
      <c r="K52" t="n">
        <v>0</v>
      </c>
      <c r="L52" t="n">
        <v>2.5</v>
      </c>
      <c r="M52" t="n">
        <v>980</v>
      </c>
    </row>
    <row r="53">
      <c r="A53" t="n">
        <v>52</v>
      </c>
      <c r="B53" t="inlineStr">
        <is>
          <t>United States of America</t>
        </is>
      </c>
      <c r="C53" t="n">
        <v>2</v>
      </c>
      <c r="D53" t="inlineStr">
        <is>
          <t>QQQ</t>
        </is>
      </c>
      <c r="E53" t="inlineStr">
        <is>
          <t>Invesco QQQ Trust Series 1</t>
        </is>
      </c>
      <c r="F53" t="inlineStr">
        <is>
          <t>Exchange Traded Fund (Investment Trust)</t>
        </is>
      </c>
      <c r="G53" t="n">
        <v>2</v>
      </c>
      <c r="H53" t="inlineStr">
        <is>
          <t>2025-08-21</t>
        </is>
      </c>
      <c r="I53" t="n">
        <v>1130.86</v>
      </c>
      <c r="J53" t="n">
        <v>1228.62</v>
      </c>
      <c r="K53" t="n">
        <v>1228.62</v>
      </c>
      <c r="L53" t="n">
        <v>2.98</v>
      </c>
      <c r="M53" t="n">
        <v>0</v>
      </c>
    </row>
    <row r="54">
      <c r="A54" t="n">
        <v>53</v>
      </c>
      <c r="B54" t="inlineStr">
        <is>
          <t>United Kingdom</t>
        </is>
      </c>
      <c r="C54" t="n">
        <v>234</v>
      </c>
      <c r="D54" t="inlineStr">
        <is>
          <t>R6C0d</t>
        </is>
      </c>
      <c r="E54" t="inlineStr">
        <is>
          <t>Shell plc</t>
        </is>
      </c>
      <c r="F54" t="inlineStr">
        <is>
          <t>Listed Foreign Equity Share (Company)</t>
        </is>
      </c>
      <c r="G54" t="n">
        <v>0</v>
      </c>
      <c r="H54" t="inlineStr">
        <is>
          <t>2024-09-10</t>
        </is>
      </c>
      <c r="I54" t="n">
        <v>1485.67</v>
      </c>
      <c r="J54" t="n">
        <v>1512.26</v>
      </c>
      <c r="K54" t="n">
        <v>0</v>
      </c>
      <c r="L54" t="n">
        <v>0</v>
      </c>
      <c r="M54" t="n">
        <v>1512.26</v>
      </c>
    </row>
    <row r="55">
      <c r="A55" t="n">
        <v>54</v>
      </c>
      <c r="B55" t="inlineStr">
        <is>
          <t>United States of America</t>
        </is>
      </c>
      <c r="C55" t="n">
        <v>2</v>
      </c>
      <c r="D55" t="inlineStr">
        <is>
          <t>RBRK</t>
        </is>
      </c>
      <c r="E55" t="inlineStr">
        <is>
          <t>Rubrik Inc - Class A</t>
        </is>
      </c>
      <c r="F55" t="inlineStr">
        <is>
          <t>Listed Foreign Equity Share (Company)</t>
        </is>
      </c>
      <c r="G55" t="n">
        <v>17</v>
      </c>
      <c r="H55" t="inlineStr">
        <is>
          <t>2025-08-21</t>
        </is>
      </c>
      <c r="I55" t="n">
        <v>1460.11</v>
      </c>
      <c r="J55" t="n">
        <v>1460.11</v>
      </c>
      <c r="K55" t="n">
        <v>1300.16</v>
      </c>
      <c r="L55" t="n">
        <v>0</v>
      </c>
      <c r="M55" t="n">
        <v>0</v>
      </c>
    </row>
    <row r="56">
      <c r="A56" t="n">
        <v>55</v>
      </c>
      <c r="B56" t="inlineStr">
        <is>
          <t>United States of America</t>
        </is>
      </c>
      <c r="C56" t="n">
        <v>2</v>
      </c>
      <c r="D56" t="inlineStr">
        <is>
          <t>REGN</t>
        </is>
      </c>
      <c r="E56" t="inlineStr">
        <is>
          <t>Regeneron Pharmaceuticals Inc</t>
        </is>
      </c>
      <c r="F56" t="inlineStr">
        <is>
          <t>Listed Foreign Equity Share (Company)</t>
        </is>
      </c>
      <c r="G56" t="n">
        <v>3</v>
      </c>
      <c r="H56" t="inlineStr">
        <is>
          <t>2025-10-06</t>
        </is>
      </c>
      <c r="I56" t="n">
        <v>1797.19</v>
      </c>
      <c r="J56" t="n">
        <v>2315.61</v>
      </c>
      <c r="K56" t="n">
        <v>2315.61</v>
      </c>
      <c r="L56" t="n">
        <v>2.64</v>
      </c>
      <c r="M56" t="n">
        <v>0</v>
      </c>
    </row>
    <row r="57">
      <c r="A57" t="n">
        <v>56</v>
      </c>
      <c r="B57" t="inlineStr">
        <is>
          <t>United Kingdom</t>
        </is>
      </c>
      <c r="C57" t="n">
        <v>234</v>
      </c>
      <c r="D57" t="inlineStr">
        <is>
          <t>RIO</t>
        </is>
      </c>
      <c r="E57" t="inlineStr">
        <is>
          <t>Rio Tinto plc - Sponsored ADR</t>
        </is>
      </c>
      <c r="F57" t="inlineStr">
        <is>
          <t>American Depository Receipt of Listed Foreign Company</t>
        </is>
      </c>
      <c r="G57" t="n">
        <v>0</v>
      </c>
      <c r="H57" t="inlineStr">
        <is>
          <t>2024-09-09</t>
        </is>
      </c>
      <c r="I57" t="n">
        <v>529.29</v>
      </c>
      <c r="J57" t="n">
        <v>574.78</v>
      </c>
      <c r="K57" t="n">
        <v>0</v>
      </c>
      <c r="L57" t="n">
        <v>20.25</v>
      </c>
      <c r="M57" t="n">
        <v>574.78</v>
      </c>
    </row>
    <row r="58">
      <c r="A58" t="n">
        <v>57</v>
      </c>
      <c r="B58" t="inlineStr">
        <is>
          <t>United States of America</t>
        </is>
      </c>
      <c r="C58" t="n">
        <v>2</v>
      </c>
      <c r="D58" t="inlineStr">
        <is>
          <t>RTX</t>
        </is>
      </c>
      <c r="E58" t="inlineStr">
        <is>
          <t>RTX Corp</t>
        </is>
      </c>
      <c r="F58" t="inlineStr">
        <is>
          <t>Listed Foreign Equity Share (Company)</t>
        </is>
      </c>
      <c r="G58" t="n">
        <v>0</v>
      </c>
      <c r="H58" t="inlineStr">
        <is>
          <t>2025-04-07</t>
        </is>
      </c>
      <c r="I58" t="n">
        <v>3467.2</v>
      </c>
      <c r="J58" t="n">
        <v>4676.7</v>
      </c>
      <c r="K58" t="n">
        <v>0</v>
      </c>
      <c r="L58" t="n">
        <v>20.4</v>
      </c>
      <c r="M58" t="n">
        <v>4676.7</v>
      </c>
    </row>
    <row r="59">
      <c r="A59" t="n">
        <v>58</v>
      </c>
      <c r="B59" t="inlineStr">
        <is>
          <t>Ireland</t>
        </is>
      </c>
      <c r="C59" t="n">
        <v>101</v>
      </c>
      <c r="D59" t="inlineStr">
        <is>
          <t>SAUS</t>
        </is>
      </c>
      <c r="E59" t="inlineStr">
        <is>
          <t>iShares MSCI Australia UCITS ETF</t>
        </is>
      </c>
      <c r="F59" t="inlineStr">
        <is>
          <t>Exchange Traded Fund (Investment Trust)</t>
        </is>
      </c>
      <c r="G59" t="n">
        <v>6</v>
      </c>
      <c r="H59" t="inlineStr">
        <is>
          <t>2024-09-09</t>
        </is>
      </c>
      <c r="I59" t="n">
        <v>337.26</v>
      </c>
      <c r="J59" t="n">
        <v>340.68</v>
      </c>
      <c r="K59" t="n">
        <v>340.68</v>
      </c>
      <c r="L59" t="n">
        <v>0</v>
      </c>
      <c r="M59" t="n">
        <v>0</v>
      </c>
    </row>
    <row r="60">
      <c r="A60" t="n">
        <v>59</v>
      </c>
      <c r="B60" t="inlineStr">
        <is>
          <t>Germany</t>
        </is>
      </c>
      <c r="C60" t="n">
        <v>78</v>
      </c>
      <c r="D60" t="inlineStr">
        <is>
          <t>SIEd</t>
        </is>
      </c>
      <c r="E60" t="inlineStr">
        <is>
          <t>Siemens AG - Registered</t>
        </is>
      </c>
      <c r="F60" t="inlineStr">
        <is>
          <t>Listed Foreign Equity Share (Company)</t>
        </is>
      </c>
      <c r="G60" t="n">
        <v>0</v>
      </c>
      <c r="H60" t="inlineStr">
        <is>
          <t>2025-04-07</t>
        </is>
      </c>
      <c r="I60" t="n">
        <v>4183.69</v>
      </c>
      <c r="J60" t="n">
        <v>5311.54</v>
      </c>
      <c r="K60" t="n">
        <v>0</v>
      </c>
      <c r="L60" t="n">
        <v>0</v>
      </c>
      <c r="M60" t="n">
        <v>5311.54</v>
      </c>
    </row>
    <row r="61">
      <c r="A61" t="n">
        <v>60</v>
      </c>
      <c r="B61" t="inlineStr">
        <is>
          <t>United States of America</t>
        </is>
      </c>
      <c r="C61" t="n">
        <v>2</v>
      </c>
      <c r="D61" t="inlineStr">
        <is>
          <t>SNOW</t>
        </is>
      </c>
      <c r="E61" t="inlineStr">
        <is>
          <t>Snowflake Inc</t>
        </is>
      </c>
      <c r="F61" t="inlineStr">
        <is>
          <t>Listed Foreign Equity Share (Company)</t>
        </is>
      </c>
      <c r="G61" t="n">
        <v>8</v>
      </c>
      <c r="H61" t="inlineStr">
        <is>
          <t>2025-08-21</t>
        </is>
      </c>
      <c r="I61" t="n">
        <v>1549.24</v>
      </c>
      <c r="J61" t="n">
        <v>1754.88</v>
      </c>
      <c r="K61" t="n">
        <v>1754.88</v>
      </c>
      <c r="L61" t="n">
        <v>0</v>
      </c>
      <c r="M61" t="n">
        <v>0</v>
      </c>
    </row>
    <row r="62">
      <c r="A62" t="n">
        <v>61</v>
      </c>
      <c r="B62" t="inlineStr">
        <is>
          <t>United States of America</t>
        </is>
      </c>
      <c r="C62" t="n">
        <v>2</v>
      </c>
      <c r="D62" t="inlineStr">
        <is>
          <t>TGT</t>
        </is>
      </c>
      <c r="E62" t="inlineStr">
        <is>
          <t>Target Corp</t>
        </is>
      </c>
      <c r="F62" t="inlineStr">
        <is>
          <t>Listed Foreign Equity Share (Company)</t>
        </is>
      </c>
      <c r="G62" t="n">
        <v>26</v>
      </c>
      <c r="H62" t="inlineStr">
        <is>
          <t>2024-09-09</t>
        </is>
      </c>
      <c r="I62" t="n">
        <v>811.08</v>
      </c>
      <c r="J62" t="n">
        <v>2541.5</v>
      </c>
      <c r="K62" t="n">
        <v>2541.5</v>
      </c>
      <c r="L62" t="n">
        <v>95.12</v>
      </c>
      <c r="M62" t="n">
        <v>0</v>
      </c>
    </row>
    <row r="63">
      <c r="A63" t="n">
        <v>62</v>
      </c>
      <c r="B63" t="inlineStr">
        <is>
          <t>United States of America</t>
        </is>
      </c>
      <c r="C63" t="n">
        <v>2</v>
      </c>
      <c r="D63" t="inlineStr">
        <is>
          <t>TIP</t>
        </is>
      </c>
      <c r="E63" t="inlineStr">
        <is>
          <t>iShares TIPS Bond ETF</t>
        </is>
      </c>
      <c r="F63" t="inlineStr">
        <is>
          <t>Exchange Traded Fund (Investment Trust)</t>
        </is>
      </c>
      <c r="G63" t="n">
        <v>60</v>
      </c>
      <c r="H63" t="inlineStr">
        <is>
          <t>2024-10-04</t>
        </is>
      </c>
      <c r="I63" t="n">
        <v>6393</v>
      </c>
      <c r="J63" t="n">
        <v>6594.6</v>
      </c>
      <c r="K63" t="n">
        <v>6594.6</v>
      </c>
      <c r="L63" t="n">
        <v>228.14</v>
      </c>
      <c r="M63" t="n">
        <v>0</v>
      </c>
    </row>
    <row r="64">
      <c r="A64" t="n">
        <v>63</v>
      </c>
      <c r="B64" t="inlineStr">
        <is>
          <t>United States of America</t>
        </is>
      </c>
      <c r="C64" t="n">
        <v>2</v>
      </c>
      <c r="D64" t="inlineStr">
        <is>
          <t>TSLA</t>
        </is>
      </c>
      <c r="E64" t="inlineStr">
        <is>
          <t>Tesla Inc</t>
        </is>
      </c>
      <c r="F64" t="inlineStr">
        <is>
          <t>Listed Foreign Equity Share (Company)</t>
        </is>
      </c>
      <c r="G64" t="n">
        <v>0</v>
      </c>
      <c r="H64" t="inlineStr">
        <is>
          <t>2024-12-06</t>
        </is>
      </c>
      <c r="I64" t="n">
        <v>4038.4</v>
      </c>
      <c r="J64" t="n">
        <v>4038.4</v>
      </c>
      <c r="K64" t="n">
        <v>0</v>
      </c>
      <c r="L64" t="n">
        <v>0</v>
      </c>
      <c r="M64" t="n">
        <v>2465.3</v>
      </c>
    </row>
    <row r="65">
      <c r="A65" t="n">
        <v>64</v>
      </c>
      <c r="B65" t="inlineStr">
        <is>
          <t>Taiwan</t>
        </is>
      </c>
      <c r="C65" t="n">
        <v>212</v>
      </c>
      <c r="D65" t="inlineStr">
        <is>
          <t>TSM</t>
        </is>
      </c>
      <c r="E65" t="inlineStr">
        <is>
          <t>Taiwan Semiconductor Manufacturing Co - Sponsored ADR</t>
        </is>
      </c>
      <c r="F65" t="inlineStr">
        <is>
          <t>American Depository Receipt of Listed Foreign Company</t>
        </is>
      </c>
      <c r="G65" t="n">
        <v>0</v>
      </c>
      <c r="H65" t="inlineStr">
        <is>
          <t>2024-09-09</t>
        </is>
      </c>
      <c r="I65" t="n">
        <v>1184.94</v>
      </c>
      <c r="J65" t="n">
        <v>1446.18</v>
      </c>
      <c r="K65" t="n">
        <v>0</v>
      </c>
      <c r="L65" t="n">
        <v>12.39</v>
      </c>
      <c r="M65" t="n">
        <v>1446.18</v>
      </c>
    </row>
    <row r="66">
      <c r="A66" t="n">
        <v>65</v>
      </c>
      <c r="B66" t="inlineStr">
        <is>
          <t>United States of America</t>
        </is>
      </c>
      <c r="C66" t="n">
        <v>2</v>
      </c>
      <c r="D66" t="inlineStr">
        <is>
          <t>VKTX</t>
        </is>
      </c>
      <c r="E66" t="inlineStr">
        <is>
          <t>Viking Therapeutics Inc</t>
        </is>
      </c>
      <c r="F66" t="inlineStr">
        <is>
          <t>Listed Foreign Equity Share (Company)</t>
        </is>
      </c>
      <c r="G66" t="n">
        <v>0</v>
      </c>
      <c r="H66" t="inlineStr">
        <is>
          <t>2025-01-28</t>
        </is>
      </c>
      <c r="I66" t="n">
        <v>1114.42</v>
      </c>
      <c r="J66" t="n">
        <v>1122.49</v>
      </c>
      <c r="K66" t="n">
        <v>0</v>
      </c>
      <c r="L66" t="n">
        <v>0</v>
      </c>
      <c r="M66" t="n">
        <v>1122.49</v>
      </c>
    </row>
    <row r="67">
      <c r="A67" t="n">
        <v>66</v>
      </c>
      <c r="B67" t="inlineStr">
        <is>
          <t>United States of America</t>
        </is>
      </c>
      <c r="C67" t="n">
        <v>2</v>
      </c>
      <c r="D67" t="inlineStr">
        <is>
          <t>VT</t>
        </is>
      </c>
      <c r="E67" t="inlineStr">
        <is>
          <t>Vanguard Total World Stock ETF</t>
        </is>
      </c>
      <c r="F67" t="inlineStr">
        <is>
          <t>Exchange Traded Fund (Investment Trust)</t>
        </is>
      </c>
      <c r="G67" t="n">
        <v>9</v>
      </c>
      <c r="H67" t="inlineStr">
        <is>
          <t>2025-08-21</t>
        </is>
      </c>
      <c r="I67" t="n">
        <v>1192.83</v>
      </c>
      <c r="J67" t="n">
        <v>1269.54</v>
      </c>
      <c r="K67" t="n">
        <v>1269.54</v>
      </c>
      <c r="L67" t="n">
        <v>14.34</v>
      </c>
      <c r="M67" t="n">
        <v>0</v>
      </c>
    </row>
    <row r="68">
      <c r="A68" t="n">
        <v>67</v>
      </c>
      <c r="B68" t="inlineStr">
        <is>
          <t>United States of America</t>
        </is>
      </c>
      <c r="C68" t="n">
        <v>2</v>
      </c>
      <c r="D68" t="inlineStr">
        <is>
          <t>VTV</t>
        </is>
      </c>
      <c r="E68" t="inlineStr">
        <is>
          <t>Vanguard Value ETF</t>
        </is>
      </c>
      <c r="F68" t="inlineStr">
        <is>
          <t>Exchange Traded Fund (Investment Trust)</t>
        </is>
      </c>
      <c r="G68" t="n">
        <v>6</v>
      </c>
      <c r="H68" t="inlineStr">
        <is>
          <t>2025-08-21</t>
        </is>
      </c>
      <c r="I68" t="n">
        <v>1088.38</v>
      </c>
      <c r="J68" t="n">
        <v>1145.94</v>
      </c>
      <c r="K68" t="n">
        <v>1145.94</v>
      </c>
      <c r="L68" t="n">
        <v>11.58</v>
      </c>
      <c r="M68" t="n">
        <v>0</v>
      </c>
    </row>
    <row r="69">
      <c r="A69" t="n">
        <v>68</v>
      </c>
      <c r="B69" t="inlineStr">
        <is>
          <t>Ireland</t>
        </is>
      </c>
      <c r="C69" t="n">
        <v>101</v>
      </c>
      <c r="D69" t="inlineStr">
        <is>
          <t>WCBR</t>
        </is>
      </c>
      <c r="E69" t="inlineStr">
        <is>
          <t>WisdomTree Cybersecurity UCITS ETF</t>
        </is>
      </c>
      <c r="F69" t="inlineStr">
        <is>
          <t>Exchange Traded Fund (Investment Trust)</t>
        </is>
      </c>
      <c r="G69" t="n">
        <v>75</v>
      </c>
      <c r="H69" t="inlineStr">
        <is>
          <t>2025-08-21</t>
        </is>
      </c>
      <c r="I69" t="n">
        <v>2210.3</v>
      </c>
      <c r="J69" t="n">
        <v>2210.3</v>
      </c>
      <c r="K69" t="n">
        <v>2084.07</v>
      </c>
      <c r="L69" t="n">
        <v>0</v>
      </c>
      <c r="M69" t="n">
        <v>0</v>
      </c>
    </row>
    <row r="70">
      <c r="A70" t="n">
        <v>69</v>
      </c>
      <c r="B70" t="inlineStr">
        <is>
          <t>United States of America</t>
        </is>
      </c>
      <c r="C70" t="n">
        <v>2</v>
      </c>
      <c r="D70" t="inlineStr">
        <is>
          <t>WFC</t>
        </is>
      </c>
      <c r="E70" t="inlineStr">
        <is>
          <t>Wells Fargo &amp; Company</t>
        </is>
      </c>
      <c r="F70" t="inlineStr">
        <is>
          <t>Listed Foreign Equity Share (Company)</t>
        </is>
      </c>
      <c r="G70" t="n">
        <v>50</v>
      </c>
      <c r="H70" t="inlineStr">
        <is>
          <t>2025-08-21</t>
        </is>
      </c>
      <c r="I70" t="n">
        <v>3891.75</v>
      </c>
      <c r="J70" t="n">
        <v>4660</v>
      </c>
      <c r="K70" t="n">
        <v>4660</v>
      </c>
      <c r="L70" t="n">
        <v>22.5</v>
      </c>
      <c r="M70" t="n">
        <v>0</v>
      </c>
    </row>
    <row r="71">
      <c r="H71" t="inlineStr">
        <is>
          <t>TOTAL (USD)</t>
        </is>
      </c>
      <c r="I71" t="n">
        <v>124872.45</v>
      </c>
      <c r="J71" t="n">
        <v>146980.85</v>
      </c>
      <c r="K71" t="n">
        <v>67553.8</v>
      </c>
      <c r="L71" t="n">
        <v>1125.58</v>
      </c>
      <c r="M71" t="n">
        <v>79508.33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6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Financial Hospital Advisory LLP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U15124027</t>
        </is>
      </c>
      <c r="G3" t="inlineStr">
        <is>
          <t>Owner - Sole beneficial owner</t>
        </is>
      </c>
      <c r="H3" t="inlineStr">
        <is>
          <t>2024-09-06 (first funding per IBKR deposits)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88426.07000000001</v>
      </c>
      <c r="B6" t="n">
        <v>7911481</v>
      </c>
      <c r="C6" t="n">
        <v>88426.07000000001</v>
      </c>
      <c r="D6" t="n">
        <v>7911481</v>
      </c>
      <c r="E6" t="n">
        <v>167.8</v>
      </c>
      <c r="F6" t="n">
        <v>14620</v>
      </c>
      <c r="G6" t="n">
        <v>1325.22</v>
      </c>
      <c r="H6" t="n">
        <v>114811</v>
      </c>
    </row>
    <row r="7"/>
    <row r="8">
      <c r="A8" t="inlineStr">
        <is>
          <t>NOTES:</t>
        </is>
      </c>
    </row>
    <row r="9">
      <c r="A9" t="inlineStr">
        <is>
          <t>Account: IBKR U15124027 — Ray G Stephanos (Individual, USD base, Cash).</t>
        </is>
      </c>
    </row>
    <row r="10">
      <c r="A10" t="inlineStr">
        <is>
          <t>Starting NAV 01-Jan-2025: USD 58,595.36; Ending NAV 31-Dec-2025: USD 88,426.07.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20,150.00 (2025-03-17: 11350.0, 2025-11-17: 8800.0).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45874</v>
      </c>
      <c r="B4" t="inlineStr">
        <is>
          <t>EUR IBKR Managed Securities (SYEP) Interest for Jul-2025</t>
        </is>
      </c>
      <c r="C4" t="inlineStr">
        <is>
          <t>EUR</t>
        </is>
      </c>
      <c r="D4" t="n">
        <v>0.01</v>
      </c>
      <c r="E4" t="n">
        <v>0.0117</v>
      </c>
      <c r="F4" t="n">
        <v>87.15000000000001</v>
      </c>
      <c r="G4" t="n">
        <v>1</v>
      </c>
    </row>
    <row r="5">
      <c r="A5" s="2" t="n">
        <v>45904</v>
      </c>
      <c r="B5" t="inlineStr">
        <is>
          <t>HKD IBKR Managed Securities (SYEP) Interest for Aug-2025</t>
        </is>
      </c>
      <c r="C5" t="inlineStr">
        <is>
          <t>HKD</t>
        </is>
      </c>
      <c r="D5" t="n">
        <v>2.04</v>
      </c>
      <c r="E5" t="n">
        <v>0.2621</v>
      </c>
      <c r="F5" t="n">
        <v>87.7</v>
      </c>
      <c r="G5" t="n">
        <v>23</v>
      </c>
    </row>
    <row r="6">
      <c r="A6" s="2" t="n">
        <v>45933</v>
      </c>
      <c r="B6" t="inlineStr">
        <is>
          <t>HKD IBKR Managed Securities (SYEP) Interest for Sep-2025</t>
        </is>
      </c>
      <c r="C6" t="inlineStr">
        <is>
          <t>HKD</t>
        </is>
      </c>
      <c r="D6" t="n">
        <v>11.94</v>
      </c>
      <c r="E6" t="n">
        <v>1.5342</v>
      </c>
      <c r="F6" t="n">
        <v>88.34999999999999</v>
      </c>
      <c r="G6" t="n">
        <v>136</v>
      </c>
    </row>
    <row r="7">
      <c r="A7" s="2" t="n">
        <v>45966</v>
      </c>
      <c r="B7" t="inlineStr">
        <is>
          <t>HKD IBKR Managed Securities (SYEP) Interest for Oct-2025</t>
        </is>
      </c>
      <c r="C7" t="inlineStr">
        <is>
          <t>HKD</t>
        </is>
      </c>
      <c r="D7" t="n">
        <v>7.23</v>
      </c>
      <c r="E7" t="n">
        <v>0.929</v>
      </c>
      <c r="F7" t="n">
        <v>88.2</v>
      </c>
      <c r="G7" t="n">
        <v>82</v>
      </c>
    </row>
    <row r="8">
      <c r="A8" s="2" t="n">
        <v>45994</v>
      </c>
      <c r="B8" t="inlineStr">
        <is>
          <t>HKD IBKR Managed Securities (SYEP) Interest for Nov-2025</t>
        </is>
      </c>
      <c r="C8" t="inlineStr">
        <is>
          <t>HKD</t>
        </is>
      </c>
      <c r="D8" t="n">
        <v>13.95</v>
      </c>
      <c r="E8" t="n">
        <v>1.7924</v>
      </c>
      <c r="F8" t="n">
        <v>88.95</v>
      </c>
      <c r="G8" t="n">
        <v>159</v>
      </c>
    </row>
    <row r="9">
      <c r="A9" s="2" t="n">
        <v>45904</v>
      </c>
      <c r="B9" t="inlineStr">
        <is>
          <t>JPY IBKR Managed Securities (SYEP) Interest for Aug-2025</t>
        </is>
      </c>
      <c r="C9" t="inlineStr">
        <is>
          <t>JPY</t>
        </is>
      </c>
      <c r="D9" t="n">
        <v>3</v>
      </c>
      <c r="E9" t="n">
        <v>0.0191</v>
      </c>
      <c r="F9" t="n">
        <v>87.7</v>
      </c>
      <c r="G9" t="n">
        <v>2</v>
      </c>
    </row>
    <row r="10">
      <c r="A10" s="2" t="n">
        <v>45933</v>
      </c>
      <c r="B10" t="inlineStr">
        <is>
          <t>JPY IBKR Managed Securities (SYEP) Interest for Sep-2025</t>
        </is>
      </c>
      <c r="C10" t="inlineStr">
        <is>
          <t>JPY</t>
        </is>
      </c>
      <c r="D10" t="n">
        <v>13</v>
      </c>
      <c r="E10" t="n">
        <v>0.083</v>
      </c>
      <c r="F10" t="n">
        <v>88.34999999999999</v>
      </c>
      <c r="G10" t="n">
        <v>7</v>
      </c>
    </row>
    <row r="11">
      <c r="A11" s="2" t="n">
        <v>45994</v>
      </c>
      <c r="B11" t="inlineStr">
        <is>
          <t>JPY IBKR Managed Securities (SYEP) Interest for Nov-2025</t>
        </is>
      </c>
      <c r="C11" t="inlineStr">
        <is>
          <t>JPY</t>
        </is>
      </c>
      <c r="D11" t="n">
        <v>2</v>
      </c>
      <c r="E11" t="n">
        <v>0.0128</v>
      </c>
      <c r="F11" t="n">
        <v>88.95</v>
      </c>
      <c r="G11" t="n">
        <v>1</v>
      </c>
    </row>
    <row r="12">
      <c r="A12" s="2" t="n">
        <v>45663</v>
      </c>
      <c r="B12" t="inlineStr">
        <is>
          <t>USD Credit Interest for Dec-2024</t>
        </is>
      </c>
      <c r="C12" t="inlineStr">
        <is>
          <t>USD</t>
        </is>
      </c>
      <c r="D12" t="n">
        <v>11.72</v>
      </c>
      <c r="E12" t="n">
        <v>11.72</v>
      </c>
      <c r="F12" t="n">
        <v>85.2</v>
      </c>
      <c r="G12" t="n">
        <v>999</v>
      </c>
    </row>
    <row r="13">
      <c r="A13" s="2" t="n">
        <v>45693</v>
      </c>
      <c r="B13" t="inlineStr">
        <is>
          <t>USD Credit Interest for Jan-2025</t>
        </is>
      </c>
      <c r="C13" t="inlineStr">
        <is>
          <t>USD</t>
        </is>
      </c>
      <c r="D13" t="n">
        <v>4.75</v>
      </c>
      <c r="E13" t="n">
        <v>4.75</v>
      </c>
      <c r="F13" t="n">
        <v>86.2</v>
      </c>
      <c r="G13" t="n">
        <v>409</v>
      </c>
    </row>
    <row r="14">
      <c r="A14" s="2" t="n">
        <v>45693</v>
      </c>
      <c r="B14" t="inlineStr">
        <is>
          <t>USD IBKR Managed Securities (SYEP) Interest for Jan-2025</t>
        </is>
      </c>
      <c r="C14" t="inlineStr">
        <is>
          <t>USD</t>
        </is>
      </c>
      <c r="D14" t="n">
        <v>0.17</v>
      </c>
      <c r="E14" t="n">
        <v>0.17</v>
      </c>
      <c r="F14" t="n">
        <v>86.2</v>
      </c>
      <c r="G14" t="n">
        <v>15</v>
      </c>
    </row>
    <row r="15">
      <c r="A15" s="2" t="n">
        <v>45721</v>
      </c>
      <c r="B15" t="inlineStr">
        <is>
          <t>USD IBKR Managed Securities (SYEP) Interest for Feb-2025</t>
        </is>
      </c>
      <c r="C15" t="inlineStr">
        <is>
          <t>USD</t>
        </is>
      </c>
      <c r="D15" t="n">
        <v>0.38</v>
      </c>
      <c r="E15" t="n">
        <v>0.38</v>
      </c>
      <c r="F15" t="n">
        <v>86.95</v>
      </c>
      <c r="G15" t="n">
        <v>33</v>
      </c>
    </row>
    <row r="16">
      <c r="A16" s="2" t="n">
        <v>45750</v>
      </c>
      <c r="B16" t="inlineStr">
        <is>
          <t>USD Credit Interest for Mar-2025</t>
        </is>
      </c>
      <c r="C16" t="inlineStr">
        <is>
          <t>USD</t>
        </is>
      </c>
      <c r="D16" t="n">
        <v>15.35</v>
      </c>
      <c r="E16" t="n">
        <v>15.35</v>
      </c>
      <c r="F16" t="n">
        <v>85.09999999999999</v>
      </c>
      <c r="G16" t="n">
        <v>1306</v>
      </c>
    </row>
    <row r="17">
      <c r="A17" s="2" t="n">
        <v>45750</v>
      </c>
      <c r="B17" t="inlineStr">
        <is>
          <t>USD IBKR Managed Securities (SYEP) Interest for Mar-2025</t>
        </is>
      </c>
      <c r="C17" t="inlineStr">
        <is>
          <t>USD</t>
        </is>
      </c>
      <c r="D17" t="n">
        <v>1.14</v>
      </c>
      <c r="E17" t="n">
        <v>1.14</v>
      </c>
      <c r="F17" t="n">
        <v>85.09999999999999</v>
      </c>
      <c r="G17" t="n">
        <v>97</v>
      </c>
    </row>
    <row r="18">
      <c r="A18" s="2" t="n">
        <v>45782</v>
      </c>
      <c r="B18" t="inlineStr">
        <is>
          <t>USD Credit Interest for Apr-2025</t>
        </is>
      </c>
      <c r="C18" t="inlineStr">
        <is>
          <t>USD</t>
        </is>
      </c>
      <c r="D18" t="n">
        <v>4.94</v>
      </c>
      <c r="E18" t="n">
        <v>4.94</v>
      </c>
      <c r="F18" t="n">
        <v>84.25</v>
      </c>
      <c r="G18" t="n">
        <v>416</v>
      </c>
    </row>
    <row r="19">
      <c r="A19" s="2" t="n">
        <v>45782</v>
      </c>
      <c r="B19" t="inlineStr">
        <is>
          <t>USD IBKR Managed Securities (SYEP) Interest for Apr-2025</t>
        </is>
      </c>
      <c r="C19" t="inlineStr">
        <is>
          <t>USD</t>
        </is>
      </c>
      <c r="D19" t="n">
        <v>0.23</v>
      </c>
      <c r="E19" t="n">
        <v>0.23</v>
      </c>
      <c r="F19" t="n">
        <v>84.25</v>
      </c>
      <c r="G19" t="n">
        <v>19</v>
      </c>
    </row>
    <row r="20">
      <c r="A20" s="2" t="n">
        <v>45812</v>
      </c>
      <c r="B20" t="inlineStr">
        <is>
          <t>USD IBKR Managed Securities (SYEP) Interest for May-2025</t>
        </is>
      </c>
      <c r="C20" t="inlineStr">
        <is>
          <t>USD</t>
        </is>
      </c>
      <c r="D20" t="n">
        <v>0.96</v>
      </c>
      <c r="E20" t="n">
        <v>0.96</v>
      </c>
      <c r="F20" t="n">
        <v>85.09999999999999</v>
      </c>
      <c r="G20" t="n">
        <v>82</v>
      </c>
    </row>
    <row r="21">
      <c r="A21" s="2" t="n">
        <v>45841</v>
      </c>
      <c r="B21" t="inlineStr">
        <is>
          <t>USD IBKR Managed Securities (SYEP) Interest for Jun-2025</t>
        </is>
      </c>
      <c r="C21" t="inlineStr">
        <is>
          <t>USD</t>
        </is>
      </c>
      <c r="D21" t="n">
        <v>0.63</v>
      </c>
      <c r="E21" t="n">
        <v>0.63</v>
      </c>
      <c r="F21" t="n">
        <v>85.09999999999999</v>
      </c>
      <c r="G21" t="n">
        <v>54</v>
      </c>
    </row>
    <row r="22">
      <c r="A22" s="2" t="n">
        <v>45874</v>
      </c>
      <c r="B22" t="inlineStr">
        <is>
          <t>USD Credit Interest for Jul-2025</t>
        </is>
      </c>
      <c r="C22" t="inlineStr">
        <is>
          <t>USD</t>
        </is>
      </c>
      <c r="D22" t="n">
        <v>25.84</v>
      </c>
      <c r="E22" t="n">
        <v>25.84</v>
      </c>
      <c r="F22" t="n">
        <v>87.15000000000001</v>
      </c>
      <c r="G22" t="n">
        <v>2252</v>
      </c>
    </row>
    <row r="23">
      <c r="A23" s="2" t="n">
        <v>45874</v>
      </c>
      <c r="B23" t="inlineStr">
        <is>
          <t>USD IBKR Managed Securities (SYEP) Interest for Jul-2025</t>
        </is>
      </c>
      <c r="C23" t="inlineStr">
        <is>
          <t>USD</t>
        </is>
      </c>
      <c r="D23" t="n">
        <v>0.53</v>
      </c>
      <c r="E23" t="n">
        <v>0.53</v>
      </c>
      <c r="F23" t="n">
        <v>87.15000000000001</v>
      </c>
      <c r="G23" t="n">
        <v>46</v>
      </c>
    </row>
    <row r="24">
      <c r="A24" s="2" t="n">
        <v>45904</v>
      </c>
      <c r="B24" t="inlineStr">
        <is>
          <t>USD Credit Interest for Aug-2025</t>
        </is>
      </c>
      <c r="C24" t="inlineStr">
        <is>
          <t>USD</t>
        </is>
      </c>
      <c r="D24" t="n">
        <v>68.98</v>
      </c>
      <c r="E24" t="n">
        <v>68.98</v>
      </c>
      <c r="F24" t="n">
        <v>87.7</v>
      </c>
      <c r="G24" t="n">
        <v>6050</v>
      </c>
    </row>
    <row r="25">
      <c r="A25" s="2" t="n">
        <v>45904</v>
      </c>
      <c r="B25" t="inlineStr">
        <is>
          <t>USD IBKR Managed Securities (SYEP) Interest for Aug-2025</t>
        </is>
      </c>
      <c r="C25" t="inlineStr">
        <is>
          <t>USD</t>
        </is>
      </c>
      <c r="D25" t="n">
        <v>7.25</v>
      </c>
      <c r="E25" t="n">
        <v>7.25</v>
      </c>
      <c r="F25" t="n">
        <v>87.7</v>
      </c>
      <c r="G25" t="n">
        <v>636</v>
      </c>
    </row>
    <row r="26">
      <c r="A26" s="2" t="n">
        <v>45933</v>
      </c>
      <c r="B26" t="inlineStr">
        <is>
          <t>USD Credit Interest for Sep-2025</t>
        </is>
      </c>
      <c r="C26" t="inlineStr">
        <is>
          <t>USD</t>
        </is>
      </c>
      <c r="D26" t="n">
        <v>9.74</v>
      </c>
      <c r="E26" t="n">
        <v>9.74</v>
      </c>
      <c r="F26" t="n">
        <v>88.34999999999999</v>
      </c>
      <c r="G26" t="n">
        <v>861</v>
      </c>
    </row>
    <row r="27">
      <c r="A27" s="2" t="n">
        <v>45933</v>
      </c>
      <c r="B27" t="inlineStr">
        <is>
          <t>USD IBKR Managed Securities (SYEP) Interest for Sep-2025</t>
        </is>
      </c>
      <c r="C27" t="inlineStr">
        <is>
          <t>USD</t>
        </is>
      </c>
      <c r="D27" t="n">
        <v>1.09</v>
      </c>
      <c r="E27" t="n">
        <v>1.09</v>
      </c>
      <c r="F27" t="n">
        <v>88.34999999999999</v>
      </c>
      <c r="G27" t="n">
        <v>96</v>
      </c>
    </row>
    <row r="28">
      <c r="A28" s="2" t="n">
        <v>45966</v>
      </c>
      <c r="B28" t="inlineStr">
        <is>
          <t>USD Credit Interest for Oct-2025</t>
        </is>
      </c>
      <c r="C28" t="inlineStr">
        <is>
          <t>USD</t>
        </is>
      </c>
      <c r="D28" t="n">
        <v>0.76</v>
      </c>
      <c r="E28" t="n">
        <v>0.76</v>
      </c>
      <c r="F28" t="n">
        <v>88.2</v>
      </c>
      <c r="G28" t="n">
        <v>67</v>
      </c>
    </row>
    <row r="29">
      <c r="A29" s="2" t="n">
        <v>45966</v>
      </c>
      <c r="B29" t="inlineStr">
        <is>
          <t>USD IBKR Managed Securities (SYEP) Interest for Oct-2025</t>
        </is>
      </c>
      <c r="C29" t="inlineStr">
        <is>
          <t>USD</t>
        </is>
      </c>
      <c r="D29" t="n">
        <v>2.92</v>
      </c>
      <c r="E29" t="n">
        <v>2.92</v>
      </c>
      <c r="F29" t="n">
        <v>88.2</v>
      </c>
      <c r="G29" t="n">
        <v>258</v>
      </c>
    </row>
    <row r="30">
      <c r="A30" s="2" t="n">
        <v>45994</v>
      </c>
      <c r="B30" t="inlineStr">
        <is>
          <t>USD Credit Interest for Nov-2025</t>
        </is>
      </c>
      <c r="C30" t="inlineStr">
        <is>
          <t>USD</t>
        </is>
      </c>
      <c r="D30" t="n">
        <v>1.91</v>
      </c>
      <c r="E30" t="n">
        <v>1.91</v>
      </c>
      <c r="F30" t="n">
        <v>88.95</v>
      </c>
      <c r="G30" t="n">
        <v>170</v>
      </c>
    </row>
    <row r="31">
      <c r="A31" s="2" t="n">
        <v>45994</v>
      </c>
      <c r="B31" t="inlineStr">
        <is>
          <t>USD IBKR Managed Securities (SYEP) Interest for Nov-2025</t>
        </is>
      </c>
      <c r="C31" t="inlineStr">
        <is>
          <t>USD</t>
        </is>
      </c>
      <c r="D31" t="n">
        <v>3.87</v>
      </c>
      <c r="E31" t="n">
        <v>3.87</v>
      </c>
      <c r="F31" t="n">
        <v>88.95</v>
      </c>
      <c r="G31" t="n">
        <v>344</v>
      </c>
    </row>
    <row r="32">
      <c r="B32" t="inlineStr">
        <is>
          <t>TOTAL INTEREST</t>
        </is>
      </c>
      <c r="E32" t="n">
        <v>167.8</v>
      </c>
      <c r="G32" t="n">
        <v>14620</v>
      </c>
    </row>
    <row r="33"/>
    <row r="34">
      <c r="A34" t="inlineStr">
        <is>
          <t>— DIVIDENDS —</t>
        </is>
      </c>
    </row>
    <row r="35">
      <c r="A35" s="2" t="n">
        <v>45748</v>
      </c>
      <c r="B35" t="inlineStr">
        <is>
          <t>NOV(DK0062498333) Cash Dividend DKK 7.90 per Share (Ordinary Dividend)</t>
        </is>
      </c>
      <c r="C35" t="inlineStr">
        <is>
          <t>DKK</t>
        </is>
      </c>
      <c r="D35" t="n">
        <v>237</v>
      </c>
      <c r="E35" t="n">
        <v>37.2706</v>
      </c>
      <c r="F35" t="n">
        <v>85.09999999999999</v>
      </c>
      <c r="G35" t="n">
        <v>3172</v>
      </c>
    </row>
    <row r="36">
      <c r="A36" s="2" t="n">
        <v>45888</v>
      </c>
      <c r="B36" t="inlineStr">
        <is>
          <t>NOV(DK0062498333) Cash Dividend DKK 3.75 per Share (Bonus Dividend)</t>
        </is>
      </c>
      <c r="C36" t="inlineStr">
        <is>
          <t>DKK</t>
        </is>
      </c>
      <c r="D36" t="n">
        <v>112.5</v>
      </c>
      <c r="E36" t="n">
        <v>17.6918</v>
      </c>
      <c r="F36" t="n">
        <v>87.15000000000001</v>
      </c>
      <c r="G36" t="n">
        <v>1542</v>
      </c>
    </row>
    <row r="37">
      <c r="A37" s="2" t="n">
        <v>45740</v>
      </c>
      <c r="B37" t="inlineStr">
        <is>
          <t>SHELL.DRS(NL0015002E16) Expire Dividend Right (Ordinary Dividend)</t>
        </is>
      </c>
      <c r="C37" t="inlineStr">
        <is>
          <t>EUR</t>
        </is>
      </c>
      <c r="D37" t="n">
        <v>13.92</v>
      </c>
      <c r="E37" t="n">
        <v>16.3504</v>
      </c>
      <c r="F37" t="n">
        <v>86.95</v>
      </c>
      <c r="G37" t="n">
        <v>1422</v>
      </c>
    </row>
    <row r="38">
      <c r="A38" s="2" t="n">
        <v>45740</v>
      </c>
      <c r="B38" t="inlineStr">
        <is>
          <t>SHELL.DRS(NL0015002E16) Expire Dividend Right - REVERSAL (Ordinary Dividend)</t>
        </is>
      </c>
      <c r="C38" t="inlineStr">
        <is>
          <t>EUR</t>
        </is>
      </c>
      <c r="D38" t="n">
        <v>-13.92</v>
      </c>
      <c r="E38" t="n">
        <v>-16.3504</v>
      </c>
      <c r="F38" t="n">
        <v>86.95</v>
      </c>
      <c r="G38" t="n">
        <v>-1422</v>
      </c>
    </row>
    <row r="39">
      <c r="A39" s="2" t="n">
        <v>45740</v>
      </c>
      <c r="B39" t="inlineStr">
        <is>
          <t>SHELL.DRS(NL0015002E16) Expire Dividend Right (Ordinary Dividend)</t>
        </is>
      </c>
      <c r="C39" t="inlineStr">
        <is>
          <t>EUR</t>
        </is>
      </c>
      <c r="D39" t="n">
        <v>13.92</v>
      </c>
      <c r="E39" t="n">
        <v>16.3504</v>
      </c>
      <c r="F39" t="n">
        <v>86.95</v>
      </c>
      <c r="G39" t="n">
        <v>1422</v>
      </c>
    </row>
    <row r="40">
      <c r="A40" s="2" t="n">
        <v>45771</v>
      </c>
      <c r="B40" t="inlineStr">
        <is>
          <t>AIR(NL0000235190) Cash Dividend EUR 1.00 per Share (Bonus Dividend)</t>
        </is>
      </c>
      <c r="C40" t="inlineStr">
        <is>
          <t>EUR</t>
        </is>
      </c>
      <c r="D40" t="n">
        <v>10</v>
      </c>
      <c r="E40" t="n">
        <v>11.746</v>
      </c>
      <c r="F40" t="n">
        <v>85.09999999999999</v>
      </c>
      <c r="G40" t="n">
        <v>1000</v>
      </c>
    </row>
    <row r="41">
      <c r="A41" s="2" t="n">
        <v>45771</v>
      </c>
      <c r="B41" t="inlineStr">
        <is>
          <t>AIR(NL0000235190) Cash Dividend EUR 2.00 per Share (Ordinary Dividend)</t>
        </is>
      </c>
      <c r="C41" t="inlineStr">
        <is>
          <t>EUR</t>
        </is>
      </c>
      <c r="D41" t="n">
        <v>20</v>
      </c>
      <c r="E41" t="n">
        <v>23.492</v>
      </c>
      <c r="F41" t="n">
        <v>85.09999999999999</v>
      </c>
      <c r="G41" t="n">
        <v>1999</v>
      </c>
    </row>
    <row r="42">
      <c r="A42" s="2" t="n">
        <v>45831</v>
      </c>
      <c r="B42" t="inlineStr">
        <is>
          <t>SHELL.DVD(NL0015002HW4) Expire Dividend Right (Ordinary Dividend)</t>
        </is>
      </c>
      <c r="C42" t="inlineStr">
        <is>
          <t>EUR</t>
        </is>
      </c>
      <c r="D42" t="n">
        <v>13.17</v>
      </c>
      <c r="E42" t="n">
        <v>15.4695</v>
      </c>
      <c r="F42" t="n">
        <v>85.09999999999999</v>
      </c>
      <c r="G42" t="n">
        <v>1316</v>
      </c>
    </row>
    <row r="43">
      <c r="A43" s="2" t="n">
        <v>45904</v>
      </c>
      <c r="B43" t="inlineStr">
        <is>
          <t>3416(HK0000978954) Payment in Lieu of Dividend (Ordinary Dividend)</t>
        </is>
      </c>
      <c r="C43" t="inlineStr">
        <is>
          <t>HKD</t>
        </is>
      </c>
      <c r="D43" t="n">
        <v>1.26</v>
      </c>
      <c r="E43" t="n">
        <v>0.1619</v>
      </c>
      <c r="F43" t="n">
        <v>87.7</v>
      </c>
      <c r="G43" t="n">
        <v>14</v>
      </c>
    </row>
    <row r="44">
      <c r="A44" s="2" t="n">
        <v>45904</v>
      </c>
      <c r="B44" t="inlineStr">
        <is>
          <t>3416(HK0000978954) Cash Dividend HKD 0.14 per Share (Ordinary Dividend)</t>
        </is>
      </c>
      <c r="C44" t="inlineStr">
        <is>
          <t>HKD</t>
        </is>
      </c>
      <c r="D44" t="n">
        <v>138.74</v>
      </c>
      <c r="E44" t="n">
        <v>17.8267</v>
      </c>
      <c r="F44" t="n">
        <v>87.7</v>
      </c>
      <c r="G44" t="n">
        <v>1563</v>
      </c>
    </row>
    <row r="45">
      <c r="A45" s="2" t="n">
        <v>45938</v>
      </c>
      <c r="B45" t="inlineStr">
        <is>
          <t>3416(HK0000978954) Cash Dividend HKD 0.14 per Share (Ordinary Dividend)</t>
        </is>
      </c>
      <c r="C45" t="inlineStr">
        <is>
          <t>HKD</t>
        </is>
      </c>
      <c r="D45" t="n">
        <v>140</v>
      </c>
      <c r="E45" t="n">
        <v>17.9886</v>
      </c>
      <c r="F45" t="n">
        <v>88.34999999999999</v>
      </c>
      <c r="G45" t="n">
        <v>1589</v>
      </c>
    </row>
    <row r="46">
      <c r="A46" s="2" t="n">
        <v>45954</v>
      </c>
      <c r="B46" t="inlineStr">
        <is>
          <t>1919(CNE1000002J7) Payment in Lieu of Dividend (Ordinary Dividend)</t>
        </is>
      </c>
      <c r="C46" t="inlineStr">
        <is>
          <t>HKD</t>
        </is>
      </c>
      <c r="D46" t="n">
        <v>232.56</v>
      </c>
      <c r="E46" t="n">
        <v>29.8816</v>
      </c>
      <c r="F46" t="n">
        <v>88.34999999999999</v>
      </c>
      <c r="G46" t="n">
        <v>2640</v>
      </c>
    </row>
    <row r="47">
      <c r="A47" s="2" t="n">
        <v>45954</v>
      </c>
      <c r="B47" t="inlineStr">
        <is>
          <t>1919(CNE1000002J7) Cash Dividend HKD 0.613944 per Share (Ordinary Dividend)</t>
        </is>
      </c>
      <c r="C47" t="inlineStr">
        <is>
          <t>HKD</t>
        </is>
      </c>
      <c r="D47" t="n">
        <v>49.11</v>
      </c>
      <c r="E47" t="n">
        <v>6.3101</v>
      </c>
      <c r="F47" t="n">
        <v>88.34999999999999</v>
      </c>
      <c r="G47" t="n">
        <v>558</v>
      </c>
    </row>
    <row r="48">
      <c r="A48" s="2" t="n">
        <v>45967</v>
      </c>
      <c r="B48" t="inlineStr">
        <is>
          <t>3416(HK0000978954) Cash Dividend HKD 0.14 per Share (Ordinary Dividend)</t>
        </is>
      </c>
      <c r="C48" t="inlineStr">
        <is>
          <t>HKD</t>
        </is>
      </c>
      <c r="D48" t="n">
        <v>140</v>
      </c>
      <c r="E48" t="n">
        <v>17.9886</v>
      </c>
      <c r="F48" t="n">
        <v>88.2</v>
      </c>
      <c r="G48" t="n">
        <v>1587</v>
      </c>
    </row>
    <row r="49">
      <c r="A49" s="2" t="n">
        <v>45995</v>
      </c>
      <c r="B49" t="inlineStr">
        <is>
          <t>3416(HK0000978954) Cash Dividend HKD 0.14 per Share (Ordinary Dividend)</t>
        </is>
      </c>
      <c r="C49" t="inlineStr">
        <is>
          <t>HKD</t>
        </is>
      </c>
      <c r="D49" t="n">
        <v>140</v>
      </c>
      <c r="E49" t="n">
        <v>17.9886</v>
      </c>
      <c r="F49" t="n">
        <v>88.95</v>
      </c>
      <c r="G49" t="n">
        <v>1600</v>
      </c>
    </row>
    <row r="50">
      <c r="A50" s="2" t="n">
        <v>46022</v>
      </c>
      <c r="B50" t="inlineStr">
        <is>
          <t>3069(HK0000711199) Payment in Lieu of Dividend (Ordinary Dividend)</t>
        </is>
      </c>
      <c r="C50" t="inlineStr">
        <is>
          <t>HKD</t>
        </is>
      </c>
      <c r="D50" t="n">
        <v>21.45</v>
      </c>
      <c r="E50" t="n">
        <v>2.7561</v>
      </c>
      <c r="F50" t="n">
        <v>88.95</v>
      </c>
      <c r="G50" t="n">
        <v>245</v>
      </c>
    </row>
    <row r="51">
      <c r="A51" s="2" t="n">
        <v>46022</v>
      </c>
      <c r="B51" t="inlineStr">
        <is>
          <t>3069(HK0000711199) Cash Dividend HKD 0.05 per Share (Ordinary Dividend)</t>
        </is>
      </c>
      <c r="C51" t="inlineStr">
        <is>
          <t>HKD</t>
        </is>
      </c>
      <c r="D51" t="n">
        <v>8.550000000000001</v>
      </c>
      <c r="E51" t="n">
        <v>1.0986</v>
      </c>
      <c r="F51" t="n">
        <v>88.95</v>
      </c>
      <c r="G51" t="n">
        <v>98</v>
      </c>
    </row>
    <row r="52">
      <c r="A52" s="2" t="n">
        <v>46022</v>
      </c>
      <c r="B52" t="inlineStr">
        <is>
          <t>3088(HK0000643327) Cash Dividend HKD 0.02 per Share (Ordinary Dividend)</t>
        </is>
      </c>
      <c r="C52" t="inlineStr">
        <is>
          <t>HKD</t>
        </is>
      </c>
      <c r="D52" t="n">
        <v>20</v>
      </c>
      <c r="E52" t="n">
        <v>2.5698</v>
      </c>
      <c r="F52" t="n">
        <v>88.95</v>
      </c>
      <c r="G52" t="n">
        <v>229</v>
      </c>
    </row>
    <row r="53">
      <c r="A53" s="2" t="n">
        <v>45832</v>
      </c>
      <c r="B53" t="inlineStr">
        <is>
          <t>4568.T(JP3475350009) Cash Dividend JPY 30 per Share (Ordinary Dividend)</t>
        </is>
      </c>
      <c r="C53" t="inlineStr">
        <is>
          <t>JPY</t>
        </is>
      </c>
      <c r="D53" t="n">
        <v>3000</v>
      </c>
      <c r="E53" t="n">
        <v>19.1481</v>
      </c>
      <c r="F53" t="n">
        <v>85.09999999999999</v>
      </c>
      <c r="G53" t="n">
        <v>1630</v>
      </c>
    </row>
    <row r="54">
      <c r="A54" s="2" t="n">
        <v>46001</v>
      </c>
      <c r="B54" t="inlineStr">
        <is>
          <t>4568.T(JP3475350009) Cash Dividend JPY 39 per Share (Ordinary Dividend)</t>
        </is>
      </c>
      <c r="C54" t="inlineStr">
        <is>
          <t>JPY</t>
        </is>
      </c>
      <c r="D54" t="n">
        <v>3900</v>
      </c>
      <c r="E54" t="n">
        <v>24.8925</v>
      </c>
      <c r="F54" t="n">
        <v>88.95</v>
      </c>
      <c r="G54" t="n">
        <v>2214</v>
      </c>
    </row>
    <row r="55">
      <c r="A55" s="2" t="n">
        <v>45664</v>
      </c>
      <c r="B55" t="inlineStr">
        <is>
          <t>AIQ(US37954Y6326) Cash Dividend USD 0.010912 per Share (Ordinary Dividend)</t>
        </is>
      </c>
      <c r="C55" t="inlineStr">
        <is>
          <t>USD</t>
        </is>
      </c>
      <c r="D55" t="n">
        <v>0.39</v>
      </c>
      <c r="E55" t="n">
        <v>0.39</v>
      </c>
      <c r="F55" t="n">
        <v>85.2</v>
      </c>
      <c r="G55" t="n">
        <v>33</v>
      </c>
    </row>
    <row r="56">
      <c r="A56" s="2" t="n">
        <v>45665</v>
      </c>
      <c r="B56" t="inlineStr">
        <is>
          <t>LRCX(US5128073062) Cash Dividend USD 0.23 per Share (Ordinary Dividend)</t>
        </is>
      </c>
      <c r="C56" t="inlineStr">
        <is>
          <t>USD</t>
        </is>
      </c>
      <c r="D56" t="n">
        <v>2.3</v>
      </c>
      <c r="E56" t="n">
        <v>2.3</v>
      </c>
      <c r="F56" t="n">
        <v>85.2</v>
      </c>
      <c r="G56" t="n">
        <v>196</v>
      </c>
    </row>
    <row r="57">
      <c r="A57" s="2" t="n">
        <v>45666</v>
      </c>
      <c r="B57" t="inlineStr">
        <is>
          <t>TSM(US8740391003) Cash Dividend USD 0.608106 per Share (Ordinary Div - NRA Withholding Exempt)</t>
        </is>
      </c>
      <c r="C57" t="inlineStr">
        <is>
          <t>USD</t>
        </is>
      </c>
      <c r="D57" t="n">
        <v>3.65</v>
      </c>
      <c r="E57" t="n">
        <v>3.65</v>
      </c>
      <c r="F57" t="n">
        <v>85.2</v>
      </c>
      <c r="G57" t="n">
        <v>311</v>
      </c>
    </row>
    <row r="58">
      <c r="A58" s="2" t="n">
        <v>45684</v>
      </c>
      <c r="B58" t="inlineStr">
        <is>
          <t>GE(US3696043013) Cash Dividend USD 0.28 per Share (Ordinary Dividend)</t>
        </is>
      </c>
      <c r="C58" t="inlineStr">
        <is>
          <t>USD</t>
        </is>
      </c>
      <c r="D58" t="n">
        <v>0.84</v>
      </c>
      <c r="E58" t="n">
        <v>0.84</v>
      </c>
      <c r="F58" t="n">
        <v>85.2</v>
      </c>
      <c r="G58" t="n">
        <v>72</v>
      </c>
    </row>
    <row r="59">
      <c r="A59" s="2" t="n">
        <v>45694</v>
      </c>
      <c r="B59" t="inlineStr">
        <is>
          <t>BTI(US1104481072) Cash Dividend USD 0.730435 per Share (Ordinary Dividend)</t>
        </is>
      </c>
      <c r="C59" t="inlineStr">
        <is>
          <t>USD</t>
        </is>
      </c>
      <c r="D59" t="n">
        <v>24.1</v>
      </c>
      <c r="E59" t="n">
        <v>24.1</v>
      </c>
      <c r="F59" t="n">
        <v>86.2</v>
      </c>
      <c r="G59" t="n">
        <v>2077</v>
      </c>
    </row>
    <row r="60">
      <c r="A60" s="2" t="n">
        <v>45706</v>
      </c>
      <c r="B60" t="inlineStr">
        <is>
          <t>BX(US09260D1072) Cash Dividend USD 1.44 per Share (Ordinary Dividend)</t>
        </is>
      </c>
      <c r="C60" t="inlineStr">
        <is>
          <t>USD</t>
        </is>
      </c>
      <c r="D60" t="n">
        <v>17.28</v>
      </c>
      <c r="E60" t="n">
        <v>17.28</v>
      </c>
      <c r="F60" t="n">
        <v>86.2</v>
      </c>
      <c r="G60" t="n">
        <v>1490</v>
      </c>
    </row>
    <row r="61">
      <c r="A61" s="2" t="n">
        <v>45707</v>
      </c>
      <c r="B61" t="inlineStr">
        <is>
          <t>ASML(USN070592100) Cash Dividend USD 1.570464 per Share (Ordinary Dividend)</t>
        </is>
      </c>
      <c r="C61" t="inlineStr">
        <is>
          <t>USD</t>
        </is>
      </c>
      <c r="D61" t="n">
        <v>9.42</v>
      </c>
      <c r="E61" t="n">
        <v>9.42</v>
      </c>
      <c r="F61" t="n">
        <v>86.2</v>
      </c>
      <c r="G61" t="n">
        <v>812</v>
      </c>
    </row>
    <row r="62">
      <c r="A62" s="2" t="n">
        <v>45708</v>
      </c>
      <c r="B62" t="inlineStr">
        <is>
          <t>CAT(US1491231015) Cash Dividend USD 1.41 per Share (Ordinary Dividend)</t>
        </is>
      </c>
      <c r="C62" t="inlineStr">
        <is>
          <t>USD</t>
        </is>
      </c>
      <c r="D62" t="n">
        <v>4.23</v>
      </c>
      <c r="E62" t="n">
        <v>4.23</v>
      </c>
      <c r="F62" t="n">
        <v>86.2</v>
      </c>
      <c r="G62" t="n">
        <v>365</v>
      </c>
    </row>
    <row r="63">
      <c r="A63" s="2" t="n">
        <v>45719</v>
      </c>
      <c r="B63" t="inlineStr">
        <is>
          <t>TGT(US87612E1064) Cash Dividend USD 1.12 per Share (Ordinary Dividend)</t>
        </is>
      </c>
      <c r="C63" t="inlineStr">
        <is>
          <t>USD</t>
        </is>
      </c>
      <c r="D63" t="n">
        <v>6.72</v>
      </c>
      <c r="E63" t="n">
        <v>6.72</v>
      </c>
      <c r="F63" t="n">
        <v>86.95</v>
      </c>
      <c r="G63" t="n">
        <v>584</v>
      </c>
    </row>
    <row r="64">
      <c r="A64" s="2" t="n">
        <v>45726</v>
      </c>
      <c r="B64" t="inlineStr">
        <is>
          <t>LLY(US5324571083) Cash Dividend USD 1.50 per Share (Ordinary Dividend)</t>
        </is>
      </c>
      <c r="C64" t="inlineStr">
        <is>
          <t>USD</t>
        </is>
      </c>
      <c r="D64" t="n">
        <v>9</v>
      </c>
      <c r="E64" t="n">
        <v>9</v>
      </c>
      <c r="F64" t="n">
        <v>86.95</v>
      </c>
      <c r="G64" t="n">
        <v>783</v>
      </c>
    </row>
    <row r="65">
      <c r="A65" s="2" t="n">
        <v>45729</v>
      </c>
      <c r="B65" t="inlineStr">
        <is>
          <t>MSFT(US5949181045) Cash Dividend USD 0.83 per Share (Ordinary Dividend)</t>
        </is>
      </c>
      <c r="C65" t="inlineStr">
        <is>
          <t>USD</t>
        </is>
      </c>
      <c r="D65" t="n">
        <v>4.98</v>
      </c>
      <c r="E65" t="n">
        <v>4.98</v>
      </c>
      <c r="F65" t="n">
        <v>86.95</v>
      </c>
      <c r="G65" t="n">
        <v>433</v>
      </c>
    </row>
    <row r="66">
      <c r="A66" s="2" t="n">
        <v>45747</v>
      </c>
      <c r="B66" t="inlineStr">
        <is>
          <t>AVGO(US11135F1012) Cash Dividend USD 0.59 per Share (Ordinary Dividend)</t>
        </is>
      </c>
      <c r="C66" t="inlineStr">
        <is>
          <t>USD</t>
        </is>
      </c>
      <c r="D66" t="n">
        <v>5.31</v>
      </c>
      <c r="E66" t="n">
        <v>5.31</v>
      </c>
      <c r="F66" t="n">
        <v>86.95</v>
      </c>
      <c r="G66" t="n">
        <v>462</v>
      </c>
    </row>
    <row r="67">
      <c r="A67" s="2" t="n">
        <v>45749</v>
      </c>
      <c r="B67" t="inlineStr">
        <is>
          <t>NVDA(US67066G1040) Cash Dividend USD 0.01 per Share (Ordinary Dividend)</t>
        </is>
      </c>
      <c r="C67" t="inlineStr">
        <is>
          <t>USD</t>
        </is>
      </c>
      <c r="D67" t="n">
        <v>0.04</v>
      </c>
      <c r="E67" t="n">
        <v>0.04</v>
      </c>
      <c r="F67" t="n">
        <v>85.09999999999999</v>
      </c>
      <c r="G67" t="n">
        <v>3</v>
      </c>
    </row>
    <row r="68">
      <c r="A68" s="2" t="n">
        <v>45751</v>
      </c>
      <c r="B68" t="inlineStr">
        <is>
          <t>TIP(US4642871762) Cash Dividend USD 0.70918 per Share (Ordinary Dividend)</t>
        </is>
      </c>
      <c r="C68" t="inlineStr">
        <is>
          <t>USD</t>
        </is>
      </c>
      <c r="D68" t="n">
        <v>42.55</v>
      </c>
      <c r="E68" t="n">
        <v>42.55</v>
      </c>
      <c r="F68" t="n">
        <v>85.09999999999999</v>
      </c>
      <c r="G68" t="n">
        <v>3621</v>
      </c>
    </row>
    <row r="69">
      <c r="A69" s="2" t="n">
        <v>45756</v>
      </c>
      <c r="B69" t="inlineStr">
        <is>
          <t>LRCX(US5128073062) Cash Dividend USD 0.23 per Share (Ordinary Dividend)</t>
        </is>
      </c>
      <c r="C69" t="inlineStr">
        <is>
          <t>USD</t>
        </is>
      </c>
      <c r="D69" t="n">
        <v>2.3</v>
      </c>
      <c r="E69" t="n">
        <v>2.3</v>
      </c>
      <c r="F69" t="n">
        <v>85.09999999999999</v>
      </c>
      <c r="G69" t="n">
        <v>196</v>
      </c>
    </row>
    <row r="70">
      <c r="A70" s="2" t="n">
        <v>45757</v>
      </c>
      <c r="B70" t="inlineStr">
        <is>
          <t>TSM(US8740391003) Cash Dividend USD 0.677693 per Share (Ordinary Div - NRA Withholding Exempt)</t>
        </is>
      </c>
      <c r="C70" t="inlineStr">
        <is>
          <t>USD</t>
        </is>
      </c>
      <c r="D70" t="n">
        <v>4.06</v>
      </c>
      <c r="E70" t="n">
        <v>4.06</v>
      </c>
      <c r="F70" t="n">
        <v>85.09999999999999</v>
      </c>
      <c r="G70" t="n">
        <v>346</v>
      </c>
    </row>
    <row r="71">
      <c r="A71" s="2" t="n">
        <v>45764</v>
      </c>
      <c r="B71" t="inlineStr">
        <is>
          <t>RIO(US7672041008) Cash Dividend USD 2.25 per Share (Ordinary Dividend)</t>
        </is>
      </c>
      <c r="C71" t="inlineStr">
        <is>
          <t>USD</t>
        </is>
      </c>
      <c r="D71" t="n">
        <v>20.25</v>
      </c>
      <c r="E71" t="n">
        <v>20.25</v>
      </c>
      <c r="F71" t="n">
        <v>85.09999999999999</v>
      </c>
      <c r="G71" t="n">
        <v>1723</v>
      </c>
    </row>
    <row r="72">
      <c r="A72" s="2" t="n">
        <v>45772</v>
      </c>
      <c r="B72" t="inlineStr">
        <is>
          <t>GE(US3696043013) Cash Dividend USD 0.36 per Share (Ordinary Dividend)</t>
        </is>
      </c>
      <c r="C72" t="inlineStr">
        <is>
          <t>USD</t>
        </is>
      </c>
      <c r="D72" t="n">
        <v>1.08</v>
      </c>
      <c r="E72" t="n">
        <v>1.08</v>
      </c>
      <c r="F72" t="n">
        <v>85.09999999999999</v>
      </c>
      <c r="G72" t="n">
        <v>92</v>
      </c>
    </row>
    <row r="73">
      <c r="A73" s="2" t="n">
        <v>45772</v>
      </c>
      <c r="B73" t="inlineStr">
        <is>
          <t>HYU(USY384721251) Cash Dividend USD 2.125058 per Share (Ordinary Dividend)</t>
        </is>
      </c>
      <c r="C73" t="inlineStr">
        <is>
          <t>USD</t>
        </is>
      </c>
      <c r="D73" t="n">
        <v>51</v>
      </c>
      <c r="E73" t="n">
        <v>51</v>
      </c>
      <c r="F73" t="n">
        <v>85.09999999999999</v>
      </c>
      <c r="G73" t="n">
        <v>4340</v>
      </c>
    </row>
    <row r="74">
      <c r="A74" s="2" t="n">
        <v>45782</v>
      </c>
      <c r="B74" t="inlineStr">
        <is>
          <t>BX(US09260D1072) Cash Dividend USD 0.93 per Share (Ordinary Dividend)</t>
        </is>
      </c>
      <c r="C74" t="inlineStr">
        <is>
          <t>USD</t>
        </is>
      </c>
      <c r="D74" t="n">
        <v>11.16</v>
      </c>
      <c r="E74" t="n">
        <v>11.16</v>
      </c>
      <c r="F74" t="n">
        <v>84.25</v>
      </c>
      <c r="G74" t="n">
        <v>940</v>
      </c>
    </row>
    <row r="75">
      <c r="A75" s="2" t="n">
        <v>45783</v>
      </c>
      <c r="B75" t="inlineStr">
        <is>
          <t>ASML(USN070592100) Cash Dividend USD 2.090608 per Share (Ordinary Dividend)</t>
        </is>
      </c>
      <c r="C75" t="inlineStr">
        <is>
          <t>USD</t>
        </is>
      </c>
      <c r="D75" t="n">
        <v>12.54</v>
      </c>
      <c r="E75" t="n">
        <v>12.54</v>
      </c>
      <c r="F75" t="n">
        <v>84.25</v>
      </c>
      <c r="G75" t="n">
        <v>1056</v>
      </c>
    </row>
    <row r="76">
      <c r="A76" s="2" t="n">
        <v>45783</v>
      </c>
      <c r="B76" t="inlineStr">
        <is>
          <t>TIP(US4642871762) Cash Dividend USD 0.534953 per Share (Ordinary Dividend)</t>
        </is>
      </c>
      <c r="C76" t="inlineStr">
        <is>
          <t>USD</t>
        </is>
      </c>
      <c r="D76" t="n">
        <v>32.1</v>
      </c>
      <c r="E76" t="n">
        <v>32.1</v>
      </c>
      <c r="F76" t="n">
        <v>84.25</v>
      </c>
      <c r="G76" t="n">
        <v>2704</v>
      </c>
    </row>
    <row r="77">
      <c r="A77" s="2" t="n">
        <v>45786</v>
      </c>
      <c r="B77" t="inlineStr">
        <is>
          <t>GD(US3695501086) Cash Dividend USD 1.50 per Share (Ordinary Dividend)</t>
        </is>
      </c>
      <c r="C77" t="inlineStr">
        <is>
          <t>USD</t>
        </is>
      </c>
      <c r="D77" t="n">
        <v>9</v>
      </c>
      <c r="E77" t="n">
        <v>9</v>
      </c>
      <c r="F77" t="n">
        <v>84.25</v>
      </c>
      <c r="G77" t="n">
        <v>758</v>
      </c>
    </row>
    <row r="78">
      <c r="A78" s="2" t="n">
        <v>45789</v>
      </c>
      <c r="B78" t="inlineStr">
        <is>
          <t>BTI(US1104481072) Cash Dividend USD 0.802221 per Share (Ordinary Dividend)</t>
        </is>
      </c>
      <c r="C78" t="inlineStr">
        <is>
          <t>USD</t>
        </is>
      </c>
      <c r="D78" t="n">
        <v>26.47</v>
      </c>
      <c r="E78" t="n">
        <v>26.47</v>
      </c>
      <c r="F78" t="n">
        <v>84.25</v>
      </c>
      <c r="G78" t="n">
        <v>2230</v>
      </c>
    </row>
    <row r="79">
      <c r="A79" s="2" t="n">
        <v>45797</v>
      </c>
      <c r="B79" t="inlineStr">
        <is>
          <t>CAT(US1491231015) Cash Dividend USD 1.41 per Share (Ordinary Dividend)</t>
        </is>
      </c>
      <c r="C79" t="inlineStr">
        <is>
          <t>USD</t>
        </is>
      </c>
      <c r="D79" t="n">
        <v>12.69</v>
      </c>
      <c r="E79" t="n">
        <v>12.69</v>
      </c>
      <c r="F79" t="n">
        <v>84.25</v>
      </c>
      <c r="G79" t="n">
        <v>1069</v>
      </c>
    </row>
    <row r="80">
      <c r="A80" s="2" t="n">
        <v>45810</v>
      </c>
      <c r="B80" t="inlineStr">
        <is>
          <t>TGT(US87612E1064) Cash Dividend USD 1.12 per Share (Ordinary Dividend)</t>
        </is>
      </c>
      <c r="C80" t="inlineStr">
        <is>
          <t>USD</t>
        </is>
      </c>
      <c r="D80" t="n">
        <v>29.12</v>
      </c>
      <c r="E80" t="n">
        <v>29.12</v>
      </c>
      <c r="F80" t="n">
        <v>85.09999999999999</v>
      </c>
      <c r="G80" t="n">
        <v>2478</v>
      </c>
    </row>
    <row r="81">
      <c r="A81" s="2" t="n">
        <v>45813</v>
      </c>
      <c r="B81" t="inlineStr">
        <is>
          <t>TIP(US4642871762) Cash Dividend USD 0.273105 per Share (Ordinary Dividend)</t>
        </is>
      </c>
      <c r="C81" t="inlineStr">
        <is>
          <t>USD</t>
        </is>
      </c>
      <c r="D81" t="n">
        <v>16.39</v>
      </c>
      <c r="E81" t="n">
        <v>16.39</v>
      </c>
      <c r="F81" t="n">
        <v>85.09999999999999</v>
      </c>
      <c r="G81" t="n">
        <v>1395</v>
      </c>
    </row>
    <row r="82">
      <c r="A82" s="2" t="n">
        <v>45818</v>
      </c>
      <c r="B82" t="inlineStr">
        <is>
          <t>LLY(US5324571083) Cash Dividend USD 1.50 per Share (Ordinary Dividend)</t>
        </is>
      </c>
      <c r="C82" t="inlineStr">
        <is>
          <t>USD</t>
        </is>
      </c>
      <c r="D82" t="n">
        <v>9</v>
      </c>
      <c r="E82" t="n">
        <v>9</v>
      </c>
      <c r="F82" t="n">
        <v>85.09999999999999</v>
      </c>
      <c r="G82" t="n">
        <v>766</v>
      </c>
    </row>
    <row r="83">
      <c r="A83" s="2" t="n">
        <v>45820</v>
      </c>
      <c r="B83" t="inlineStr">
        <is>
          <t>MSFT(US5949181045) Cash Dividend USD 0.83 per Share (Ordinary Dividend)</t>
        </is>
      </c>
      <c r="C83" t="inlineStr">
        <is>
          <t>USD</t>
        </is>
      </c>
      <c r="D83" t="n">
        <v>4.98</v>
      </c>
      <c r="E83" t="n">
        <v>4.98</v>
      </c>
      <c r="F83" t="n">
        <v>85.09999999999999</v>
      </c>
      <c r="G83" t="n">
        <v>424</v>
      </c>
    </row>
    <row r="84">
      <c r="A84" s="2" t="n">
        <v>45820</v>
      </c>
      <c r="B84" t="inlineStr">
        <is>
          <t>RTX(US75513E1010) Cash Dividend USD 0.68 per Share (Ordinary Dividend)</t>
        </is>
      </c>
      <c r="C84" t="inlineStr">
        <is>
          <t>USD</t>
        </is>
      </c>
      <c r="D84" t="n">
        <v>20.4</v>
      </c>
      <c r="E84" t="n">
        <v>20.4</v>
      </c>
      <c r="F84" t="n">
        <v>85.09999999999999</v>
      </c>
      <c r="G84" t="n">
        <v>1736</v>
      </c>
    </row>
    <row r="85">
      <c r="A85" s="2" t="n">
        <v>45828</v>
      </c>
      <c r="B85" t="inlineStr">
        <is>
          <t>EMXC(US46434G7640) Cash Dividend USD 0.711404 per Share (Ordinary Dividend)</t>
        </is>
      </c>
      <c r="C85" t="inlineStr">
        <is>
          <t>USD</t>
        </is>
      </c>
      <c r="D85" t="n">
        <v>6.4</v>
      </c>
      <c r="E85" t="n">
        <v>6.4</v>
      </c>
      <c r="F85" t="n">
        <v>85.09999999999999</v>
      </c>
      <c r="G85" t="n">
        <v>545</v>
      </c>
    </row>
    <row r="86">
      <c r="A86" s="2" t="n">
        <v>45828</v>
      </c>
      <c r="B86" t="inlineStr">
        <is>
          <t>MCHI(US46429B6719) Payment in Lieu of Dividend (Ordinary Dividend)</t>
        </is>
      </c>
      <c r="C86" t="inlineStr">
        <is>
          <t>USD</t>
        </is>
      </c>
      <c r="D86" t="n">
        <v>14.46</v>
      </c>
      <c r="E86" t="n">
        <v>14.46</v>
      </c>
      <c r="F86" t="n">
        <v>85.09999999999999</v>
      </c>
      <c r="G86" t="n">
        <v>1231</v>
      </c>
    </row>
    <row r="87">
      <c r="A87" s="2" t="n">
        <v>45835</v>
      </c>
      <c r="B87" t="inlineStr">
        <is>
          <t>BAC(US0605051046) Cash Dividend USD 0.26 per Share (Ordinary Dividend)</t>
        </is>
      </c>
      <c r="C87" t="inlineStr">
        <is>
          <t>USD</t>
        </is>
      </c>
      <c r="D87" t="n">
        <v>15.6</v>
      </c>
      <c r="E87" t="n">
        <v>15.6</v>
      </c>
      <c r="F87" t="n">
        <v>85.09999999999999</v>
      </c>
      <c r="G87" t="n">
        <v>1328</v>
      </c>
    </row>
    <row r="88">
      <c r="A88" s="2" t="n">
        <v>45835</v>
      </c>
      <c r="B88" t="inlineStr">
        <is>
          <t>DXJ(US97717W8516) Cash Dividend USD 1.34 per Share (Ordinary Dividend)</t>
        </is>
      </c>
      <c r="C88" t="inlineStr">
        <is>
          <t>USD</t>
        </is>
      </c>
      <c r="D88" t="n">
        <v>8.039999999999999</v>
      </c>
      <c r="E88" t="n">
        <v>8.039999999999999</v>
      </c>
      <c r="F88" t="n">
        <v>85.09999999999999</v>
      </c>
      <c r="G88" t="n">
        <v>684</v>
      </c>
    </row>
    <row r="89">
      <c r="A89" s="2" t="n">
        <v>45835</v>
      </c>
      <c r="B89" t="inlineStr">
        <is>
          <t>IGPT(US46137V6395) Cash Dividend USD 0.01677 per Share (Ordinary Dividend)</t>
        </is>
      </c>
      <c r="C89" t="inlineStr">
        <is>
          <t>USD</t>
        </is>
      </c>
      <c r="D89" t="n">
        <v>0.55</v>
      </c>
      <c r="E89" t="n">
        <v>0.55</v>
      </c>
      <c r="F89" t="n">
        <v>85.09999999999999</v>
      </c>
      <c r="G89" t="n">
        <v>47</v>
      </c>
    </row>
    <row r="90">
      <c r="A90" s="2" t="n">
        <v>45838</v>
      </c>
      <c r="B90" t="inlineStr">
        <is>
          <t>AVGO(US11135F1012) Cash Dividend USD 0.59 per Share (Ordinary Dividend)</t>
        </is>
      </c>
      <c r="C90" t="inlineStr">
        <is>
          <t>USD</t>
        </is>
      </c>
      <c r="D90" t="n">
        <v>5.31</v>
      </c>
      <c r="E90" t="n">
        <v>5.31</v>
      </c>
      <c r="F90" t="n">
        <v>85.09999999999999</v>
      </c>
      <c r="G90" t="n">
        <v>452</v>
      </c>
    </row>
    <row r="91">
      <c r="A91" s="2" t="n">
        <v>45841</v>
      </c>
      <c r="B91" t="inlineStr">
        <is>
          <t>NVDA(US67066G1040) Cash Dividend USD 0.01 per Share (Ordinary Dividend)</t>
        </is>
      </c>
      <c r="C91" t="inlineStr">
        <is>
          <t>USD</t>
        </is>
      </c>
      <c r="D91" t="n">
        <v>0.16</v>
      </c>
      <c r="E91" t="n">
        <v>0.16</v>
      </c>
      <c r="F91" t="n">
        <v>85.09999999999999</v>
      </c>
      <c r="G91" t="n">
        <v>14</v>
      </c>
    </row>
    <row r="92">
      <c r="A92" s="2" t="n">
        <v>45845</v>
      </c>
      <c r="B92" t="inlineStr">
        <is>
          <t>AIQ(US37954Y6326) Payment in Lieu of Dividend (Ordinary Dividend)</t>
        </is>
      </c>
      <c r="C92" t="inlineStr">
        <is>
          <t>USD</t>
        </is>
      </c>
      <c r="D92" t="n">
        <v>1.75</v>
      </c>
      <c r="E92" t="n">
        <v>1.75</v>
      </c>
      <c r="F92" t="n">
        <v>85.09999999999999</v>
      </c>
      <c r="G92" t="n">
        <v>149</v>
      </c>
    </row>
    <row r="93">
      <c r="A93" s="2" t="n">
        <v>45845</v>
      </c>
      <c r="B93" t="inlineStr">
        <is>
          <t>TIP(US4642871762) Cash Dividend USD 0.379923 per Share (Ordinary Dividend)</t>
        </is>
      </c>
      <c r="C93" t="inlineStr">
        <is>
          <t>USD</t>
        </is>
      </c>
      <c r="D93" t="n">
        <v>22.8</v>
      </c>
      <c r="E93" t="n">
        <v>22.8</v>
      </c>
      <c r="F93" t="n">
        <v>85.09999999999999</v>
      </c>
      <c r="G93" t="n">
        <v>1940</v>
      </c>
    </row>
    <row r="94">
      <c r="A94" s="2" t="n">
        <v>45846</v>
      </c>
      <c r="B94" t="inlineStr">
        <is>
          <t>HYU(USY384721251) Cash Dividend USD 0.920756 per Share (Ordinary Dividend)</t>
        </is>
      </c>
      <c r="C94" t="inlineStr">
        <is>
          <t>USD</t>
        </is>
      </c>
      <c r="D94" t="n">
        <v>22.1</v>
      </c>
      <c r="E94" t="n">
        <v>22.1</v>
      </c>
      <c r="F94" t="n">
        <v>85.09999999999999</v>
      </c>
      <c r="G94" t="n">
        <v>1881</v>
      </c>
    </row>
    <row r="95">
      <c r="A95" s="2" t="n">
        <v>45847</v>
      </c>
      <c r="B95" t="inlineStr">
        <is>
          <t>LRCX(US5128073062) Cash Dividend USD 0.23 per Share (Ordinary Dividend)</t>
        </is>
      </c>
      <c r="C95" t="inlineStr">
        <is>
          <t>USD</t>
        </is>
      </c>
      <c r="D95" t="n">
        <v>2.3</v>
      </c>
      <c r="E95" t="n">
        <v>2.3</v>
      </c>
      <c r="F95" t="n">
        <v>85.09999999999999</v>
      </c>
      <c r="G95" t="n">
        <v>196</v>
      </c>
    </row>
    <row r="96">
      <c r="A96" s="2" t="n">
        <v>45848</v>
      </c>
      <c r="B96" t="inlineStr">
        <is>
          <t>TSM(US8740391003) Cash Dividend USD 0.780305 per Share (Ordinary Div - NRA Withholding Exempt)</t>
        </is>
      </c>
      <c r="C96" t="inlineStr">
        <is>
          <t>USD</t>
        </is>
      </c>
      <c r="D96" t="n">
        <v>4.68</v>
      </c>
      <c r="E96" t="n">
        <v>4.68</v>
      </c>
      <c r="F96" t="n">
        <v>85.09999999999999</v>
      </c>
      <c r="G96" t="n">
        <v>398</v>
      </c>
    </row>
    <row r="97">
      <c r="A97" s="2" t="n">
        <v>45863</v>
      </c>
      <c r="B97" t="inlineStr">
        <is>
          <t>GE(US3696043013) Cash Dividend USD 0.36 per Share (Ordinary Dividend)</t>
        </is>
      </c>
      <c r="C97" t="inlineStr">
        <is>
          <t>USD</t>
        </is>
      </c>
      <c r="D97" t="n">
        <v>1.08</v>
      </c>
      <c r="E97" t="n">
        <v>1.08</v>
      </c>
      <c r="F97" t="n">
        <v>85.09999999999999</v>
      </c>
      <c r="G97" t="n">
        <v>92</v>
      </c>
    </row>
    <row r="98">
      <c r="A98" s="2" t="n">
        <v>45875</v>
      </c>
      <c r="B98" t="inlineStr">
        <is>
          <t>BTI(US1104481072) Cash Dividend USD 0.797416 per Share (Ordinary Dividend)</t>
        </is>
      </c>
      <c r="C98" t="inlineStr">
        <is>
          <t>USD</t>
        </is>
      </c>
      <c r="D98" t="n">
        <v>26.31</v>
      </c>
      <c r="E98" t="n">
        <v>26.31</v>
      </c>
      <c r="F98" t="n">
        <v>87.15000000000001</v>
      </c>
      <c r="G98" t="n">
        <v>2293</v>
      </c>
    </row>
    <row r="99">
      <c r="A99" s="2" t="n">
        <v>45875</v>
      </c>
      <c r="B99" t="inlineStr">
        <is>
          <t>TIP(US4642871762) Cash Dividend USD 0.264488 per Share (Ordinary Dividend)</t>
        </is>
      </c>
      <c r="C99" t="inlineStr">
        <is>
          <t>USD</t>
        </is>
      </c>
      <c r="D99" t="n">
        <v>15.87</v>
      </c>
      <c r="E99" t="n">
        <v>15.87</v>
      </c>
      <c r="F99" t="n">
        <v>87.15000000000001</v>
      </c>
      <c r="G99" t="n">
        <v>1383</v>
      </c>
    </row>
    <row r="100">
      <c r="A100" s="2" t="n">
        <v>45877</v>
      </c>
      <c r="B100" t="inlineStr">
        <is>
          <t>GD(US3695501086) Cash Dividend USD 1.50 per Share (Ordinary Dividend)</t>
        </is>
      </c>
      <c r="C100" t="inlineStr">
        <is>
          <t>USD</t>
        </is>
      </c>
      <c r="D100" t="n">
        <v>9</v>
      </c>
      <c r="E100" t="n">
        <v>9</v>
      </c>
      <c r="F100" t="n">
        <v>87.15000000000001</v>
      </c>
      <c r="G100" t="n">
        <v>784</v>
      </c>
    </row>
    <row r="101">
      <c r="A101" s="2" t="n">
        <v>45882</v>
      </c>
      <c r="B101" t="inlineStr">
        <is>
          <t>BYDDY(US05606L1008) Cash Dividend USD 1.10247 per Share (Ordinary Dividend)</t>
        </is>
      </c>
      <c r="C101" t="inlineStr">
        <is>
          <t>USD</t>
        </is>
      </c>
      <c r="D101" t="n">
        <v>46.3</v>
      </c>
      <c r="E101" t="n">
        <v>46.3</v>
      </c>
      <c r="F101" t="n">
        <v>87.15000000000001</v>
      </c>
      <c r="G101" t="n">
        <v>4035</v>
      </c>
    </row>
    <row r="102">
      <c r="A102" s="2" t="n">
        <v>45889</v>
      </c>
      <c r="B102" t="inlineStr">
        <is>
          <t>CAT(US1491231015) Cash Dividend USD 1.51 per Share (Ordinary Dividend)</t>
        </is>
      </c>
      <c r="C102" t="inlineStr">
        <is>
          <t>USD</t>
        </is>
      </c>
      <c r="D102" t="n">
        <v>13.59</v>
      </c>
      <c r="E102" t="n">
        <v>13.59</v>
      </c>
      <c r="F102" t="n">
        <v>87.15000000000001</v>
      </c>
      <c r="G102" t="n">
        <v>1184</v>
      </c>
    </row>
    <row r="103">
      <c r="A103" s="2" t="n">
        <v>45902</v>
      </c>
      <c r="B103" t="inlineStr">
        <is>
          <t>TGT(US87612E1064) Cash Dividend USD 1.14 per Share (Ordinary Dividend)</t>
        </is>
      </c>
      <c r="C103" t="inlineStr">
        <is>
          <t>USD</t>
        </is>
      </c>
      <c r="D103" t="n">
        <v>29.64</v>
      </c>
      <c r="E103" t="n">
        <v>29.64</v>
      </c>
      <c r="F103" t="n">
        <v>87.7</v>
      </c>
      <c r="G103" t="n">
        <v>2599</v>
      </c>
    </row>
    <row r="104">
      <c r="A104" s="2" t="n">
        <v>45905</v>
      </c>
      <c r="B104" t="inlineStr">
        <is>
          <t>TIP(US4642871762) Cash Dividend USD 0.417238 per Share (Ordinary Dividend)</t>
        </is>
      </c>
      <c r="C104" t="inlineStr">
        <is>
          <t>USD</t>
        </is>
      </c>
      <c r="D104" t="n">
        <v>25.03</v>
      </c>
      <c r="E104" t="n">
        <v>25.03</v>
      </c>
      <c r="F104" t="n">
        <v>87.7</v>
      </c>
      <c r="G104" t="n">
        <v>2195</v>
      </c>
    </row>
    <row r="105">
      <c r="A105" s="2" t="n">
        <v>45919</v>
      </c>
      <c r="B105" t="inlineStr">
        <is>
          <t>IWR(US4642874998) Cash Dividend USD 0.322439 per Share (Ordinary Dividend)</t>
        </is>
      </c>
      <c r="C105" t="inlineStr">
        <is>
          <t>USD</t>
        </is>
      </c>
      <c r="D105" t="n">
        <v>3.22</v>
      </c>
      <c r="E105" t="n">
        <v>3.22</v>
      </c>
      <c r="F105" t="n">
        <v>87.7</v>
      </c>
      <c r="G105" t="n">
        <v>282</v>
      </c>
    </row>
    <row r="106">
      <c r="A106" s="2" t="n">
        <v>45923</v>
      </c>
      <c r="B106" t="inlineStr">
        <is>
          <t>VT(US9220427424) Cash Dividend USD 0.4781 per Share (Ordinary Dividend)</t>
        </is>
      </c>
      <c r="C106" t="inlineStr">
        <is>
          <t>USD</t>
        </is>
      </c>
      <c r="D106" t="n">
        <v>4.3</v>
      </c>
      <c r="E106" t="n">
        <v>4.3</v>
      </c>
      <c r="F106" t="n">
        <v>87.7</v>
      </c>
      <c r="G106" t="n">
        <v>377</v>
      </c>
    </row>
    <row r="107">
      <c r="A107" s="2" t="n">
        <v>45931</v>
      </c>
      <c r="B107" t="inlineStr">
        <is>
          <t>VTV(US9229087443) Cash Dividend USD 0.9433 per Share (Ordinary Dividend)</t>
        </is>
      </c>
      <c r="C107" t="inlineStr">
        <is>
          <t>USD</t>
        </is>
      </c>
      <c r="D107" t="n">
        <v>5.66</v>
      </c>
      <c r="E107" t="n">
        <v>5.66</v>
      </c>
      <c r="F107" t="n">
        <v>88.34999999999999</v>
      </c>
      <c r="G107" t="n">
        <v>500</v>
      </c>
    </row>
    <row r="108">
      <c r="A108" s="2" t="n">
        <v>45936</v>
      </c>
      <c r="B108" t="inlineStr">
        <is>
          <t>TIP(US4642871762) Cash Dividend USD 0.198069 per Share (Ordinary Dividend)</t>
        </is>
      </c>
      <c r="C108" t="inlineStr">
        <is>
          <t>USD</t>
        </is>
      </c>
      <c r="D108" t="n">
        <v>11.88</v>
      </c>
      <c r="E108" t="n">
        <v>11.88</v>
      </c>
      <c r="F108" t="n">
        <v>88.34999999999999</v>
      </c>
      <c r="G108" t="n">
        <v>1050</v>
      </c>
    </row>
    <row r="109">
      <c r="A109" s="2" t="n">
        <v>45952</v>
      </c>
      <c r="B109" t="inlineStr">
        <is>
          <t>CSCO(US17275R1023) Cash Dividend USD 0.41 per Share (Ordinary Dividend)</t>
        </is>
      </c>
      <c r="C109" t="inlineStr">
        <is>
          <t>USD</t>
        </is>
      </c>
      <c r="D109" t="n">
        <v>8.199999999999999</v>
      </c>
      <c r="E109" t="n">
        <v>8.199999999999999</v>
      </c>
      <c r="F109" t="n">
        <v>88.34999999999999</v>
      </c>
      <c r="G109" t="n">
        <v>724</v>
      </c>
    </row>
    <row r="110">
      <c r="A110" s="2" t="n">
        <v>45953</v>
      </c>
      <c r="B110" t="inlineStr">
        <is>
          <t>ORCL(US68389X1054) Cash Dividend USD 0.50 per Share (Ordinary Dividend)</t>
        </is>
      </c>
      <c r="C110" t="inlineStr">
        <is>
          <t>USD</t>
        </is>
      </c>
      <c r="D110" t="n">
        <v>2.5</v>
      </c>
      <c r="E110" t="n">
        <v>2.5</v>
      </c>
      <c r="F110" t="n">
        <v>88.34999999999999</v>
      </c>
      <c r="G110" t="n">
        <v>221</v>
      </c>
    </row>
    <row r="111">
      <c r="A111" s="2" t="n">
        <v>45961</v>
      </c>
      <c r="B111" t="inlineStr">
        <is>
          <t>QQQ(US46090E1038) Cash Dividend USD 0.69395 per Share (Ordinary Dividend)</t>
        </is>
      </c>
      <c r="C111" t="inlineStr">
        <is>
          <t>USD</t>
        </is>
      </c>
      <c r="D111" t="n">
        <v>1.39</v>
      </c>
      <c r="E111" t="n">
        <v>1.39</v>
      </c>
      <c r="F111" t="n">
        <v>88.34999999999999</v>
      </c>
      <c r="G111" t="n">
        <v>123</v>
      </c>
    </row>
    <row r="112">
      <c r="A112" s="2" t="n">
        <v>45967</v>
      </c>
      <c r="B112" t="inlineStr">
        <is>
          <t>ASML(USN070592100) Cash Dividend USD 1.864032 per Share (Ordinary Dividend)</t>
        </is>
      </c>
      <c r="C112" t="inlineStr">
        <is>
          <t>USD</t>
        </is>
      </c>
      <c r="D112" t="n">
        <v>5.59</v>
      </c>
      <c r="E112" t="n">
        <v>5.59</v>
      </c>
      <c r="F112" t="n">
        <v>88.2</v>
      </c>
      <c r="G112" t="n">
        <v>493</v>
      </c>
    </row>
    <row r="113">
      <c r="A113" s="2" t="n">
        <v>45967</v>
      </c>
      <c r="B113" t="inlineStr">
        <is>
          <t>TIP(US4642871762) Cash Dividend USD 0.360933 per Share (Ordinary Dividend)</t>
        </is>
      </c>
      <c r="C113" t="inlineStr">
        <is>
          <t>USD</t>
        </is>
      </c>
      <c r="D113" t="n">
        <v>1.8</v>
      </c>
      <c r="E113" t="n">
        <v>1.8</v>
      </c>
      <c r="F113" t="n">
        <v>88.2</v>
      </c>
      <c r="G113" t="n">
        <v>159</v>
      </c>
    </row>
    <row r="114">
      <c r="A114" s="2" t="n">
        <v>45967</v>
      </c>
      <c r="B114" t="inlineStr">
        <is>
          <t>TIP(US4642871762) Payment in Lieu of Dividend (Ordinary Dividend)</t>
        </is>
      </c>
      <c r="C114" t="inlineStr">
        <is>
          <t>USD</t>
        </is>
      </c>
      <c r="D114" t="n">
        <v>19.85</v>
      </c>
      <c r="E114" t="n">
        <v>19.85</v>
      </c>
      <c r="F114" t="n">
        <v>88.2</v>
      </c>
      <c r="G114" t="n">
        <v>1751</v>
      </c>
    </row>
    <row r="115">
      <c r="A115" s="2" t="n">
        <v>45974</v>
      </c>
      <c r="B115" t="inlineStr">
        <is>
          <t>AAPL(US0378331005) Cash Dividend USD 0.26 per Share (Ordinary Dividend)</t>
        </is>
      </c>
      <c r="C115" t="inlineStr">
        <is>
          <t>USD</t>
        </is>
      </c>
      <c r="D115" t="n">
        <v>1.82</v>
      </c>
      <c r="E115" t="n">
        <v>1.82</v>
      </c>
      <c r="F115" t="n">
        <v>88.2</v>
      </c>
      <c r="G115" t="n">
        <v>161</v>
      </c>
    </row>
    <row r="116">
      <c r="A116" s="2" t="n">
        <v>45992</v>
      </c>
      <c r="B116" t="inlineStr">
        <is>
          <t>TGT(US87612E1064) Cash Dividend USD 1.14 per Share (Ordinary Dividend)</t>
        </is>
      </c>
      <c r="C116" t="inlineStr">
        <is>
          <t>USD</t>
        </is>
      </c>
      <c r="D116" t="n">
        <v>29.64</v>
      </c>
      <c r="E116" t="n">
        <v>29.64</v>
      </c>
      <c r="F116" t="n">
        <v>88.95</v>
      </c>
      <c r="G116" t="n">
        <v>2636</v>
      </c>
    </row>
    <row r="117">
      <c r="A117" s="2" t="n">
        <v>45992</v>
      </c>
      <c r="B117" t="inlineStr">
        <is>
          <t>WFC(US9497461015) Cash Dividend USD 0.45 per Share (Ordinary Dividend)</t>
        </is>
      </c>
      <c r="C117" t="inlineStr">
        <is>
          <t>USD</t>
        </is>
      </c>
      <c r="D117" t="n">
        <v>22.5</v>
      </c>
      <c r="E117" t="n">
        <v>22.5</v>
      </c>
      <c r="F117" t="n">
        <v>88.95</v>
      </c>
      <c r="G117" t="n">
        <v>2001</v>
      </c>
    </row>
    <row r="118">
      <c r="A118" s="2" t="n">
        <v>45995</v>
      </c>
      <c r="B118" t="inlineStr">
        <is>
          <t>TIP(US4642871762) Cash Dividend USD 0.322417 per Share (Ordinary Dividend)</t>
        </is>
      </c>
      <c r="C118" t="inlineStr">
        <is>
          <t>USD</t>
        </is>
      </c>
      <c r="D118" t="n">
        <v>19.35</v>
      </c>
      <c r="E118" t="n">
        <v>19.35</v>
      </c>
      <c r="F118" t="n">
        <v>88.95</v>
      </c>
      <c r="G118" t="n">
        <v>1721</v>
      </c>
    </row>
    <row r="119">
      <c r="A119" s="2" t="n">
        <v>45996</v>
      </c>
      <c r="B119" t="inlineStr">
        <is>
          <t>REGN(US75886F1075) Cash Dividend USD 0.88 per Share (Ordinary Dividend)</t>
        </is>
      </c>
      <c r="C119" t="inlineStr">
        <is>
          <t>USD</t>
        </is>
      </c>
      <c r="D119" t="n">
        <v>2.64</v>
      </c>
      <c r="E119" t="n">
        <v>2.64</v>
      </c>
      <c r="F119" t="n">
        <v>88.95</v>
      </c>
      <c r="G119" t="n">
        <v>235</v>
      </c>
    </row>
    <row r="120">
      <c r="A120" s="2" t="n">
        <v>46001</v>
      </c>
      <c r="B120" t="inlineStr">
        <is>
          <t>IBM(US4592001014) Cash Dividend USD 1.68 per Share (Ordinary Dividend)</t>
        </is>
      </c>
      <c r="C120" t="inlineStr">
        <is>
          <t>USD</t>
        </is>
      </c>
      <c r="D120" t="n">
        <v>8.4</v>
      </c>
      <c r="E120" t="n">
        <v>8.4</v>
      </c>
      <c r="F120" t="n">
        <v>88.95</v>
      </c>
      <c r="G120" t="n">
        <v>747</v>
      </c>
    </row>
    <row r="121">
      <c r="A121" s="2" t="n">
        <v>46001</v>
      </c>
      <c r="B121" t="inlineStr">
        <is>
          <t>LLY(US5324571083) Cash Dividend USD 1.50 per Share (Ordinary Dividend)</t>
        </is>
      </c>
      <c r="C121" t="inlineStr">
        <is>
          <t>USD</t>
        </is>
      </c>
      <c r="D121" t="n">
        <v>5.25</v>
      </c>
      <c r="E121" t="n">
        <v>5.25</v>
      </c>
      <c r="F121" t="n">
        <v>88.95</v>
      </c>
      <c r="G121" t="n">
        <v>467</v>
      </c>
    </row>
    <row r="122">
      <c r="A122" s="2" t="n">
        <v>46010</v>
      </c>
      <c r="B122" t="inlineStr">
        <is>
          <t>AAXJ(US4642881829) Cash Dividend USD 1.12455 per Share (Ordinary Dividend)</t>
        </is>
      </c>
      <c r="C122" t="inlineStr">
        <is>
          <t>USD</t>
        </is>
      </c>
      <c r="D122" t="n">
        <v>4.5</v>
      </c>
      <c r="E122" t="n">
        <v>4.5</v>
      </c>
      <c r="F122" t="n">
        <v>88.95</v>
      </c>
      <c r="G122" t="n">
        <v>400</v>
      </c>
    </row>
    <row r="123">
      <c r="A123" s="2" t="n">
        <v>46010</v>
      </c>
      <c r="B123" t="inlineStr">
        <is>
          <t>AAXJ(US4642881829) Payment in Lieu of Dividend (Ordinary Dividend)</t>
        </is>
      </c>
      <c r="C123" t="inlineStr">
        <is>
          <t>USD</t>
        </is>
      </c>
      <c r="D123" t="n">
        <v>4.5</v>
      </c>
      <c r="E123" t="n">
        <v>4.5</v>
      </c>
      <c r="F123" t="n">
        <v>88.95</v>
      </c>
      <c r="G123" t="n">
        <v>400</v>
      </c>
    </row>
    <row r="124">
      <c r="A124" s="2" t="n">
        <v>46010</v>
      </c>
      <c r="B124" t="inlineStr">
        <is>
          <t>ICLN(US4642882249) Cash Dividend USD 0.128205 per Share (Ordinary Dividend)</t>
        </is>
      </c>
      <c r="C124" t="inlineStr">
        <is>
          <t>USD</t>
        </is>
      </c>
      <c r="D124" t="n">
        <v>6.41</v>
      </c>
      <c r="E124" t="n">
        <v>6.41</v>
      </c>
      <c r="F124" t="n">
        <v>88.95</v>
      </c>
      <c r="G124" t="n">
        <v>570</v>
      </c>
    </row>
    <row r="125">
      <c r="A125" s="2" t="n">
        <v>46010</v>
      </c>
      <c r="B125" t="inlineStr">
        <is>
          <t>IWR(US4642874998) Cash Dividend USD 0.393709 per Share (Ordinary Dividend)</t>
        </is>
      </c>
      <c r="C125" t="inlineStr">
        <is>
          <t>USD</t>
        </is>
      </c>
      <c r="D125" t="n">
        <v>3.94</v>
      </c>
      <c r="E125" t="n">
        <v>3.94</v>
      </c>
      <c r="F125" t="n">
        <v>88.95</v>
      </c>
      <c r="G125" t="n">
        <v>350</v>
      </c>
    </row>
    <row r="126">
      <c r="A126" s="2" t="n">
        <v>46014</v>
      </c>
      <c r="B126" t="inlineStr">
        <is>
          <t>META(US30303M1027) Cash Dividend USD 0.525 per Share (Ordinary Dividend)</t>
        </is>
      </c>
      <c r="C126" t="inlineStr">
        <is>
          <t>USD</t>
        </is>
      </c>
      <c r="D126" t="n">
        <v>1.05</v>
      </c>
      <c r="E126" t="n">
        <v>1.05</v>
      </c>
      <c r="F126" t="n">
        <v>88.95</v>
      </c>
      <c r="G126" t="n">
        <v>93</v>
      </c>
    </row>
    <row r="127">
      <c r="A127" s="2" t="n">
        <v>46014</v>
      </c>
      <c r="B127" t="inlineStr">
        <is>
          <t>VT(US9220427424) Cash Dividend USD 1.1152 per Share (Ordinary Dividend)</t>
        </is>
      </c>
      <c r="C127" t="inlineStr">
        <is>
          <t>USD</t>
        </is>
      </c>
      <c r="D127" t="n">
        <v>10.04</v>
      </c>
      <c r="E127" t="n">
        <v>10.04</v>
      </c>
      <c r="F127" t="n">
        <v>88.95</v>
      </c>
      <c r="G127" t="n">
        <v>893</v>
      </c>
    </row>
    <row r="128">
      <c r="A128" s="2" t="n">
        <v>46015</v>
      </c>
      <c r="B128" t="inlineStr">
        <is>
          <t>TIP(US4642871762) Cash Dividend USD 0.341961 per Share (Ordinary Dividend)</t>
        </is>
      </c>
      <c r="C128" t="inlineStr">
        <is>
          <t>USD</t>
        </is>
      </c>
      <c r="D128" t="n">
        <v>20.52</v>
      </c>
      <c r="E128" t="n">
        <v>20.52</v>
      </c>
      <c r="F128" t="n">
        <v>88.95</v>
      </c>
      <c r="G128" t="n">
        <v>1825</v>
      </c>
    </row>
    <row r="129">
      <c r="A129" s="2" t="n">
        <v>46015</v>
      </c>
      <c r="B129" t="inlineStr">
        <is>
          <t>VTV(US9229087443) Cash Dividend USD 0.9862 per Share (Ordinary Dividend)</t>
        </is>
      </c>
      <c r="C129" t="inlineStr">
        <is>
          <t>USD</t>
        </is>
      </c>
      <c r="D129" t="n">
        <v>5.92</v>
      </c>
      <c r="E129" t="n">
        <v>5.92</v>
      </c>
      <c r="F129" t="n">
        <v>88.95</v>
      </c>
      <c r="G129" t="n">
        <v>527</v>
      </c>
    </row>
    <row r="130">
      <c r="A130" s="2" t="n">
        <v>46022</v>
      </c>
      <c r="B130" t="inlineStr">
        <is>
          <t>QQQ(US46090E1038) Cash Dividend USD 0.79408 per Share (Ordinary Dividend)</t>
        </is>
      </c>
      <c r="C130" t="inlineStr">
        <is>
          <t>USD</t>
        </is>
      </c>
      <c r="D130" t="n">
        <v>1.59</v>
      </c>
      <c r="E130" t="n">
        <v>1.59</v>
      </c>
      <c r="F130" t="n">
        <v>88.95</v>
      </c>
      <c r="G130" t="n">
        <v>141</v>
      </c>
    </row>
    <row r="131">
      <c r="B131" t="inlineStr">
        <is>
          <t>TOTAL DIVIDENDS</t>
        </is>
      </c>
      <c r="E131" t="n">
        <v>1157.41</v>
      </c>
      <c r="G131" t="n">
        <v>100191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45750</v>
      </c>
      <c r="B4" t="inlineStr">
        <is>
          <t>USD Credit Interest for Mar-2025</t>
        </is>
      </c>
      <c r="C4" t="inlineStr">
        <is>
          <t>USD</t>
        </is>
      </c>
      <c r="D4" t="n">
        <v>15.35</v>
      </c>
      <c r="E4" t="n">
        <v>15.35</v>
      </c>
      <c r="F4" t="n">
        <v>85.09999999999999</v>
      </c>
      <c r="G4" t="n">
        <v>1306</v>
      </c>
    </row>
    <row r="5">
      <c r="A5" s="2" t="n">
        <v>45750</v>
      </c>
      <c r="B5" t="inlineStr">
        <is>
          <t>USD IBKR Managed Securities (SYEP) Interest for Mar-2025</t>
        </is>
      </c>
      <c r="C5" t="inlineStr">
        <is>
          <t>USD</t>
        </is>
      </c>
      <c r="D5" t="n">
        <v>1.14</v>
      </c>
      <c r="E5" t="n">
        <v>1.14</v>
      </c>
      <c r="F5" t="n">
        <v>85.09999999999999</v>
      </c>
      <c r="G5" t="n">
        <v>97</v>
      </c>
    </row>
    <row r="6">
      <c r="A6" s="2" t="n">
        <v>45782</v>
      </c>
      <c r="B6" t="inlineStr">
        <is>
          <t>USD Credit Interest for Apr-2025</t>
        </is>
      </c>
      <c r="C6" t="inlineStr">
        <is>
          <t>USD</t>
        </is>
      </c>
      <c r="D6" t="n">
        <v>4.94</v>
      </c>
      <c r="E6" t="n">
        <v>4.94</v>
      </c>
      <c r="F6" t="n">
        <v>84.25</v>
      </c>
      <c r="G6" t="n">
        <v>416</v>
      </c>
    </row>
    <row r="7">
      <c r="A7" s="2" t="n">
        <v>45782</v>
      </c>
      <c r="B7" t="inlineStr">
        <is>
          <t>USD IBKR Managed Securities (SYEP) Interest for Apr-2025</t>
        </is>
      </c>
      <c r="C7" t="inlineStr">
        <is>
          <t>USD</t>
        </is>
      </c>
      <c r="D7" t="n">
        <v>0.23</v>
      </c>
      <c r="E7" t="n">
        <v>0.23</v>
      </c>
      <c r="F7" t="n">
        <v>84.25</v>
      </c>
      <c r="G7" t="n">
        <v>19</v>
      </c>
    </row>
    <row r="8">
      <c r="A8" s="2" t="n">
        <v>45812</v>
      </c>
      <c r="B8" t="inlineStr">
        <is>
          <t>USD IBKR Managed Securities (SYEP) Interest for May-2025</t>
        </is>
      </c>
      <c r="C8" t="inlineStr">
        <is>
          <t>USD</t>
        </is>
      </c>
      <c r="D8" t="n">
        <v>0.96</v>
      </c>
      <c r="E8" t="n">
        <v>0.96</v>
      </c>
      <c r="F8" t="n">
        <v>85.09999999999999</v>
      </c>
      <c r="G8" t="n">
        <v>82</v>
      </c>
    </row>
    <row r="9">
      <c r="A9" s="2" t="n">
        <v>45841</v>
      </c>
      <c r="B9" t="inlineStr">
        <is>
          <t>USD IBKR Managed Securities (SYEP) Interest for Jun-2025</t>
        </is>
      </c>
      <c r="C9" t="inlineStr">
        <is>
          <t>USD</t>
        </is>
      </c>
      <c r="D9" t="n">
        <v>0.63</v>
      </c>
      <c r="E9" t="n">
        <v>0.63</v>
      </c>
      <c r="F9" t="n">
        <v>85.09999999999999</v>
      </c>
      <c r="G9" t="n">
        <v>54</v>
      </c>
    </row>
    <row r="10">
      <c r="A10" s="2" t="n">
        <v>45874</v>
      </c>
      <c r="B10" t="inlineStr">
        <is>
          <t>EUR IBKR Managed Securities (SYEP) Interest for Jul-2025</t>
        </is>
      </c>
      <c r="C10" t="inlineStr">
        <is>
          <t>EUR</t>
        </is>
      </c>
      <c r="D10" t="n">
        <v>0.01</v>
      </c>
      <c r="E10" t="n">
        <v>0.0117</v>
      </c>
      <c r="F10" t="n">
        <v>87.15000000000001</v>
      </c>
      <c r="G10" t="n">
        <v>1</v>
      </c>
    </row>
    <row r="11">
      <c r="A11" s="2" t="n">
        <v>45874</v>
      </c>
      <c r="B11" t="inlineStr">
        <is>
          <t>USD Credit Interest for Jul-2025</t>
        </is>
      </c>
      <c r="C11" t="inlineStr">
        <is>
          <t>USD</t>
        </is>
      </c>
      <c r="D11" t="n">
        <v>25.84</v>
      </c>
      <c r="E11" t="n">
        <v>25.84</v>
      </c>
      <c r="F11" t="n">
        <v>87.15000000000001</v>
      </c>
      <c r="G11" t="n">
        <v>2252</v>
      </c>
    </row>
    <row r="12">
      <c r="A12" s="2" t="n">
        <v>45874</v>
      </c>
      <c r="B12" t="inlineStr">
        <is>
          <t>USD IBKR Managed Securities (SYEP) Interest for Jul-2025</t>
        </is>
      </c>
      <c r="C12" t="inlineStr">
        <is>
          <t>USD</t>
        </is>
      </c>
      <c r="D12" t="n">
        <v>0.53</v>
      </c>
      <c r="E12" t="n">
        <v>0.53</v>
      </c>
      <c r="F12" t="n">
        <v>87.15000000000001</v>
      </c>
      <c r="G12" t="n">
        <v>46</v>
      </c>
    </row>
    <row r="13">
      <c r="A13" s="2" t="n">
        <v>45904</v>
      </c>
      <c r="B13" t="inlineStr">
        <is>
          <t>HKD IBKR Managed Securities (SYEP) Interest for Aug-2025</t>
        </is>
      </c>
      <c r="C13" t="inlineStr">
        <is>
          <t>HKD</t>
        </is>
      </c>
      <c r="D13" t="n">
        <v>2.04</v>
      </c>
      <c r="E13" t="n">
        <v>0.2621</v>
      </c>
      <c r="F13" t="n">
        <v>87.7</v>
      </c>
      <c r="G13" t="n">
        <v>23</v>
      </c>
    </row>
    <row r="14">
      <c r="A14" s="2" t="n">
        <v>45904</v>
      </c>
      <c r="B14" t="inlineStr">
        <is>
          <t>JPY IBKR Managed Securities (SYEP) Interest for Aug-2025</t>
        </is>
      </c>
      <c r="C14" t="inlineStr">
        <is>
          <t>JPY</t>
        </is>
      </c>
      <c r="D14" t="n">
        <v>3</v>
      </c>
      <c r="E14" t="n">
        <v>0.0191</v>
      </c>
      <c r="F14" t="n">
        <v>87.7</v>
      </c>
      <c r="G14" t="n">
        <v>2</v>
      </c>
    </row>
    <row r="15">
      <c r="A15" s="2" t="n">
        <v>45904</v>
      </c>
      <c r="B15" t="inlineStr">
        <is>
          <t>USD Credit Interest for Aug-2025</t>
        </is>
      </c>
      <c r="C15" t="inlineStr">
        <is>
          <t>USD</t>
        </is>
      </c>
      <c r="D15" t="n">
        <v>68.98</v>
      </c>
      <c r="E15" t="n">
        <v>68.98</v>
      </c>
      <c r="F15" t="n">
        <v>87.7</v>
      </c>
      <c r="G15" t="n">
        <v>6050</v>
      </c>
    </row>
    <row r="16">
      <c r="A16" s="2" t="n">
        <v>45904</v>
      </c>
      <c r="B16" t="inlineStr">
        <is>
          <t>USD IBKR Managed Securities (SYEP) Interest for Aug-2025</t>
        </is>
      </c>
      <c r="C16" t="inlineStr">
        <is>
          <t>USD</t>
        </is>
      </c>
      <c r="D16" t="n">
        <v>7.25</v>
      </c>
      <c r="E16" t="n">
        <v>7.25</v>
      </c>
      <c r="F16" t="n">
        <v>87.7</v>
      </c>
      <c r="G16" t="n">
        <v>636</v>
      </c>
    </row>
    <row r="17">
      <c r="A17" s="2" t="n">
        <v>45933</v>
      </c>
      <c r="B17" t="inlineStr">
        <is>
          <t>HKD IBKR Managed Securities (SYEP) Interest for Sep-2025</t>
        </is>
      </c>
      <c r="C17" t="inlineStr">
        <is>
          <t>HKD</t>
        </is>
      </c>
      <c r="D17" t="n">
        <v>11.94</v>
      </c>
      <c r="E17" t="n">
        <v>1.5342</v>
      </c>
      <c r="F17" t="n">
        <v>88.34999999999999</v>
      </c>
      <c r="G17" t="n">
        <v>136</v>
      </c>
    </row>
    <row r="18">
      <c r="A18" s="2" t="n">
        <v>45933</v>
      </c>
      <c r="B18" t="inlineStr">
        <is>
          <t>JPY IBKR Managed Securities (SYEP) Interest for Sep-2025</t>
        </is>
      </c>
      <c r="C18" t="inlineStr">
        <is>
          <t>JPY</t>
        </is>
      </c>
      <c r="D18" t="n">
        <v>13</v>
      </c>
      <c r="E18" t="n">
        <v>0.083</v>
      </c>
      <c r="F18" t="n">
        <v>88.34999999999999</v>
      </c>
      <c r="G18" t="n">
        <v>7</v>
      </c>
    </row>
    <row r="19">
      <c r="A19" s="2" t="n">
        <v>45933</v>
      </c>
      <c r="B19" t="inlineStr">
        <is>
          <t>USD Credit Interest for Sep-2025</t>
        </is>
      </c>
      <c r="C19" t="inlineStr">
        <is>
          <t>USD</t>
        </is>
      </c>
      <c r="D19" t="n">
        <v>9.74</v>
      </c>
      <c r="E19" t="n">
        <v>9.74</v>
      </c>
      <c r="F19" t="n">
        <v>88.34999999999999</v>
      </c>
      <c r="G19" t="n">
        <v>861</v>
      </c>
    </row>
    <row r="20">
      <c r="A20" s="2" t="n">
        <v>45933</v>
      </c>
      <c r="B20" t="inlineStr">
        <is>
          <t>USD IBKR Managed Securities (SYEP) Interest for Sep-2025</t>
        </is>
      </c>
      <c r="C20" t="inlineStr">
        <is>
          <t>USD</t>
        </is>
      </c>
      <c r="D20" t="n">
        <v>1.09</v>
      </c>
      <c r="E20" t="n">
        <v>1.09</v>
      </c>
      <c r="F20" t="n">
        <v>88.34999999999999</v>
      </c>
      <c r="G20" t="n">
        <v>96</v>
      </c>
    </row>
    <row r="21">
      <c r="A21" s="2" t="n">
        <v>45966</v>
      </c>
      <c r="B21" t="inlineStr">
        <is>
          <t>HKD IBKR Managed Securities (SYEP) Interest for Oct-2025</t>
        </is>
      </c>
      <c r="C21" t="inlineStr">
        <is>
          <t>HKD</t>
        </is>
      </c>
      <c r="D21" t="n">
        <v>7.23</v>
      </c>
      <c r="E21" t="n">
        <v>0.929</v>
      </c>
      <c r="F21" t="n">
        <v>88.2</v>
      </c>
      <c r="G21" t="n">
        <v>82</v>
      </c>
    </row>
    <row r="22">
      <c r="A22" s="2" t="n">
        <v>45966</v>
      </c>
      <c r="B22" t="inlineStr">
        <is>
          <t>USD Credit Interest for Oct-2025</t>
        </is>
      </c>
      <c r="C22" t="inlineStr">
        <is>
          <t>USD</t>
        </is>
      </c>
      <c r="D22" t="n">
        <v>0.76</v>
      </c>
      <c r="E22" t="n">
        <v>0.76</v>
      </c>
      <c r="F22" t="n">
        <v>88.2</v>
      </c>
      <c r="G22" t="n">
        <v>67</v>
      </c>
    </row>
    <row r="23">
      <c r="A23" s="2" t="n">
        <v>45966</v>
      </c>
      <c r="B23" t="inlineStr">
        <is>
          <t>USD IBKR Managed Securities (SYEP) Interest for Oct-2025</t>
        </is>
      </c>
      <c r="C23" t="inlineStr">
        <is>
          <t>USD</t>
        </is>
      </c>
      <c r="D23" t="n">
        <v>2.92</v>
      </c>
      <c r="E23" t="n">
        <v>2.92</v>
      </c>
      <c r="F23" t="n">
        <v>88.2</v>
      </c>
      <c r="G23" t="n">
        <v>258</v>
      </c>
    </row>
    <row r="24">
      <c r="A24" s="2" t="n">
        <v>45994</v>
      </c>
      <c r="B24" t="inlineStr">
        <is>
          <t>HKD IBKR Managed Securities (SYEP) Interest for Nov-2025</t>
        </is>
      </c>
      <c r="C24" t="inlineStr">
        <is>
          <t>HKD</t>
        </is>
      </c>
      <c r="D24" t="n">
        <v>13.95</v>
      </c>
      <c r="E24" t="n">
        <v>1.7924</v>
      </c>
      <c r="F24" t="n">
        <v>88.95</v>
      </c>
      <c r="G24" t="n">
        <v>159</v>
      </c>
    </row>
    <row r="25">
      <c r="A25" s="2" t="n">
        <v>45994</v>
      </c>
      <c r="B25" t="inlineStr">
        <is>
          <t>JPY IBKR Managed Securities (SYEP) Interest for Nov-2025</t>
        </is>
      </c>
      <c r="C25" t="inlineStr">
        <is>
          <t>JPY</t>
        </is>
      </c>
      <c r="D25" t="n">
        <v>2</v>
      </c>
      <c r="E25" t="n">
        <v>0.0128</v>
      </c>
      <c r="F25" t="n">
        <v>88.95</v>
      </c>
      <c r="G25" t="n">
        <v>1</v>
      </c>
    </row>
    <row r="26">
      <c r="A26" s="2" t="n">
        <v>45994</v>
      </c>
      <c r="B26" t="inlineStr">
        <is>
          <t>USD Credit Interest for Nov-2025</t>
        </is>
      </c>
      <c r="C26" t="inlineStr">
        <is>
          <t>USD</t>
        </is>
      </c>
      <c r="D26" t="n">
        <v>1.91</v>
      </c>
      <c r="E26" t="n">
        <v>1.91</v>
      </c>
      <c r="F26" t="n">
        <v>88.95</v>
      </c>
      <c r="G26" t="n">
        <v>170</v>
      </c>
    </row>
    <row r="27">
      <c r="A27" s="2" t="n">
        <v>45994</v>
      </c>
      <c r="B27" t="inlineStr">
        <is>
          <t>USD IBKR Managed Securities (SYEP) Interest for Nov-2025</t>
        </is>
      </c>
      <c r="C27" t="inlineStr">
        <is>
          <t>USD</t>
        </is>
      </c>
      <c r="D27" t="n">
        <v>3.87</v>
      </c>
      <c r="E27" t="n">
        <v>3.87</v>
      </c>
      <c r="F27" t="n">
        <v>88.95</v>
      </c>
      <c r="G27" t="n">
        <v>344</v>
      </c>
    </row>
    <row r="28">
      <c r="A28" s="2" t="n">
        <v>46028</v>
      </c>
      <c r="B28" t="inlineStr">
        <is>
          <t>HKD IBKR Managed Securities (SYEP) for Dec-2025</t>
        </is>
      </c>
      <c r="C28" t="inlineStr">
        <is>
          <t>HKD</t>
        </is>
      </c>
      <c r="D28" t="n">
        <v>14.81</v>
      </c>
      <c r="E28" t="n">
        <v>1.9029</v>
      </c>
      <c r="F28" t="n">
        <v>89.47</v>
      </c>
      <c r="G28" t="n">
        <v>170</v>
      </c>
    </row>
    <row r="29">
      <c r="A29" s="2" t="n">
        <v>46028</v>
      </c>
      <c r="B29" t="inlineStr">
        <is>
          <t>JPY IBKR Managed Securities (SYEP) for Dec-2025</t>
        </is>
      </c>
      <c r="C29" t="inlineStr">
        <is>
          <t>JPY</t>
        </is>
      </c>
      <c r="D29" t="n">
        <v>6</v>
      </c>
      <c r="E29" t="n">
        <v>0.0383</v>
      </c>
      <c r="F29" t="n">
        <v>89.47</v>
      </c>
      <c r="G29" t="n">
        <v>3</v>
      </c>
    </row>
    <row r="30">
      <c r="A30" s="2" t="n">
        <v>46028</v>
      </c>
      <c r="B30" t="inlineStr">
        <is>
          <t>USD Credit Interest for Dec-2025</t>
        </is>
      </c>
      <c r="C30" t="inlineStr">
        <is>
          <t>USD</t>
        </is>
      </c>
      <c r="D30" t="n">
        <v>5.37</v>
      </c>
      <c r="E30" t="n">
        <v>5.37</v>
      </c>
      <c r="F30" t="n">
        <v>89.47</v>
      </c>
      <c r="G30" t="n">
        <v>480</v>
      </c>
    </row>
    <row r="31">
      <c r="A31" s="2" t="n">
        <v>46028</v>
      </c>
      <c r="B31" t="inlineStr">
        <is>
          <t>USD IBKR Managed Securities (SYEP) for Dec-2025</t>
        </is>
      </c>
      <c r="C31" t="inlineStr">
        <is>
          <t>USD</t>
        </is>
      </c>
      <c r="D31" t="n">
        <v>1.3</v>
      </c>
      <c r="E31" t="n">
        <v>1.3</v>
      </c>
      <c r="F31" t="n">
        <v>89.47</v>
      </c>
      <c r="G31" t="n">
        <v>116</v>
      </c>
    </row>
    <row r="32">
      <c r="A32" s="2" t="n">
        <v>46057</v>
      </c>
      <c r="B32" t="inlineStr">
        <is>
          <t>HKD IBKR Managed Securities (SYEP) for Jan-2026</t>
        </is>
      </c>
      <c r="C32" t="inlineStr">
        <is>
          <t>HKD</t>
        </is>
      </c>
      <c r="D32" t="n">
        <v>15.45</v>
      </c>
      <c r="E32" t="n">
        <v>1.9852</v>
      </c>
      <c r="F32" t="n">
        <v>91.34999999999999</v>
      </c>
      <c r="G32" t="n">
        <v>181</v>
      </c>
    </row>
    <row r="33">
      <c r="A33" s="2" t="n">
        <v>46057</v>
      </c>
      <c r="B33" t="inlineStr">
        <is>
          <t>USD Credit Interest for Jan-2026</t>
        </is>
      </c>
      <c r="C33" t="inlineStr">
        <is>
          <t>USD</t>
        </is>
      </c>
      <c r="D33" t="n">
        <v>0.99</v>
      </c>
      <c r="E33" t="n">
        <v>0.99</v>
      </c>
      <c r="F33" t="n">
        <v>91.34999999999999</v>
      </c>
      <c r="G33" t="n">
        <v>90</v>
      </c>
    </row>
    <row r="34">
      <c r="A34" s="2" t="n">
        <v>46057</v>
      </c>
      <c r="B34" t="inlineStr">
        <is>
          <t>USD IBKR Managed Securities (SYEP) for Jan-2026</t>
        </is>
      </c>
      <c r="C34" t="inlineStr">
        <is>
          <t>USD</t>
        </is>
      </c>
      <c r="D34" t="n">
        <v>1.19</v>
      </c>
      <c r="E34" t="n">
        <v>1.19</v>
      </c>
      <c r="F34" t="n">
        <v>91.34999999999999</v>
      </c>
      <c r="G34" t="n">
        <v>109</v>
      </c>
    </row>
    <row r="35">
      <c r="A35" s="2" t="n">
        <v>46085</v>
      </c>
      <c r="B35" t="inlineStr">
        <is>
          <t>HKD IBKR Managed Securities (SYEP) for Feb-2026</t>
        </is>
      </c>
      <c r="C35" t="inlineStr">
        <is>
          <t>HKD</t>
        </is>
      </c>
      <c r="D35" t="n">
        <v>7.75</v>
      </c>
      <c r="E35" t="n">
        <v>0.9958</v>
      </c>
      <c r="F35" t="n">
        <v>90.56</v>
      </c>
      <c r="G35" t="n">
        <v>90</v>
      </c>
    </row>
    <row r="36">
      <c r="A36" s="2" t="n">
        <v>46085</v>
      </c>
      <c r="B36" t="inlineStr">
        <is>
          <t>USD Debit Interest for Feb-2026</t>
        </is>
      </c>
      <c r="C36" t="inlineStr">
        <is>
          <t>USD</t>
        </is>
      </c>
      <c r="D36" t="n">
        <v>-0.02</v>
      </c>
      <c r="E36" t="n">
        <v>-0.02</v>
      </c>
      <c r="F36" t="n">
        <v>90.56</v>
      </c>
      <c r="G36" t="n">
        <v>-2</v>
      </c>
    </row>
    <row r="37">
      <c r="A37" s="2" t="n">
        <v>46085</v>
      </c>
      <c r="B37" t="inlineStr">
        <is>
          <t>USD IBKR Managed Securities (SYEP) for Feb-2026</t>
        </is>
      </c>
      <c r="C37" t="inlineStr">
        <is>
          <t>USD</t>
        </is>
      </c>
      <c r="D37" t="n">
        <v>1.27</v>
      </c>
      <c r="E37" t="n">
        <v>1.27</v>
      </c>
      <c r="F37" t="n">
        <v>90.56</v>
      </c>
      <c r="G37" t="n">
        <v>115</v>
      </c>
    </row>
    <row r="38">
      <c r="B38" t="inlineStr">
        <is>
          <t>TOTAL INTEREST</t>
        </is>
      </c>
      <c r="E38" t="n">
        <v>165.81</v>
      </c>
      <c r="G38" t="n">
        <v>14519</v>
      </c>
    </row>
    <row r="39"/>
    <row r="40">
      <c r="A40" t="inlineStr">
        <is>
          <t>— DIVIDENDS —</t>
        </is>
      </c>
    </row>
    <row r="41">
      <c r="A41" s="2" t="n">
        <v>45748</v>
      </c>
      <c r="B41" t="inlineStr">
        <is>
          <t>NOV(DK0062498333) Cash Dividend DKK 7.90 per Share (Ordinary Dividend)</t>
        </is>
      </c>
      <c r="C41" t="inlineStr">
        <is>
          <t>DKK</t>
        </is>
      </c>
      <c r="D41" t="n">
        <v>237</v>
      </c>
      <c r="E41" t="n">
        <v>37.2706</v>
      </c>
      <c r="F41" t="n">
        <v>85.09999999999999</v>
      </c>
      <c r="G41" t="n">
        <v>3172</v>
      </c>
    </row>
    <row r="42">
      <c r="A42" s="2" t="n">
        <v>45749</v>
      </c>
      <c r="B42" t="inlineStr">
        <is>
          <t>NVDA(US67066G1040) Cash Dividend USD 0.01 per Share (Ordinary Dividend)</t>
        </is>
      </c>
      <c r="C42" t="inlineStr">
        <is>
          <t>USD</t>
        </is>
      </c>
      <c r="D42" t="n">
        <v>0.04</v>
      </c>
      <c r="E42" t="n">
        <v>0.04</v>
      </c>
      <c r="F42" t="n">
        <v>85.09999999999999</v>
      </c>
      <c r="G42" t="n">
        <v>3</v>
      </c>
    </row>
    <row r="43">
      <c r="A43" s="2" t="n">
        <v>45751</v>
      </c>
      <c r="B43" t="inlineStr">
        <is>
          <t>TIP(US4642871762) Cash Dividend USD 0.70918 per Share (Ordinary Dividend)</t>
        </is>
      </c>
      <c r="C43" t="inlineStr">
        <is>
          <t>USD</t>
        </is>
      </c>
      <c r="D43" t="n">
        <v>42.55</v>
      </c>
      <c r="E43" t="n">
        <v>42.55</v>
      </c>
      <c r="F43" t="n">
        <v>85.09999999999999</v>
      </c>
      <c r="G43" t="n">
        <v>3621</v>
      </c>
    </row>
    <row r="44">
      <c r="A44" s="2" t="n">
        <v>45756</v>
      </c>
      <c r="B44" t="inlineStr">
        <is>
          <t>LRCX(US5128073062) Cash Dividend USD 0.23 per Share (Ordinary Dividend)</t>
        </is>
      </c>
      <c r="C44" t="inlineStr">
        <is>
          <t>USD</t>
        </is>
      </c>
      <c r="D44" t="n">
        <v>2.3</v>
      </c>
      <c r="E44" t="n">
        <v>2.3</v>
      </c>
      <c r="F44" t="n">
        <v>85.09999999999999</v>
      </c>
      <c r="G44" t="n">
        <v>196</v>
      </c>
    </row>
    <row r="45">
      <c r="A45" s="2" t="n">
        <v>45757</v>
      </c>
      <c r="B45" t="inlineStr">
        <is>
          <t>TSM(US8740391003) Cash Dividend USD 0.677693 per Share (Ordinary Div - NRA Withholding Exempt)</t>
        </is>
      </c>
      <c r="C45" t="inlineStr">
        <is>
          <t>USD</t>
        </is>
      </c>
      <c r="D45" t="n">
        <v>4.06</v>
      </c>
      <c r="E45" t="n">
        <v>4.06</v>
      </c>
      <c r="F45" t="n">
        <v>85.09999999999999</v>
      </c>
      <c r="G45" t="n">
        <v>346</v>
      </c>
    </row>
    <row r="46">
      <c r="A46" s="2" t="n">
        <v>45764</v>
      </c>
      <c r="B46" t="inlineStr">
        <is>
          <t>RIO(US7672041008) Cash Dividend USD 2.25 per Share (Ordinary Dividend)</t>
        </is>
      </c>
      <c r="C46" t="inlineStr">
        <is>
          <t>USD</t>
        </is>
      </c>
      <c r="D46" t="n">
        <v>20.25</v>
      </c>
      <c r="E46" t="n">
        <v>20.25</v>
      </c>
      <c r="F46" t="n">
        <v>85.09999999999999</v>
      </c>
      <c r="G46" t="n">
        <v>1723</v>
      </c>
    </row>
    <row r="47">
      <c r="A47" s="2" t="n">
        <v>45771</v>
      </c>
      <c r="B47" t="inlineStr">
        <is>
          <t>AIR(NL0000235190) Cash Dividend EUR 1.00 per Share (Bonus Dividend)</t>
        </is>
      </c>
      <c r="C47" t="inlineStr">
        <is>
          <t>EUR</t>
        </is>
      </c>
      <c r="D47" t="n">
        <v>10</v>
      </c>
      <c r="E47" t="n">
        <v>11.746</v>
      </c>
      <c r="F47" t="n">
        <v>85.09999999999999</v>
      </c>
      <c r="G47" t="n">
        <v>1000</v>
      </c>
    </row>
    <row r="48">
      <c r="A48" s="2" t="n">
        <v>45771</v>
      </c>
      <c r="B48" t="inlineStr">
        <is>
          <t>AIR(NL0000235190) Cash Dividend EUR 2.00 per Share (Ordinary Dividend)</t>
        </is>
      </c>
      <c r="C48" t="inlineStr">
        <is>
          <t>EUR</t>
        </is>
      </c>
      <c r="D48" t="n">
        <v>20</v>
      </c>
      <c r="E48" t="n">
        <v>23.492</v>
      </c>
      <c r="F48" t="n">
        <v>85.09999999999999</v>
      </c>
      <c r="G48" t="n">
        <v>1999</v>
      </c>
    </row>
    <row r="49">
      <c r="A49" s="2" t="n">
        <v>45772</v>
      </c>
      <c r="B49" t="inlineStr">
        <is>
          <t>GE(US3696043013) Cash Dividend USD 0.36 per Share (Ordinary Dividend)</t>
        </is>
      </c>
      <c r="C49" t="inlineStr">
        <is>
          <t>USD</t>
        </is>
      </c>
      <c r="D49" t="n">
        <v>1.08</v>
      </c>
      <c r="E49" t="n">
        <v>1.08</v>
      </c>
      <c r="F49" t="n">
        <v>85.09999999999999</v>
      </c>
      <c r="G49" t="n">
        <v>92</v>
      </c>
    </row>
    <row r="50">
      <c r="A50" s="2" t="n">
        <v>45772</v>
      </c>
      <c r="B50" t="inlineStr">
        <is>
          <t>HYU(USY384721251) Cash Dividend USD 2.125058 per Share (Ordinary Dividend)</t>
        </is>
      </c>
      <c r="C50" t="inlineStr">
        <is>
          <t>USD</t>
        </is>
      </c>
      <c r="D50" t="n">
        <v>51</v>
      </c>
      <c r="E50" t="n">
        <v>51</v>
      </c>
      <c r="F50" t="n">
        <v>85.09999999999999</v>
      </c>
      <c r="G50" t="n">
        <v>4340</v>
      </c>
    </row>
    <row r="51">
      <c r="A51" s="2" t="n">
        <v>45782</v>
      </c>
      <c r="B51" t="inlineStr">
        <is>
          <t>BX(US09260D1072) Cash Dividend USD 0.93 per Share (Ordinary Dividend)</t>
        </is>
      </c>
      <c r="C51" t="inlineStr">
        <is>
          <t>USD</t>
        </is>
      </c>
      <c r="D51" t="n">
        <v>11.16</v>
      </c>
      <c r="E51" t="n">
        <v>11.16</v>
      </c>
      <c r="F51" t="n">
        <v>84.25</v>
      </c>
      <c r="G51" t="n">
        <v>940</v>
      </c>
    </row>
    <row r="52">
      <c r="A52" s="2" t="n">
        <v>45783</v>
      </c>
      <c r="B52" t="inlineStr">
        <is>
          <t>ASML(USN070592100) Cash Dividend USD 2.090608 per Share (Ordinary Dividend)</t>
        </is>
      </c>
      <c r="C52" t="inlineStr">
        <is>
          <t>USD</t>
        </is>
      </c>
      <c r="D52" t="n">
        <v>12.54</v>
      </c>
      <c r="E52" t="n">
        <v>12.54</v>
      </c>
      <c r="F52" t="n">
        <v>84.25</v>
      </c>
      <c r="G52" t="n">
        <v>1056</v>
      </c>
    </row>
    <row r="53">
      <c r="A53" s="2" t="n">
        <v>45783</v>
      </c>
      <c r="B53" t="inlineStr">
        <is>
          <t>TIP(US4642871762) Cash Dividend USD 0.534953 per Share (Ordinary Dividend)</t>
        </is>
      </c>
      <c r="C53" t="inlineStr">
        <is>
          <t>USD</t>
        </is>
      </c>
      <c r="D53" t="n">
        <v>32.1</v>
      </c>
      <c r="E53" t="n">
        <v>32.1</v>
      </c>
      <c r="F53" t="n">
        <v>84.25</v>
      </c>
      <c r="G53" t="n">
        <v>2704</v>
      </c>
    </row>
    <row r="54">
      <c r="A54" s="2" t="n">
        <v>45786</v>
      </c>
      <c r="B54" t="inlineStr">
        <is>
          <t>GD(US3695501086) Cash Dividend USD 1.50 per Share (Ordinary Dividend)</t>
        </is>
      </c>
      <c r="C54" t="inlineStr">
        <is>
          <t>USD</t>
        </is>
      </c>
      <c r="D54" t="n">
        <v>9</v>
      </c>
      <c r="E54" t="n">
        <v>9</v>
      </c>
      <c r="F54" t="n">
        <v>84.25</v>
      </c>
      <c r="G54" t="n">
        <v>758</v>
      </c>
    </row>
    <row r="55">
      <c r="A55" s="2" t="n">
        <v>45789</v>
      </c>
      <c r="B55" t="inlineStr">
        <is>
          <t>BTI(US1104481072) Cash Dividend USD 0.802221 per Share (Ordinary Dividend)</t>
        </is>
      </c>
      <c r="C55" t="inlineStr">
        <is>
          <t>USD</t>
        </is>
      </c>
      <c r="D55" t="n">
        <v>26.47</v>
      </c>
      <c r="E55" t="n">
        <v>26.47</v>
      </c>
      <c r="F55" t="n">
        <v>84.25</v>
      </c>
      <c r="G55" t="n">
        <v>2230</v>
      </c>
    </row>
    <row r="56">
      <c r="A56" s="2" t="n">
        <v>45797</v>
      </c>
      <c r="B56" t="inlineStr">
        <is>
          <t>CAT(US1491231015) Cash Dividend USD 1.41 per Share (Ordinary Dividend)</t>
        </is>
      </c>
      <c r="C56" t="inlineStr">
        <is>
          <t>USD</t>
        </is>
      </c>
      <c r="D56" t="n">
        <v>12.69</v>
      </c>
      <c r="E56" t="n">
        <v>12.69</v>
      </c>
      <c r="F56" t="n">
        <v>84.25</v>
      </c>
      <c r="G56" t="n">
        <v>1069</v>
      </c>
    </row>
    <row r="57">
      <c r="A57" s="2" t="n">
        <v>45810</v>
      </c>
      <c r="B57" t="inlineStr">
        <is>
          <t>TGT(US87612E1064) Cash Dividend USD 1.12 per Share (Ordinary Dividend)</t>
        </is>
      </c>
      <c r="C57" t="inlineStr">
        <is>
          <t>USD</t>
        </is>
      </c>
      <c r="D57" t="n">
        <v>29.12</v>
      </c>
      <c r="E57" t="n">
        <v>29.12</v>
      </c>
      <c r="F57" t="n">
        <v>85.09999999999999</v>
      </c>
      <c r="G57" t="n">
        <v>2478</v>
      </c>
    </row>
    <row r="58">
      <c r="A58" s="2" t="n">
        <v>45813</v>
      </c>
      <c r="B58" t="inlineStr">
        <is>
          <t>TIP(US4642871762) Cash Dividend USD 0.273105 per Share (Ordinary Dividend)</t>
        </is>
      </c>
      <c r="C58" t="inlineStr">
        <is>
          <t>USD</t>
        </is>
      </c>
      <c r="D58" t="n">
        <v>16.39</v>
      </c>
      <c r="E58" t="n">
        <v>16.39</v>
      </c>
      <c r="F58" t="n">
        <v>85.09999999999999</v>
      </c>
      <c r="G58" t="n">
        <v>1395</v>
      </c>
    </row>
    <row r="59">
      <c r="A59" s="2" t="n">
        <v>45818</v>
      </c>
      <c r="B59" t="inlineStr">
        <is>
          <t>LLY(US5324571083) Cash Dividend USD 1.50 per Share (Ordinary Dividend)</t>
        </is>
      </c>
      <c r="C59" t="inlineStr">
        <is>
          <t>USD</t>
        </is>
      </c>
      <c r="D59" t="n">
        <v>9</v>
      </c>
      <c r="E59" t="n">
        <v>9</v>
      </c>
      <c r="F59" t="n">
        <v>85.09999999999999</v>
      </c>
      <c r="G59" t="n">
        <v>766</v>
      </c>
    </row>
    <row r="60">
      <c r="A60" s="2" t="n">
        <v>45820</v>
      </c>
      <c r="B60" t="inlineStr">
        <is>
          <t>MSFT(US5949181045) Cash Dividend USD 0.83 per Share (Ordinary Dividend)</t>
        </is>
      </c>
      <c r="C60" t="inlineStr">
        <is>
          <t>USD</t>
        </is>
      </c>
      <c r="D60" t="n">
        <v>4.98</v>
      </c>
      <c r="E60" t="n">
        <v>4.98</v>
      </c>
      <c r="F60" t="n">
        <v>85.09999999999999</v>
      </c>
      <c r="G60" t="n">
        <v>424</v>
      </c>
    </row>
    <row r="61">
      <c r="A61" s="2" t="n">
        <v>45820</v>
      </c>
      <c r="B61" t="inlineStr">
        <is>
          <t>RTX(US75513E1010) Cash Dividend USD 0.68 per Share (Ordinary Dividend)</t>
        </is>
      </c>
      <c r="C61" t="inlineStr">
        <is>
          <t>USD</t>
        </is>
      </c>
      <c r="D61" t="n">
        <v>20.4</v>
      </c>
      <c r="E61" t="n">
        <v>20.4</v>
      </c>
      <c r="F61" t="n">
        <v>85.09999999999999</v>
      </c>
      <c r="G61" t="n">
        <v>1736</v>
      </c>
    </row>
    <row r="62">
      <c r="A62" s="2" t="n">
        <v>45828</v>
      </c>
      <c r="B62" t="inlineStr">
        <is>
          <t>EMXC(US46434G7640) Cash Dividend USD 0.711404 per Share (Ordinary Dividend)</t>
        </is>
      </c>
      <c r="C62" t="inlineStr">
        <is>
          <t>USD</t>
        </is>
      </c>
      <c r="D62" t="n">
        <v>6.4</v>
      </c>
      <c r="E62" t="n">
        <v>6.4</v>
      </c>
      <c r="F62" t="n">
        <v>85.09999999999999</v>
      </c>
      <c r="G62" t="n">
        <v>545</v>
      </c>
    </row>
    <row r="63">
      <c r="A63" s="2" t="n">
        <v>45828</v>
      </c>
      <c r="B63" t="inlineStr">
        <is>
          <t>MCHI(US46429B6719) Payment in Lieu of Dividend (Ordinary Dividend)</t>
        </is>
      </c>
      <c r="C63" t="inlineStr">
        <is>
          <t>USD</t>
        </is>
      </c>
      <c r="D63" t="n">
        <v>14.46</v>
      </c>
      <c r="E63" t="n">
        <v>14.46</v>
      </c>
      <c r="F63" t="n">
        <v>85.09999999999999</v>
      </c>
      <c r="G63" t="n">
        <v>1231</v>
      </c>
    </row>
    <row r="64">
      <c r="A64" s="2" t="n">
        <v>45831</v>
      </c>
      <c r="B64" t="inlineStr">
        <is>
          <t>SHELL.DVD(NL0015002HW4) Expire Dividend Right (Ordinary Dividend)</t>
        </is>
      </c>
      <c r="C64" t="inlineStr">
        <is>
          <t>EUR</t>
        </is>
      </c>
      <c r="D64" t="n">
        <v>13.17</v>
      </c>
      <c r="E64" t="n">
        <v>15.4695</v>
      </c>
      <c r="F64" t="n">
        <v>85.09999999999999</v>
      </c>
      <c r="G64" t="n">
        <v>1316</v>
      </c>
    </row>
    <row r="65">
      <c r="A65" s="2" t="n">
        <v>45832</v>
      </c>
      <c r="B65" t="inlineStr">
        <is>
          <t>4568.T(JP3475350009) Cash Dividend JPY 30 per Share (Ordinary Dividend)</t>
        </is>
      </c>
      <c r="C65" t="inlineStr">
        <is>
          <t>JPY</t>
        </is>
      </c>
      <c r="D65" t="n">
        <v>3000</v>
      </c>
      <c r="E65" t="n">
        <v>19.1481</v>
      </c>
      <c r="F65" t="n">
        <v>85.09999999999999</v>
      </c>
      <c r="G65" t="n">
        <v>1630</v>
      </c>
    </row>
    <row r="66">
      <c r="A66" s="2" t="n">
        <v>45835</v>
      </c>
      <c r="B66" t="inlineStr">
        <is>
          <t>BAC(US0605051046) Cash Dividend USD 0.26 per Share (Ordinary Dividend)</t>
        </is>
      </c>
      <c r="C66" t="inlineStr">
        <is>
          <t>USD</t>
        </is>
      </c>
      <c r="D66" t="n">
        <v>15.6</v>
      </c>
      <c r="E66" t="n">
        <v>15.6</v>
      </c>
      <c r="F66" t="n">
        <v>85.09999999999999</v>
      </c>
      <c r="G66" t="n">
        <v>1328</v>
      </c>
    </row>
    <row r="67">
      <c r="A67" s="2" t="n">
        <v>45835</v>
      </c>
      <c r="B67" t="inlineStr">
        <is>
          <t>DXJ(US97717W8516) Cash Dividend USD 1.34 per Share (Ordinary Dividend)</t>
        </is>
      </c>
      <c r="C67" t="inlineStr">
        <is>
          <t>USD</t>
        </is>
      </c>
      <c r="D67" t="n">
        <v>8.039999999999999</v>
      </c>
      <c r="E67" t="n">
        <v>8.039999999999999</v>
      </c>
      <c r="F67" t="n">
        <v>85.09999999999999</v>
      </c>
      <c r="G67" t="n">
        <v>684</v>
      </c>
    </row>
    <row r="68">
      <c r="A68" s="2" t="n">
        <v>45835</v>
      </c>
      <c r="B68" t="inlineStr">
        <is>
          <t>IGPT(US46137V6395) Cash Dividend USD 0.01677 per Share (Ordinary Dividend)</t>
        </is>
      </c>
      <c r="C68" t="inlineStr">
        <is>
          <t>USD</t>
        </is>
      </c>
      <c r="D68" t="n">
        <v>0.55</v>
      </c>
      <c r="E68" t="n">
        <v>0.55</v>
      </c>
      <c r="F68" t="n">
        <v>85.09999999999999</v>
      </c>
      <c r="G68" t="n">
        <v>47</v>
      </c>
    </row>
    <row r="69">
      <c r="A69" s="2" t="n">
        <v>45838</v>
      </c>
      <c r="B69" t="inlineStr">
        <is>
          <t>AVGO(US11135F1012) Cash Dividend USD 0.59 per Share (Ordinary Dividend)</t>
        </is>
      </c>
      <c r="C69" t="inlineStr">
        <is>
          <t>USD</t>
        </is>
      </c>
      <c r="D69" t="n">
        <v>5.31</v>
      </c>
      <c r="E69" t="n">
        <v>5.31</v>
      </c>
      <c r="F69" t="n">
        <v>85.09999999999999</v>
      </c>
      <c r="G69" t="n">
        <v>452</v>
      </c>
    </row>
    <row r="70">
      <c r="A70" s="2" t="n">
        <v>45841</v>
      </c>
      <c r="B70" t="inlineStr">
        <is>
          <t>NVDA(US67066G1040) Cash Dividend USD 0.01 per Share (Ordinary Dividend)</t>
        </is>
      </c>
      <c r="C70" t="inlineStr">
        <is>
          <t>USD</t>
        </is>
      </c>
      <c r="D70" t="n">
        <v>0.16</v>
      </c>
      <c r="E70" t="n">
        <v>0.16</v>
      </c>
      <c r="F70" t="n">
        <v>85.09999999999999</v>
      </c>
      <c r="G70" t="n">
        <v>14</v>
      </c>
    </row>
    <row r="71">
      <c r="A71" s="2" t="n">
        <v>45845</v>
      </c>
      <c r="B71" t="inlineStr">
        <is>
          <t>AIQ(US37954Y6326) Payment in Lieu of Dividend (Ordinary Dividend)</t>
        </is>
      </c>
      <c r="C71" t="inlineStr">
        <is>
          <t>USD</t>
        </is>
      </c>
      <c r="D71" t="n">
        <v>1.75</v>
      </c>
      <c r="E71" t="n">
        <v>1.75</v>
      </c>
      <c r="F71" t="n">
        <v>85.09999999999999</v>
      </c>
      <c r="G71" t="n">
        <v>149</v>
      </c>
    </row>
    <row r="72">
      <c r="A72" s="2" t="n">
        <v>45845</v>
      </c>
      <c r="B72" t="inlineStr">
        <is>
          <t>TIP(US4642871762) Cash Dividend USD 0.379923 per Share (Ordinary Dividend)</t>
        </is>
      </c>
      <c r="C72" t="inlineStr">
        <is>
          <t>USD</t>
        </is>
      </c>
      <c r="D72" t="n">
        <v>22.8</v>
      </c>
      <c r="E72" t="n">
        <v>22.8</v>
      </c>
      <c r="F72" t="n">
        <v>85.09999999999999</v>
      </c>
      <c r="G72" t="n">
        <v>1940</v>
      </c>
    </row>
    <row r="73">
      <c r="A73" s="2" t="n">
        <v>45846</v>
      </c>
      <c r="B73" t="inlineStr">
        <is>
          <t>HYU(USY384721251) Cash Dividend USD 0.920756 per Share (Ordinary Dividend)</t>
        </is>
      </c>
      <c r="C73" t="inlineStr">
        <is>
          <t>USD</t>
        </is>
      </c>
      <c r="D73" t="n">
        <v>22.1</v>
      </c>
      <c r="E73" t="n">
        <v>22.1</v>
      </c>
      <c r="F73" t="n">
        <v>85.09999999999999</v>
      </c>
      <c r="G73" t="n">
        <v>1881</v>
      </c>
    </row>
    <row r="74">
      <c r="A74" s="2" t="n">
        <v>45847</v>
      </c>
      <c r="B74" t="inlineStr">
        <is>
          <t>LRCX(US5128073062) Cash Dividend USD 0.23 per Share (Ordinary Dividend)</t>
        </is>
      </c>
      <c r="C74" t="inlineStr">
        <is>
          <t>USD</t>
        </is>
      </c>
      <c r="D74" t="n">
        <v>2.3</v>
      </c>
      <c r="E74" t="n">
        <v>2.3</v>
      </c>
      <c r="F74" t="n">
        <v>85.09999999999999</v>
      </c>
      <c r="G74" t="n">
        <v>196</v>
      </c>
    </row>
    <row r="75">
      <c r="A75" s="2" t="n">
        <v>45848</v>
      </c>
      <c r="B75" t="inlineStr">
        <is>
          <t>TSM(US8740391003) Cash Dividend USD 0.780305 per Share (Ordinary Div - NRA Withholding Exempt)</t>
        </is>
      </c>
      <c r="C75" t="inlineStr">
        <is>
          <t>USD</t>
        </is>
      </c>
      <c r="D75" t="n">
        <v>4.68</v>
      </c>
      <c r="E75" t="n">
        <v>4.68</v>
      </c>
      <c r="F75" t="n">
        <v>85.09999999999999</v>
      </c>
      <c r="G75" t="n">
        <v>398</v>
      </c>
    </row>
    <row r="76">
      <c r="A76" s="2" t="n">
        <v>45863</v>
      </c>
      <c r="B76" t="inlineStr">
        <is>
          <t>GE(US3696043013) Cash Dividend USD 0.36 per Share (Ordinary Dividend)</t>
        </is>
      </c>
      <c r="C76" t="inlineStr">
        <is>
          <t>USD</t>
        </is>
      </c>
      <c r="D76" t="n">
        <v>1.08</v>
      </c>
      <c r="E76" t="n">
        <v>1.08</v>
      </c>
      <c r="F76" t="n">
        <v>85.09999999999999</v>
      </c>
      <c r="G76" t="n">
        <v>92</v>
      </c>
    </row>
    <row r="77">
      <c r="A77" s="2" t="n">
        <v>45875</v>
      </c>
      <c r="B77" t="inlineStr">
        <is>
          <t>BTI(US1104481072) Cash Dividend USD 0.797416 per Share (Ordinary Dividend)</t>
        </is>
      </c>
      <c r="C77" t="inlineStr">
        <is>
          <t>USD</t>
        </is>
      </c>
      <c r="D77" t="n">
        <v>26.31</v>
      </c>
      <c r="E77" t="n">
        <v>26.31</v>
      </c>
      <c r="F77" t="n">
        <v>87.15000000000001</v>
      </c>
      <c r="G77" t="n">
        <v>2293</v>
      </c>
    </row>
    <row r="78">
      <c r="A78" s="2" t="n">
        <v>45875</v>
      </c>
      <c r="B78" t="inlineStr">
        <is>
          <t>TIP(US4642871762) Cash Dividend USD 0.264488 per Share (Ordinary Dividend)</t>
        </is>
      </c>
      <c r="C78" t="inlineStr">
        <is>
          <t>USD</t>
        </is>
      </c>
      <c r="D78" t="n">
        <v>15.87</v>
      </c>
      <c r="E78" t="n">
        <v>15.87</v>
      </c>
      <c r="F78" t="n">
        <v>87.15000000000001</v>
      </c>
      <c r="G78" t="n">
        <v>1383</v>
      </c>
    </row>
    <row r="79">
      <c r="A79" s="2" t="n">
        <v>45877</v>
      </c>
      <c r="B79" t="inlineStr">
        <is>
          <t>GD(US3695501086) Cash Dividend USD 1.50 per Share (Ordinary Dividend)</t>
        </is>
      </c>
      <c r="C79" t="inlineStr">
        <is>
          <t>USD</t>
        </is>
      </c>
      <c r="D79" t="n">
        <v>9</v>
      </c>
      <c r="E79" t="n">
        <v>9</v>
      </c>
      <c r="F79" t="n">
        <v>87.15000000000001</v>
      </c>
      <c r="G79" t="n">
        <v>784</v>
      </c>
    </row>
    <row r="80">
      <c r="A80" s="2" t="n">
        <v>45882</v>
      </c>
      <c r="B80" t="inlineStr">
        <is>
          <t>BYDDY(US05606L1008) Cash Dividend USD 1.10247 per Share (Ordinary Dividend)</t>
        </is>
      </c>
      <c r="C80" t="inlineStr">
        <is>
          <t>USD</t>
        </is>
      </c>
      <c r="D80" t="n">
        <v>46.3</v>
      </c>
      <c r="E80" t="n">
        <v>46.3</v>
      </c>
      <c r="F80" t="n">
        <v>87.15000000000001</v>
      </c>
      <c r="G80" t="n">
        <v>4035</v>
      </c>
    </row>
    <row r="81">
      <c r="A81" s="2" t="n">
        <v>45888</v>
      </c>
      <c r="B81" t="inlineStr">
        <is>
          <t>NOV(DK0062498333) Cash Dividend DKK 3.75 per Share (Bonus Dividend)</t>
        </is>
      </c>
      <c r="C81" t="inlineStr">
        <is>
          <t>DKK</t>
        </is>
      </c>
      <c r="D81" t="n">
        <v>112.5</v>
      </c>
      <c r="E81" t="n">
        <v>17.6918</v>
      </c>
      <c r="F81" t="n">
        <v>87.15000000000001</v>
      </c>
      <c r="G81" t="n">
        <v>1542</v>
      </c>
    </row>
    <row r="82">
      <c r="A82" s="2" t="n">
        <v>45889</v>
      </c>
      <c r="B82" t="inlineStr">
        <is>
          <t>CAT(US1491231015) Cash Dividend USD 1.51 per Share (Ordinary Dividend)</t>
        </is>
      </c>
      <c r="C82" t="inlineStr">
        <is>
          <t>USD</t>
        </is>
      </c>
      <c r="D82" t="n">
        <v>13.59</v>
      </c>
      <c r="E82" t="n">
        <v>13.59</v>
      </c>
      <c r="F82" t="n">
        <v>87.15000000000001</v>
      </c>
      <c r="G82" t="n">
        <v>1184</v>
      </c>
    </row>
    <row r="83">
      <c r="A83" s="2" t="n">
        <v>45902</v>
      </c>
      <c r="B83" t="inlineStr">
        <is>
          <t>TGT(US87612E1064) Cash Dividend USD 1.14 per Share (Ordinary Dividend)</t>
        </is>
      </c>
      <c r="C83" t="inlineStr">
        <is>
          <t>USD</t>
        </is>
      </c>
      <c r="D83" t="n">
        <v>29.64</v>
      </c>
      <c r="E83" t="n">
        <v>29.64</v>
      </c>
      <c r="F83" t="n">
        <v>87.7</v>
      </c>
      <c r="G83" t="n">
        <v>2599</v>
      </c>
    </row>
    <row r="84">
      <c r="A84" s="2" t="n">
        <v>45904</v>
      </c>
      <c r="B84" t="inlineStr">
        <is>
          <t>3416(HK0000978954) Cash Dividend HKD 0.14 per Share (Ordinary Dividend)</t>
        </is>
      </c>
      <c r="C84" t="inlineStr">
        <is>
          <t>HKD</t>
        </is>
      </c>
      <c r="D84" t="n">
        <v>138.74</v>
      </c>
      <c r="E84" t="n">
        <v>17.8267</v>
      </c>
      <c r="F84" t="n">
        <v>87.7</v>
      </c>
      <c r="G84" t="n">
        <v>1563</v>
      </c>
    </row>
    <row r="85">
      <c r="A85" s="2" t="n">
        <v>45904</v>
      </c>
      <c r="B85" t="inlineStr">
        <is>
          <t>3416(HK0000978954) Payment in Lieu of Dividend (Ordinary Dividend)</t>
        </is>
      </c>
      <c r="C85" t="inlineStr">
        <is>
          <t>HKD</t>
        </is>
      </c>
      <c r="D85" t="n">
        <v>1.26</v>
      </c>
      <c r="E85" t="n">
        <v>0.1619</v>
      </c>
      <c r="F85" t="n">
        <v>87.7</v>
      </c>
      <c r="G85" t="n">
        <v>14</v>
      </c>
    </row>
    <row r="86">
      <c r="A86" s="2" t="n">
        <v>45905</v>
      </c>
      <c r="B86" t="inlineStr">
        <is>
          <t>TIP(US4642871762) Cash Dividend USD 0.417238 per Share (Ordinary Dividend)</t>
        </is>
      </c>
      <c r="C86" t="inlineStr">
        <is>
          <t>USD</t>
        </is>
      </c>
      <c r="D86" t="n">
        <v>25.03</v>
      </c>
      <c r="E86" t="n">
        <v>25.03</v>
      </c>
      <c r="F86" t="n">
        <v>87.7</v>
      </c>
      <c r="G86" t="n">
        <v>2195</v>
      </c>
    </row>
    <row r="87">
      <c r="A87" s="2" t="n">
        <v>45919</v>
      </c>
      <c r="B87" t="inlineStr">
        <is>
          <t>IWR(US4642874998) Cash Dividend USD 0.322439 per Share (Ordinary Dividend)</t>
        </is>
      </c>
      <c r="C87" t="inlineStr">
        <is>
          <t>USD</t>
        </is>
      </c>
      <c r="D87" t="n">
        <v>3.22</v>
      </c>
      <c r="E87" t="n">
        <v>3.22</v>
      </c>
      <c r="F87" t="n">
        <v>87.7</v>
      </c>
      <c r="G87" t="n">
        <v>282</v>
      </c>
    </row>
    <row r="88">
      <c r="A88" s="2" t="n">
        <v>45923</v>
      </c>
      <c r="B88" t="inlineStr">
        <is>
          <t>VT(US9220427424) Cash Dividend USD 0.4781 per Share (Ordinary Dividend)</t>
        </is>
      </c>
      <c r="C88" t="inlineStr">
        <is>
          <t>USD</t>
        </is>
      </c>
      <c r="D88" t="n">
        <v>4.3</v>
      </c>
      <c r="E88" t="n">
        <v>4.3</v>
      </c>
      <c r="F88" t="n">
        <v>87.7</v>
      </c>
      <c r="G88" t="n">
        <v>377</v>
      </c>
    </row>
    <row r="89">
      <c r="A89" s="2" t="n">
        <v>45931</v>
      </c>
      <c r="B89" t="inlineStr">
        <is>
          <t>VTV(US9229087443) Cash Dividend USD 0.9433 per Share (Ordinary Dividend)</t>
        </is>
      </c>
      <c r="C89" t="inlineStr">
        <is>
          <t>USD</t>
        </is>
      </c>
      <c r="D89" t="n">
        <v>5.66</v>
      </c>
      <c r="E89" t="n">
        <v>5.66</v>
      </c>
      <c r="F89" t="n">
        <v>88.34999999999999</v>
      </c>
      <c r="G89" t="n">
        <v>500</v>
      </c>
    </row>
    <row r="90">
      <c r="A90" s="2" t="n">
        <v>45936</v>
      </c>
      <c r="B90" t="inlineStr">
        <is>
          <t>TIP(US4642871762) Cash Dividend USD 0.198069 per Share (Ordinary Dividend)</t>
        </is>
      </c>
      <c r="C90" t="inlineStr">
        <is>
          <t>USD</t>
        </is>
      </c>
      <c r="D90" t="n">
        <v>11.88</v>
      </c>
      <c r="E90" t="n">
        <v>11.88</v>
      </c>
      <c r="F90" t="n">
        <v>88.34999999999999</v>
      </c>
      <c r="G90" t="n">
        <v>1050</v>
      </c>
    </row>
    <row r="91">
      <c r="A91" s="2" t="n">
        <v>45938</v>
      </c>
      <c r="B91" t="inlineStr">
        <is>
          <t>3416(HK0000978954) Cash Dividend HKD 0.14 per Share (Ordinary Dividend)</t>
        </is>
      </c>
      <c r="C91" t="inlineStr">
        <is>
          <t>HKD</t>
        </is>
      </c>
      <c r="D91" t="n">
        <v>140</v>
      </c>
      <c r="E91" t="n">
        <v>17.9886</v>
      </c>
      <c r="F91" t="n">
        <v>88.34999999999999</v>
      </c>
      <c r="G91" t="n">
        <v>1589</v>
      </c>
    </row>
    <row r="92">
      <c r="A92" s="2" t="n">
        <v>45952</v>
      </c>
      <c r="B92" t="inlineStr">
        <is>
          <t>CSCO(US17275R1023) Cash Dividend USD 0.41 per Share (Ordinary Dividend)</t>
        </is>
      </c>
      <c r="C92" t="inlineStr">
        <is>
          <t>USD</t>
        </is>
      </c>
      <c r="D92" t="n">
        <v>8.199999999999999</v>
      </c>
      <c r="E92" t="n">
        <v>8.199999999999999</v>
      </c>
      <c r="F92" t="n">
        <v>88.34999999999999</v>
      </c>
      <c r="G92" t="n">
        <v>724</v>
      </c>
    </row>
    <row r="93">
      <c r="A93" s="2" t="n">
        <v>45953</v>
      </c>
      <c r="B93" t="inlineStr">
        <is>
          <t>ORCL(US68389X1054) Cash Dividend USD 0.50 per Share (Ordinary Dividend)</t>
        </is>
      </c>
      <c r="C93" t="inlineStr">
        <is>
          <t>USD</t>
        </is>
      </c>
      <c r="D93" t="n">
        <v>2.5</v>
      </c>
      <c r="E93" t="n">
        <v>2.5</v>
      </c>
      <c r="F93" t="n">
        <v>88.34999999999999</v>
      </c>
      <c r="G93" t="n">
        <v>221</v>
      </c>
    </row>
    <row r="94">
      <c r="A94" s="2" t="n">
        <v>45954</v>
      </c>
      <c r="B94" t="inlineStr">
        <is>
          <t>1919(CNE1000002J7) Cash Dividend HKD 0.613944 per Share (Ordinary Dividend)</t>
        </is>
      </c>
      <c r="C94" t="inlineStr">
        <is>
          <t>HKD</t>
        </is>
      </c>
      <c r="D94" t="n">
        <v>49.11</v>
      </c>
      <c r="E94" t="n">
        <v>6.3101</v>
      </c>
      <c r="F94" t="n">
        <v>88.34999999999999</v>
      </c>
      <c r="G94" t="n">
        <v>558</v>
      </c>
    </row>
    <row r="95">
      <c r="A95" s="2" t="n">
        <v>45954</v>
      </c>
      <c r="B95" t="inlineStr">
        <is>
          <t>1919(CNE1000002J7) Payment in Lieu of Dividend (Ordinary Dividend)</t>
        </is>
      </c>
      <c r="C95" t="inlineStr">
        <is>
          <t>HKD</t>
        </is>
      </c>
      <c r="D95" t="n">
        <v>232.56</v>
      </c>
      <c r="E95" t="n">
        <v>29.8816</v>
      </c>
      <c r="F95" t="n">
        <v>88.34999999999999</v>
      </c>
      <c r="G95" t="n">
        <v>2640</v>
      </c>
    </row>
    <row r="96">
      <c r="A96" s="2" t="n">
        <v>45961</v>
      </c>
      <c r="B96" t="inlineStr">
        <is>
          <t>QQQ(US46090E1038) Cash Dividend USD 0.69395 per Share (Ordinary Dividend)</t>
        </is>
      </c>
      <c r="C96" t="inlineStr">
        <is>
          <t>USD</t>
        </is>
      </c>
      <c r="D96" t="n">
        <v>1.39</v>
      </c>
      <c r="E96" t="n">
        <v>1.39</v>
      </c>
      <c r="F96" t="n">
        <v>88.34999999999999</v>
      </c>
      <c r="G96" t="n">
        <v>123</v>
      </c>
    </row>
    <row r="97">
      <c r="A97" s="2" t="n">
        <v>45967</v>
      </c>
      <c r="B97" t="inlineStr">
        <is>
          <t>3416(HK0000978954) Cash Dividend HKD 0.14 per Share (Ordinary Dividend)</t>
        </is>
      </c>
      <c r="C97" t="inlineStr">
        <is>
          <t>HKD</t>
        </is>
      </c>
      <c r="D97" t="n">
        <v>140</v>
      </c>
      <c r="E97" t="n">
        <v>17.9886</v>
      </c>
      <c r="F97" t="n">
        <v>88.2</v>
      </c>
      <c r="G97" t="n">
        <v>1587</v>
      </c>
    </row>
    <row r="98">
      <c r="A98" s="2" t="n">
        <v>45967</v>
      </c>
      <c r="B98" t="inlineStr">
        <is>
          <t>ASML(USN070592100) Cash Dividend USD 1.864032 per Share (Ordinary Dividend)</t>
        </is>
      </c>
      <c r="C98" t="inlineStr">
        <is>
          <t>USD</t>
        </is>
      </c>
      <c r="D98" t="n">
        <v>5.59</v>
      </c>
      <c r="E98" t="n">
        <v>5.59</v>
      </c>
      <c r="F98" t="n">
        <v>88.2</v>
      </c>
      <c r="G98" t="n">
        <v>493</v>
      </c>
    </row>
    <row r="99">
      <c r="A99" s="2" t="n">
        <v>45967</v>
      </c>
      <c r="B99" t="inlineStr">
        <is>
          <t>TIP(US4642871762) Cash Dividend USD 0.360933 per Share (Ordinary Dividend)</t>
        </is>
      </c>
      <c r="C99" t="inlineStr">
        <is>
          <t>USD</t>
        </is>
      </c>
      <c r="D99" t="n">
        <v>1.8</v>
      </c>
      <c r="E99" t="n">
        <v>1.8</v>
      </c>
      <c r="F99" t="n">
        <v>88.2</v>
      </c>
      <c r="G99" t="n">
        <v>159</v>
      </c>
    </row>
    <row r="100">
      <c r="A100" s="2" t="n">
        <v>45967</v>
      </c>
      <c r="B100" t="inlineStr">
        <is>
          <t>TIP(US4642871762) Payment in Lieu of Dividend (Ordinary Dividend)</t>
        </is>
      </c>
      <c r="C100" t="inlineStr">
        <is>
          <t>USD</t>
        </is>
      </c>
      <c r="D100" t="n">
        <v>19.85</v>
      </c>
      <c r="E100" t="n">
        <v>19.85</v>
      </c>
      <c r="F100" t="n">
        <v>88.2</v>
      </c>
      <c r="G100" t="n">
        <v>1751</v>
      </c>
    </row>
    <row r="101">
      <c r="A101" s="2" t="n">
        <v>45974</v>
      </c>
      <c r="B101" t="inlineStr">
        <is>
          <t>AAPL(US0378331005) Cash Dividend USD 0.26 per Share (Ordinary Dividend)</t>
        </is>
      </c>
      <c r="C101" t="inlineStr">
        <is>
          <t>USD</t>
        </is>
      </c>
      <c r="D101" t="n">
        <v>1.82</v>
      </c>
      <c r="E101" t="n">
        <v>1.82</v>
      </c>
      <c r="F101" t="n">
        <v>88.2</v>
      </c>
      <c r="G101" t="n">
        <v>161</v>
      </c>
    </row>
    <row r="102">
      <c r="A102" s="2" t="n">
        <v>45992</v>
      </c>
      <c r="B102" t="inlineStr">
        <is>
          <t>TGT(US87612E1064) Cash Dividend USD 1.14 per Share (Ordinary Dividend)</t>
        </is>
      </c>
      <c r="C102" t="inlineStr">
        <is>
          <t>USD</t>
        </is>
      </c>
      <c r="D102" t="n">
        <v>29.64</v>
      </c>
      <c r="E102" t="n">
        <v>29.64</v>
      </c>
      <c r="F102" t="n">
        <v>88.95</v>
      </c>
      <c r="G102" t="n">
        <v>2636</v>
      </c>
    </row>
    <row r="103">
      <c r="A103" s="2" t="n">
        <v>45992</v>
      </c>
      <c r="B103" t="inlineStr">
        <is>
          <t>WFC(US9497461015) Cash Dividend USD 0.45 per Share (Ordinary Dividend)</t>
        </is>
      </c>
      <c r="C103" t="inlineStr">
        <is>
          <t>USD</t>
        </is>
      </c>
      <c r="D103" t="n">
        <v>22.5</v>
      </c>
      <c r="E103" t="n">
        <v>22.5</v>
      </c>
      <c r="F103" t="n">
        <v>88.95</v>
      </c>
      <c r="G103" t="n">
        <v>2001</v>
      </c>
    </row>
    <row r="104">
      <c r="A104" s="2" t="n">
        <v>45995</v>
      </c>
      <c r="B104" t="inlineStr">
        <is>
          <t>3416(HK0000978954) Cash Dividend HKD 0.14 per Share (Ordinary Dividend)</t>
        </is>
      </c>
      <c r="C104" t="inlineStr">
        <is>
          <t>HKD</t>
        </is>
      </c>
      <c r="D104" t="n">
        <v>140</v>
      </c>
      <c r="E104" t="n">
        <v>17.9886</v>
      </c>
      <c r="F104" t="n">
        <v>88.95</v>
      </c>
      <c r="G104" t="n">
        <v>1600</v>
      </c>
    </row>
    <row r="105">
      <c r="A105" s="2" t="n">
        <v>45995</v>
      </c>
      <c r="B105" t="inlineStr">
        <is>
          <t>TIP(US4642871762) Cash Dividend USD 0.322417 per Share (Ordinary Dividend)</t>
        </is>
      </c>
      <c r="C105" t="inlineStr">
        <is>
          <t>USD</t>
        </is>
      </c>
      <c r="D105" t="n">
        <v>19.35</v>
      </c>
      <c r="E105" t="n">
        <v>19.35</v>
      </c>
      <c r="F105" t="n">
        <v>88.95</v>
      </c>
      <c r="G105" t="n">
        <v>1721</v>
      </c>
    </row>
    <row r="106">
      <c r="A106" s="2" t="n">
        <v>45996</v>
      </c>
      <c r="B106" t="inlineStr">
        <is>
          <t>REGN(US75886F1075) Cash Dividend USD 0.88 per Share (Ordinary Dividend)</t>
        </is>
      </c>
      <c r="C106" t="inlineStr">
        <is>
          <t>USD</t>
        </is>
      </c>
      <c r="D106" t="n">
        <v>2.64</v>
      </c>
      <c r="E106" t="n">
        <v>2.64</v>
      </c>
      <c r="F106" t="n">
        <v>88.95</v>
      </c>
      <c r="G106" t="n">
        <v>235</v>
      </c>
    </row>
    <row r="107">
      <c r="A107" s="2" t="n">
        <v>46001</v>
      </c>
      <c r="B107" t="inlineStr">
        <is>
          <t>4568.T(JP3475350009) Cash Dividend JPY 39 per Share (Ordinary Dividend)</t>
        </is>
      </c>
      <c r="C107" t="inlineStr">
        <is>
          <t>JPY</t>
        </is>
      </c>
      <c r="D107" t="n">
        <v>3900</v>
      </c>
      <c r="E107" t="n">
        <v>24.8925</v>
      </c>
      <c r="F107" t="n">
        <v>88.95</v>
      </c>
      <c r="G107" t="n">
        <v>2214</v>
      </c>
    </row>
    <row r="108">
      <c r="A108" s="2" t="n">
        <v>46001</v>
      </c>
      <c r="B108" t="inlineStr">
        <is>
          <t>IBM(US4592001014) Cash Dividend USD 1.68 per Share (Ordinary Dividend)</t>
        </is>
      </c>
      <c r="C108" t="inlineStr">
        <is>
          <t>USD</t>
        </is>
      </c>
      <c r="D108" t="n">
        <v>8.4</v>
      </c>
      <c r="E108" t="n">
        <v>8.4</v>
      </c>
      <c r="F108" t="n">
        <v>88.95</v>
      </c>
      <c r="G108" t="n">
        <v>747</v>
      </c>
    </row>
    <row r="109">
      <c r="A109" s="2" t="n">
        <v>46001</v>
      </c>
      <c r="B109" t="inlineStr">
        <is>
          <t>LLY(US5324571083) Cash Dividend USD 1.50 per Share (Ordinary Dividend)</t>
        </is>
      </c>
      <c r="C109" t="inlineStr">
        <is>
          <t>USD</t>
        </is>
      </c>
      <c r="D109" t="n">
        <v>5.25</v>
      </c>
      <c r="E109" t="n">
        <v>5.25</v>
      </c>
      <c r="F109" t="n">
        <v>88.95</v>
      </c>
      <c r="G109" t="n">
        <v>467</v>
      </c>
    </row>
    <row r="110">
      <c r="A110" s="2" t="n">
        <v>46010</v>
      </c>
      <c r="B110" t="inlineStr">
        <is>
          <t>AAXJ(US4642881829) Cash Dividend USD 1.12455 per Share (Ordinary Dividend)</t>
        </is>
      </c>
      <c r="C110" t="inlineStr">
        <is>
          <t>USD</t>
        </is>
      </c>
      <c r="D110" t="n">
        <v>4.5</v>
      </c>
      <c r="E110" t="n">
        <v>4.5</v>
      </c>
      <c r="F110" t="n">
        <v>88.95</v>
      </c>
      <c r="G110" t="n">
        <v>400</v>
      </c>
    </row>
    <row r="111">
      <c r="A111" s="2" t="n">
        <v>46010</v>
      </c>
      <c r="B111" t="inlineStr">
        <is>
          <t>AAXJ(US4642881829) Payment in Lieu of Dividend (Ordinary Dividend)</t>
        </is>
      </c>
      <c r="C111" t="inlineStr">
        <is>
          <t>USD</t>
        </is>
      </c>
      <c r="D111" t="n">
        <v>4.5</v>
      </c>
      <c r="E111" t="n">
        <v>4.5</v>
      </c>
      <c r="F111" t="n">
        <v>88.95</v>
      </c>
      <c r="G111" t="n">
        <v>400</v>
      </c>
    </row>
    <row r="112">
      <c r="A112" s="2" t="n">
        <v>46010</v>
      </c>
      <c r="B112" t="inlineStr">
        <is>
          <t>ICLN(US4642882249) Cash Dividend USD 0.128205 per Share (Ordinary Dividend)</t>
        </is>
      </c>
      <c r="C112" t="inlineStr">
        <is>
          <t>USD</t>
        </is>
      </c>
      <c r="D112" t="n">
        <v>6.41</v>
      </c>
      <c r="E112" t="n">
        <v>6.41</v>
      </c>
      <c r="F112" t="n">
        <v>88.95</v>
      </c>
      <c r="G112" t="n">
        <v>570</v>
      </c>
    </row>
    <row r="113">
      <c r="A113" s="2" t="n">
        <v>46010</v>
      </c>
      <c r="B113" t="inlineStr">
        <is>
          <t>IWR(US4642874998) Cash Dividend USD 0.393709 per Share (Ordinary Dividend)</t>
        </is>
      </c>
      <c r="C113" t="inlineStr">
        <is>
          <t>USD</t>
        </is>
      </c>
      <c r="D113" t="n">
        <v>3.94</v>
      </c>
      <c r="E113" t="n">
        <v>3.94</v>
      </c>
      <c r="F113" t="n">
        <v>88.95</v>
      </c>
      <c r="G113" t="n">
        <v>350</v>
      </c>
    </row>
    <row r="114">
      <c r="A114" s="2" t="n">
        <v>46014</v>
      </c>
      <c r="B114" t="inlineStr">
        <is>
          <t>META(US30303M1027) Cash Dividend USD 0.525 per Share (Ordinary Dividend)</t>
        </is>
      </c>
      <c r="C114" t="inlineStr">
        <is>
          <t>USD</t>
        </is>
      </c>
      <c r="D114" t="n">
        <v>1.05</v>
      </c>
      <c r="E114" t="n">
        <v>1.05</v>
      </c>
      <c r="F114" t="n">
        <v>88.95</v>
      </c>
      <c r="G114" t="n">
        <v>93</v>
      </c>
    </row>
    <row r="115">
      <c r="A115" s="2" t="n">
        <v>46014</v>
      </c>
      <c r="B115" t="inlineStr">
        <is>
          <t>VT(US9220427424) Cash Dividend USD 1.1152 per Share (Ordinary Dividend)</t>
        </is>
      </c>
      <c r="C115" t="inlineStr">
        <is>
          <t>USD</t>
        </is>
      </c>
      <c r="D115" t="n">
        <v>10.04</v>
      </c>
      <c r="E115" t="n">
        <v>10.04</v>
      </c>
      <c r="F115" t="n">
        <v>88.95</v>
      </c>
      <c r="G115" t="n">
        <v>893</v>
      </c>
    </row>
    <row r="116">
      <c r="A116" s="2" t="n">
        <v>46015</v>
      </c>
      <c r="B116" t="inlineStr">
        <is>
          <t>TIP(US4642871762) Cash Dividend USD 0.341961 per Share (Ordinary Dividend)</t>
        </is>
      </c>
      <c r="C116" t="inlineStr">
        <is>
          <t>USD</t>
        </is>
      </c>
      <c r="D116" t="n">
        <v>20.52</v>
      </c>
      <c r="E116" t="n">
        <v>20.52</v>
      </c>
      <c r="F116" t="n">
        <v>88.95</v>
      </c>
      <c r="G116" t="n">
        <v>1825</v>
      </c>
    </row>
    <row r="117">
      <c r="A117" s="2" t="n">
        <v>46015</v>
      </c>
      <c r="B117" t="inlineStr">
        <is>
          <t>VTV(US9229087443) Cash Dividend USD 0.9862 per Share (Ordinary Dividend)</t>
        </is>
      </c>
      <c r="C117" t="inlineStr">
        <is>
          <t>USD</t>
        </is>
      </c>
      <c r="D117" t="n">
        <v>5.92</v>
      </c>
      <c r="E117" t="n">
        <v>5.92</v>
      </c>
      <c r="F117" t="n">
        <v>88.95</v>
      </c>
      <c r="G117" t="n">
        <v>527</v>
      </c>
    </row>
    <row r="118">
      <c r="A118" s="2" t="n">
        <v>46022</v>
      </c>
      <c r="B118" t="inlineStr">
        <is>
          <t>3069(HK0000711199) Cash Dividend HKD 0.05 per Share (Ordinary Dividend)</t>
        </is>
      </c>
      <c r="C118" t="inlineStr">
        <is>
          <t>HKD</t>
        </is>
      </c>
      <c r="D118" t="n">
        <v>8.550000000000001</v>
      </c>
      <c r="E118" t="n">
        <v>1.0986</v>
      </c>
      <c r="F118" t="n">
        <v>88.95</v>
      </c>
      <c r="G118" t="n">
        <v>98</v>
      </c>
    </row>
    <row r="119">
      <c r="A119" s="2" t="n">
        <v>46022</v>
      </c>
      <c r="B119" t="inlineStr">
        <is>
          <t>3069(HK0000711199) Payment in Lieu of Dividend (Ordinary Dividend)</t>
        </is>
      </c>
      <c r="C119" t="inlineStr">
        <is>
          <t>HKD</t>
        </is>
      </c>
      <c r="D119" t="n">
        <v>21.45</v>
      </c>
      <c r="E119" t="n">
        <v>2.7561</v>
      </c>
      <c r="F119" t="n">
        <v>88.95</v>
      </c>
      <c r="G119" t="n">
        <v>245</v>
      </c>
    </row>
    <row r="120">
      <c r="A120" s="2" t="n">
        <v>46022</v>
      </c>
      <c r="B120" t="inlineStr">
        <is>
          <t>3088(HK0000643327) Cash Dividend HKD 0.02 per Share (Ordinary Dividend)</t>
        </is>
      </c>
      <c r="C120" t="inlineStr">
        <is>
          <t>HKD</t>
        </is>
      </c>
      <c r="D120" t="n">
        <v>20</v>
      </c>
      <c r="E120" t="n">
        <v>2.5698</v>
      </c>
      <c r="F120" t="n">
        <v>88.95</v>
      </c>
      <c r="G120" t="n">
        <v>229</v>
      </c>
    </row>
    <row r="121">
      <c r="A121" s="2" t="n">
        <v>46022</v>
      </c>
      <c r="B121" t="inlineStr">
        <is>
          <t>QQQ(US46090E1038) Cash Dividend USD 0.79408 per Share (Ordinary Dividend)</t>
        </is>
      </c>
      <c r="C121" t="inlineStr">
        <is>
          <t>USD</t>
        </is>
      </c>
      <c r="D121" t="n">
        <v>1.59</v>
      </c>
      <c r="E121" t="n">
        <v>1.59</v>
      </c>
      <c r="F121" t="n">
        <v>88.95</v>
      </c>
      <c r="G121" t="n">
        <v>141</v>
      </c>
    </row>
    <row r="122">
      <c r="A122" s="2" t="n">
        <v>46029</v>
      </c>
      <c r="B122" t="inlineStr">
        <is>
          <t>3416(HK0000978954) Cash Dividend HKD 0.14 per Share (Ordinary Dividend)</t>
        </is>
      </c>
      <c r="C122" t="inlineStr">
        <is>
          <t>HKD</t>
        </is>
      </c>
      <c r="D122" t="n">
        <v>140</v>
      </c>
      <c r="E122" t="n">
        <v>17.9886</v>
      </c>
      <c r="F122" t="n">
        <v>89.47</v>
      </c>
      <c r="G122" t="n">
        <v>1609</v>
      </c>
    </row>
    <row r="123">
      <c r="A123" s="2" t="n">
        <v>46029</v>
      </c>
      <c r="B123" t="inlineStr">
        <is>
          <t>AIQ(US37954Y6326) Cash Dividend USD 0.045113 per Share (Ordinary Dividend)</t>
        </is>
      </c>
      <c r="C123" t="inlineStr">
        <is>
          <t>USD</t>
        </is>
      </c>
      <c r="D123" t="n">
        <v>0.05</v>
      </c>
      <c r="E123" t="n">
        <v>0.05</v>
      </c>
      <c r="F123" t="n">
        <v>89.47</v>
      </c>
      <c r="G123" t="n">
        <v>4</v>
      </c>
    </row>
    <row r="124">
      <c r="A124" s="2" t="n">
        <v>46029</v>
      </c>
      <c r="B124" t="inlineStr">
        <is>
          <t>AIQ(US37954Y6326) Payment in Lieu of Dividend (Ordinary Dividend)</t>
        </is>
      </c>
      <c r="C124" t="inlineStr">
        <is>
          <t>USD</t>
        </is>
      </c>
      <c r="D124" t="n">
        <v>1.58</v>
      </c>
      <c r="E124" t="n">
        <v>1.58</v>
      </c>
      <c r="F124" t="n">
        <v>89.47</v>
      </c>
      <c r="G124" t="n">
        <v>141</v>
      </c>
    </row>
    <row r="125">
      <c r="A125" s="2" t="n">
        <v>46029</v>
      </c>
      <c r="B125" t="inlineStr">
        <is>
          <t>BOTZ(US37954Y7159) Payment in Lieu of Dividend (Ordinary Dividend)</t>
        </is>
      </c>
      <c r="C125" t="inlineStr">
        <is>
          <t>USD</t>
        </is>
      </c>
      <c r="D125" t="n">
        <v>3.79</v>
      </c>
      <c r="E125" t="n">
        <v>3.79</v>
      </c>
      <c r="F125" t="n">
        <v>89.47</v>
      </c>
      <c r="G125" t="n">
        <v>339</v>
      </c>
    </row>
    <row r="126">
      <c r="A126" s="2" t="n">
        <v>46043</v>
      </c>
      <c r="B126" t="inlineStr">
        <is>
          <t>CSCO(US17275R1023) Cash Dividend USD 0.41 per Share (Ordinary Dividend)</t>
        </is>
      </c>
      <c r="C126" t="inlineStr">
        <is>
          <t>USD</t>
        </is>
      </c>
      <c r="D126" t="n">
        <v>8.199999999999999</v>
      </c>
      <c r="E126" t="n">
        <v>8.199999999999999</v>
      </c>
      <c r="F126" t="n">
        <v>89.47</v>
      </c>
      <c r="G126" t="n">
        <v>734</v>
      </c>
    </row>
    <row r="127">
      <c r="A127" s="2" t="n">
        <v>46058</v>
      </c>
      <c r="B127" t="inlineStr">
        <is>
          <t>3416(HK0000978954) Cash Dividend HKD 0.14 per Share (Ordinary Dividend)</t>
        </is>
      </c>
      <c r="C127" t="inlineStr">
        <is>
          <t>HKD</t>
        </is>
      </c>
      <c r="D127" t="n">
        <v>140</v>
      </c>
      <c r="E127" t="n">
        <v>17.9886</v>
      </c>
      <c r="F127" t="n">
        <v>91.34999999999999</v>
      </c>
      <c r="G127" t="n">
        <v>1643</v>
      </c>
    </row>
    <row r="128">
      <c r="A128" s="2" t="n">
        <v>46065</v>
      </c>
      <c r="B128" t="inlineStr">
        <is>
          <t>AAPL(US0378331005) Cash Dividend USD 0.26 per Share (Ordinary Dividend)</t>
        </is>
      </c>
      <c r="C128" t="inlineStr">
        <is>
          <t>USD</t>
        </is>
      </c>
      <c r="D128" t="n">
        <v>1.82</v>
      </c>
      <c r="E128" t="n">
        <v>1.82</v>
      </c>
      <c r="F128" t="n">
        <v>91.34999999999999</v>
      </c>
      <c r="G128" t="n">
        <v>166</v>
      </c>
    </row>
    <row r="129">
      <c r="A129" s="2" t="n">
        <v>46071</v>
      </c>
      <c r="B129" t="inlineStr">
        <is>
          <t>ASML(USN070592100) Cash Dividend USD 1.9064 per Share (Ordinary Dividend)</t>
        </is>
      </c>
      <c r="C129" t="inlineStr">
        <is>
          <t>USD</t>
        </is>
      </c>
      <c r="D129" t="n">
        <v>5.72</v>
      </c>
      <c r="E129" t="n">
        <v>5.72</v>
      </c>
      <c r="F129" t="n">
        <v>91.34999999999999</v>
      </c>
      <c r="G129" t="n">
        <v>523</v>
      </c>
    </row>
    <row r="130">
      <c r="A130" s="2" t="n">
        <v>46082</v>
      </c>
      <c r="B130" t="inlineStr">
        <is>
          <t>TGT(US87612E1064) Cash Dividend USD 1.14 per Share (Ordinary Dividend)</t>
        </is>
      </c>
      <c r="C130" t="inlineStr">
        <is>
          <t>USD</t>
        </is>
      </c>
      <c r="D130" t="n">
        <v>29.64</v>
      </c>
      <c r="E130" t="n">
        <v>29.64</v>
      </c>
      <c r="F130" t="n">
        <v>90.56</v>
      </c>
      <c r="G130" t="n">
        <v>2684</v>
      </c>
    </row>
    <row r="131">
      <c r="A131" s="2" t="n">
        <v>46082</v>
      </c>
      <c r="B131" t="inlineStr">
        <is>
          <t>WFC(US9497461015) Cash Dividend USD 0.45 per Share (Ordinary Dividend)</t>
        </is>
      </c>
      <c r="C131" t="inlineStr">
        <is>
          <t>USD</t>
        </is>
      </c>
      <c r="D131" t="n">
        <v>22.5</v>
      </c>
      <c r="E131" t="n">
        <v>22.5</v>
      </c>
      <c r="F131" t="n">
        <v>90.56</v>
      </c>
      <c r="G131" t="n">
        <v>2038</v>
      </c>
    </row>
    <row r="132">
      <c r="A132" s="2" t="n">
        <v>46086</v>
      </c>
      <c r="B132" t="inlineStr">
        <is>
          <t>3416(HK0000978954) Cash Dividend HKD 0.14 per Share (Ordinary Dividend)</t>
        </is>
      </c>
      <c r="C132" t="inlineStr">
        <is>
          <t>HKD</t>
        </is>
      </c>
      <c r="D132" t="n">
        <v>140</v>
      </c>
      <c r="E132" t="n">
        <v>17.9886</v>
      </c>
      <c r="F132" t="n">
        <v>90.56</v>
      </c>
      <c r="G132" t="n">
        <v>1629</v>
      </c>
    </row>
    <row r="133">
      <c r="A133" s="2" t="n">
        <v>46086</v>
      </c>
      <c r="B133" t="inlineStr">
        <is>
          <t>REGN(US75886F1075) Cash Dividend USD 0.94 per Share (Ordinary Dividend)</t>
        </is>
      </c>
      <c r="C133" t="inlineStr">
        <is>
          <t>USD</t>
        </is>
      </c>
      <c r="D133" t="n">
        <v>2.82</v>
      </c>
      <c r="E133" t="n">
        <v>2.82</v>
      </c>
      <c r="F133" t="n">
        <v>90.56</v>
      </c>
      <c r="G133" t="n">
        <v>255</v>
      </c>
    </row>
    <row r="134">
      <c r="A134" s="2" t="n">
        <v>46091</v>
      </c>
      <c r="B134" t="inlineStr">
        <is>
          <t>IBM(US4592001014) Cash Dividend USD 1.68 per Share (Ordinary Dividend)</t>
        </is>
      </c>
      <c r="C134" t="inlineStr">
        <is>
          <t>USD</t>
        </is>
      </c>
      <c r="D134" t="n">
        <v>8.4</v>
      </c>
      <c r="E134" t="n">
        <v>8.4</v>
      </c>
      <c r="F134" t="n">
        <v>90.56</v>
      </c>
      <c r="G134" t="n">
        <v>761</v>
      </c>
    </row>
    <row r="135">
      <c r="A135" s="2" t="n">
        <v>46091</v>
      </c>
      <c r="B135" t="inlineStr">
        <is>
          <t>LLY(US5324571083) Cash Dividend USD 1.73 per Share (Ordinary Dividend)</t>
        </is>
      </c>
      <c r="C135" t="inlineStr">
        <is>
          <t>USD</t>
        </is>
      </c>
      <c r="D135" t="n">
        <v>6.06</v>
      </c>
      <c r="E135" t="n">
        <v>6.06</v>
      </c>
      <c r="F135" t="n">
        <v>90.56</v>
      </c>
      <c r="G135" t="n">
        <v>549</v>
      </c>
    </row>
    <row r="136">
      <c r="A136" s="2" t="n">
        <v>46101</v>
      </c>
      <c r="B136" t="inlineStr">
        <is>
          <t>IWR(US4642874998) Cash Dividend USD 0.261651 per Share (Ordinary Dividend)</t>
        </is>
      </c>
      <c r="C136" t="inlineStr">
        <is>
          <t>USD</t>
        </is>
      </c>
      <c r="D136" t="n">
        <v>2.62</v>
      </c>
      <c r="E136" t="n">
        <v>2.62</v>
      </c>
      <c r="F136" t="n">
        <v>90.56</v>
      </c>
      <c r="G136" t="n">
        <v>237</v>
      </c>
    </row>
    <row r="137">
      <c r="A137" s="2" t="n">
        <v>46105</v>
      </c>
      <c r="B137" t="inlineStr">
        <is>
          <t>VT(US9220427424) Cash Dividend USD 0.3272 per Share (Ordinary Dividend)</t>
        </is>
      </c>
      <c r="C137" t="inlineStr">
        <is>
          <t>USD</t>
        </is>
      </c>
      <c r="D137" t="n">
        <v>2.94</v>
      </c>
      <c r="E137" t="n">
        <v>2.94</v>
      </c>
      <c r="F137" t="n">
        <v>90.56</v>
      </c>
      <c r="G137" t="n">
        <v>266</v>
      </c>
    </row>
    <row r="138">
      <c r="A138" s="2" t="n">
        <v>46107</v>
      </c>
      <c r="B138" t="inlineStr">
        <is>
          <t>META(US30303M1027) Cash Dividend USD 0.525 per Share (Ordinary Dividend)</t>
        </is>
      </c>
      <c r="C138" t="inlineStr">
        <is>
          <t>USD</t>
        </is>
      </c>
      <c r="D138" t="n">
        <v>1.05</v>
      </c>
      <c r="E138" t="n">
        <v>1.05</v>
      </c>
      <c r="F138" t="n">
        <v>90.56</v>
      </c>
      <c r="G138" t="n">
        <v>95</v>
      </c>
    </row>
    <row r="139">
      <c r="A139" s="2" t="n">
        <v>46108</v>
      </c>
      <c r="B139" t="inlineStr">
        <is>
          <t>QQQ(US46090E1038) Cash Dividend USD 0.73282 per Share (Ordinary Dividend)</t>
        </is>
      </c>
      <c r="C139" t="inlineStr">
        <is>
          <t>USD</t>
        </is>
      </c>
      <c r="D139" t="n">
        <v>1.47</v>
      </c>
      <c r="E139" t="n">
        <v>1.47</v>
      </c>
      <c r="F139" t="n">
        <v>90.56</v>
      </c>
      <c r="G139" t="n">
        <v>133</v>
      </c>
    </row>
    <row r="140">
      <c r="A140" s="2" t="n">
        <v>46112</v>
      </c>
      <c r="B140" t="inlineStr">
        <is>
          <t>VTV(US9229087443) Cash Dividend USD 1.0792 per Share (Ordinary Dividend)</t>
        </is>
      </c>
      <c r="C140" t="inlineStr">
        <is>
          <t>USD</t>
        </is>
      </c>
      <c r="D140" t="n">
        <v>6.48</v>
      </c>
      <c r="E140" t="n">
        <v>6.48</v>
      </c>
      <c r="F140" t="n">
        <v>90.56</v>
      </c>
      <c r="G140" t="n">
        <v>587</v>
      </c>
    </row>
    <row r="141">
      <c r="B141" t="inlineStr">
        <is>
          <t>TOTAL DIVIDENDS</t>
        </is>
      </c>
      <c r="E141" t="n">
        <v>1211.95</v>
      </c>
      <c r="G141" t="n">
        <v>105546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45748</v>
      </c>
      <c r="C3" t="inlineStr">
        <is>
          <t>NOV(DK0062498333) Cash Dividend DKK 7.90 per Share - DK Tax</t>
        </is>
      </c>
      <c r="D3" t="inlineStr">
        <is>
          <t>DKK</t>
        </is>
      </c>
      <c r="E3" t="n">
        <v>-63.99</v>
      </c>
      <c r="F3" t="n">
        <v>-10.0631</v>
      </c>
      <c r="G3" t="n">
        <v>85.09999999999999</v>
      </c>
      <c r="H3" t="n">
        <v>-856</v>
      </c>
    </row>
    <row r="4">
      <c r="A4" t="inlineStr">
        <is>
          <t>CY2025</t>
        </is>
      </c>
      <c r="B4" s="2" t="n">
        <v>45888</v>
      </c>
      <c r="C4" t="inlineStr">
        <is>
          <t>NOV(DK0062498333) Cash Dividend DKK 3.75 per Share - DK Tax</t>
        </is>
      </c>
      <c r="D4" t="inlineStr">
        <is>
          <t>DKK</t>
        </is>
      </c>
      <c r="E4" t="n">
        <v>-30.38</v>
      </c>
      <c r="F4" t="n">
        <v>-4.7776</v>
      </c>
      <c r="G4" t="n">
        <v>87.15000000000001</v>
      </c>
      <c r="H4" t="n">
        <v>-416</v>
      </c>
    </row>
    <row r="5">
      <c r="A5" t="inlineStr">
        <is>
          <t>CY2025</t>
        </is>
      </c>
      <c r="B5" s="2" t="n">
        <v>45771</v>
      </c>
      <c r="C5" t="inlineStr">
        <is>
          <t>AIR(NL0000235190) Cash Dividend EUR 1.00 per Share - NL Tax</t>
        </is>
      </c>
      <c r="D5" t="inlineStr">
        <is>
          <t>EUR</t>
        </is>
      </c>
      <c r="E5" t="n">
        <v>-1.5</v>
      </c>
      <c r="F5" t="n">
        <v>-1.7619</v>
      </c>
      <c r="G5" t="n">
        <v>85.09999999999999</v>
      </c>
      <c r="H5" t="n">
        <v>-150</v>
      </c>
    </row>
    <row r="6">
      <c r="A6" t="inlineStr">
        <is>
          <t>CY2025</t>
        </is>
      </c>
      <c r="B6" s="2" t="n">
        <v>45771</v>
      </c>
      <c r="C6" t="inlineStr">
        <is>
          <t>AIR(NL0000235190) Cash Dividend EUR 2.00 per Share - NL Tax</t>
        </is>
      </c>
      <c r="D6" t="inlineStr">
        <is>
          <t>EUR</t>
        </is>
      </c>
      <c r="E6" t="n">
        <v>-3</v>
      </c>
      <c r="F6" t="n">
        <v>-3.5238</v>
      </c>
      <c r="G6" t="n">
        <v>85.09999999999999</v>
      </c>
      <c r="H6" t="n">
        <v>-300</v>
      </c>
    </row>
    <row r="7">
      <c r="A7" t="inlineStr">
        <is>
          <t>CY2025</t>
        </is>
      </c>
      <c r="B7" s="2" t="n">
        <v>45954</v>
      </c>
      <c r="C7" t="inlineStr">
        <is>
          <t>1919(CNE1000002J7) Cash Dividend HKD 0.613944 per Share - CN Tax</t>
        </is>
      </c>
      <c r="D7" t="inlineStr">
        <is>
          <t>HKD</t>
        </is>
      </c>
      <c r="E7" t="n">
        <v>-4.91</v>
      </c>
      <c r="F7" t="n">
        <v>-0.6309</v>
      </c>
      <c r="G7" t="n">
        <v>88.34999999999999</v>
      </c>
      <c r="H7" t="n">
        <v>-56</v>
      </c>
    </row>
    <row r="8">
      <c r="A8" t="inlineStr">
        <is>
          <t>CY2025</t>
        </is>
      </c>
      <c r="B8" s="2" t="n">
        <v>45832</v>
      </c>
      <c r="C8" t="inlineStr">
        <is>
          <t>4568.T(JP3475350009) Cash Dividend JPY 30 per Share - JP Tax</t>
        </is>
      </c>
      <c r="D8" t="inlineStr">
        <is>
          <t>JPY</t>
        </is>
      </c>
      <c r="E8" t="n">
        <v>-459</v>
      </c>
      <c r="F8" t="n">
        <v>-2.9297</v>
      </c>
      <c r="G8" t="n">
        <v>85.09999999999999</v>
      </c>
      <c r="H8" t="n">
        <v>-249</v>
      </c>
    </row>
    <row r="9">
      <c r="A9" t="inlineStr">
        <is>
          <t>CY2025</t>
        </is>
      </c>
      <c r="B9" s="2" t="n">
        <v>46001</v>
      </c>
      <c r="C9" t="inlineStr">
        <is>
          <t>4568.T(JP3475350009) Cash Dividend JPY 39 per Share - JP Tax</t>
        </is>
      </c>
      <c r="D9" t="inlineStr">
        <is>
          <t>JPY</t>
        </is>
      </c>
      <c r="E9" t="n">
        <v>-597</v>
      </c>
      <c r="F9" t="n">
        <v>-3.8105</v>
      </c>
      <c r="G9" t="n">
        <v>88.95</v>
      </c>
      <c r="H9" t="n">
        <v>-339</v>
      </c>
    </row>
    <row r="10">
      <c r="A10" t="inlineStr">
        <is>
          <t>CY2025</t>
        </is>
      </c>
      <c r="B10" s="2" t="n">
        <v>45600</v>
      </c>
      <c r="C10" t="inlineStr">
        <is>
          <t>BX(US09260D1072) Cash Dividend USD 0.86 per Share - US Tax</t>
        </is>
      </c>
      <c r="D10" t="inlineStr">
        <is>
          <t>USD</t>
        </is>
      </c>
      <c r="E10" t="n">
        <v>2.58</v>
      </c>
      <c r="F10" t="n">
        <v>2.58</v>
      </c>
      <c r="G10" t="n">
        <v>83.68000000000001</v>
      </c>
      <c r="H10" t="n">
        <v>216</v>
      </c>
    </row>
    <row r="11">
      <c r="A11" t="inlineStr">
        <is>
          <t>CY2025</t>
        </is>
      </c>
      <c r="B11" s="2" t="n">
        <v>45600</v>
      </c>
      <c r="C11" t="inlineStr">
        <is>
          <t>BX(US09260D1072) Cash Dividend USD 0.86 per Share - US Tax</t>
        </is>
      </c>
      <c r="D11" t="inlineStr">
        <is>
          <t>USD</t>
        </is>
      </c>
      <c r="E11" t="n">
        <v>-1.19</v>
      </c>
      <c r="F11" t="n">
        <v>-1.19</v>
      </c>
      <c r="G11" t="n">
        <v>83.68000000000001</v>
      </c>
      <c r="H11" t="n">
        <v>-100</v>
      </c>
    </row>
    <row r="12">
      <c r="A12" t="inlineStr">
        <is>
          <t>CY2025</t>
        </is>
      </c>
      <c r="B12" s="2" t="n">
        <v>45602</v>
      </c>
      <c r="C12" t="inlineStr">
        <is>
          <t>TIP(US4642871762) Cash Dividend USD 0.089026 per Share - US Tax</t>
        </is>
      </c>
      <c r="D12" t="inlineStr">
        <is>
          <t>USD</t>
        </is>
      </c>
      <c r="E12" t="n">
        <v>1.34</v>
      </c>
      <c r="F12" t="n">
        <v>1.34</v>
      </c>
      <c r="G12" t="n">
        <v>83.68000000000001</v>
      </c>
      <c r="H12" t="n">
        <v>112</v>
      </c>
    </row>
    <row r="13">
      <c r="A13" t="inlineStr">
        <is>
          <t>CY2025</t>
        </is>
      </c>
      <c r="B13" s="2" t="n">
        <v>45631</v>
      </c>
      <c r="C13" t="inlineStr">
        <is>
          <t>TIP(US4642871762) Cash Dividend USD 0.189903 per Share - US Tax</t>
        </is>
      </c>
      <c r="D13" t="inlineStr">
        <is>
          <t>USD</t>
        </is>
      </c>
      <c r="E13" t="n">
        <v>2.85</v>
      </c>
      <c r="F13" t="n">
        <v>2.85</v>
      </c>
      <c r="G13" t="n">
        <v>84.15000000000001</v>
      </c>
      <c r="H13" t="n">
        <v>240</v>
      </c>
    </row>
    <row r="14">
      <c r="A14" t="inlineStr">
        <is>
          <t>CY2025</t>
        </is>
      </c>
      <c r="B14" s="2" t="n">
        <v>45646</v>
      </c>
      <c r="C14" t="inlineStr">
        <is>
          <t>MCHI(US46429B6719) Cash Dividend USD 0.891074 per Share - US Tax</t>
        </is>
      </c>
      <c r="D14" t="inlineStr">
        <is>
          <t>USD</t>
        </is>
      </c>
      <c r="E14" t="n">
        <v>6.02</v>
      </c>
      <c r="F14" t="n">
        <v>6.02</v>
      </c>
      <c r="G14" t="n">
        <v>84.15000000000001</v>
      </c>
      <c r="H14" t="n">
        <v>507</v>
      </c>
    </row>
    <row r="15">
      <c r="A15" t="inlineStr">
        <is>
          <t>CY2025</t>
        </is>
      </c>
      <c r="B15" s="2" t="n">
        <v>45646</v>
      </c>
      <c r="C15" t="inlineStr">
        <is>
          <t>MCHI(US46429B6719) Cash Dividend USD 0.891074 per Share - US Tax</t>
        </is>
      </c>
      <c r="D15" t="inlineStr">
        <is>
          <t>USD</t>
        </is>
      </c>
      <c r="E15" t="n">
        <v>-6.01</v>
      </c>
      <c r="F15" t="n">
        <v>-6.01</v>
      </c>
      <c r="G15" t="n">
        <v>84.15000000000001</v>
      </c>
      <c r="H15" t="n">
        <v>-506</v>
      </c>
    </row>
    <row r="16">
      <c r="A16" t="inlineStr">
        <is>
          <t>CY2025</t>
        </is>
      </c>
      <c r="B16" s="2" t="n">
        <v>45649</v>
      </c>
      <c r="C16" t="inlineStr">
        <is>
          <t>TIP(US4642871762) Cash Dividend USD 0.160303 per Share - US Tax</t>
        </is>
      </c>
      <c r="D16" t="inlineStr">
        <is>
          <t>USD</t>
        </is>
      </c>
      <c r="E16" t="n">
        <v>2.41</v>
      </c>
      <c r="F16" t="n">
        <v>2.41</v>
      </c>
      <c r="G16" t="n">
        <v>84.15000000000001</v>
      </c>
      <c r="H16" t="n">
        <v>203</v>
      </c>
    </row>
    <row r="17">
      <c r="A17" t="inlineStr">
        <is>
          <t>CY2025</t>
        </is>
      </c>
      <c r="B17" s="2" t="n">
        <v>45656</v>
      </c>
      <c r="C17" t="inlineStr">
        <is>
          <t>DXJ(US97717W8516) Cash Dividend USD 2.88329 per Share - US Tax</t>
        </is>
      </c>
      <c r="D17" t="inlineStr">
        <is>
          <t>USD</t>
        </is>
      </c>
      <c r="E17" t="n">
        <v>4.33</v>
      </c>
      <c r="F17" t="n">
        <v>4.33</v>
      </c>
      <c r="G17" t="n">
        <v>84.15000000000001</v>
      </c>
      <c r="H17" t="n">
        <v>364</v>
      </c>
    </row>
    <row r="18">
      <c r="A18" t="inlineStr">
        <is>
          <t>CY2025</t>
        </is>
      </c>
      <c r="B18" s="2" t="n">
        <v>45656</v>
      </c>
      <c r="C18" t="inlineStr">
        <is>
          <t>DXJ(US97717W8516) Cash Dividend USD 2.88329 per Share - US Tax</t>
        </is>
      </c>
      <c r="D18" t="inlineStr">
        <is>
          <t>USD</t>
        </is>
      </c>
      <c r="E18" t="n">
        <v>-4.32</v>
      </c>
      <c r="F18" t="n">
        <v>-4.32</v>
      </c>
      <c r="G18" t="n">
        <v>84.15000000000001</v>
      </c>
      <c r="H18" t="n">
        <v>-364</v>
      </c>
    </row>
    <row r="19">
      <c r="A19" t="inlineStr">
        <is>
          <t>CY2025</t>
        </is>
      </c>
      <c r="B19" s="2" t="n">
        <v>45664</v>
      </c>
      <c r="C19" t="inlineStr">
        <is>
          <t>AIQ(US37954Y6326) Cash Dividend USD 0.010912 per Share - US Tax</t>
        </is>
      </c>
      <c r="D19" t="inlineStr">
        <is>
          <t>USD</t>
        </is>
      </c>
      <c r="E19" t="n">
        <v>-0.1</v>
      </c>
      <c r="F19" t="n">
        <v>-0.1</v>
      </c>
      <c r="G19" t="n">
        <v>85.2</v>
      </c>
      <c r="H19" t="n">
        <v>-9</v>
      </c>
    </row>
    <row r="20">
      <c r="A20" t="inlineStr">
        <is>
          <t>CY2025</t>
        </is>
      </c>
      <c r="B20" s="2" t="n">
        <v>45665</v>
      </c>
      <c r="C20" t="inlineStr">
        <is>
          <t>LRCX(US5128073062) Cash Dividend USD 0.23 per Share - US Tax</t>
        </is>
      </c>
      <c r="D20" t="inlineStr">
        <is>
          <t>USD</t>
        </is>
      </c>
      <c r="E20" t="n">
        <v>-0.58</v>
      </c>
      <c r="F20" t="n">
        <v>-0.58</v>
      </c>
      <c r="G20" t="n">
        <v>85.2</v>
      </c>
      <c r="H20" t="n">
        <v>-49</v>
      </c>
    </row>
    <row r="21">
      <c r="A21" t="inlineStr">
        <is>
          <t>CY2025</t>
        </is>
      </c>
      <c r="B21" s="2" t="n">
        <v>45666</v>
      </c>
      <c r="C21" t="inlineStr">
        <is>
          <t>TSM(US8740391003) Cash Dividend USD 0.608106 per Share - TW Tax</t>
        </is>
      </c>
      <c r="D21" t="inlineStr">
        <is>
          <t>USD</t>
        </is>
      </c>
      <c r="E21" t="n">
        <v>-0.77</v>
      </c>
      <c r="F21" t="n">
        <v>-0.77</v>
      </c>
      <c r="G21" t="n">
        <v>85.2</v>
      </c>
      <c r="H21" t="n">
        <v>-66</v>
      </c>
    </row>
    <row r="22">
      <c r="A22" t="inlineStr">
        <is>
          <t>CY2025</t>
        </is>
      </c>
      <c r="B22" s="2" t="n">
        <v>45684</v>
      </c>
      <c r="C22" t="inlineStr">
        <is>
          <t>GE(US3696043013) Cash Dividend USD 0.28 per Share - US Tax</t>
        </is>
      </c>
      <c r="D22" t="inlineStr">
        <is>
          <t>USD</t>
        </is>
      </c>
      <c r="E22" t="n">
        <v>-0.21</v>
      </c>
      <c r="F22" t="n">
        <v>-0.21</v>
      </c>
      <c r="G22" t="n">
        <v>85.2</v>
      </c>
      <c r="H22" t="n">
        <v>-18</v>
      </c>
    </row>
    <row r="23">
      <c r="A23" t="inlineStr">
        <is>
          <t>CY2025</t>
        </is>
      </c>
      <c r="B23" s="2" t="n">
        <v>45706</v>
      </c>
      <c r="C23" t="inlineStr">
        <is>
          <t>BX(US09260D1072) Cash Dividend USD 1.44 per Share - US Tax</t>
        </is>
      </c>
      <c r="D23" t="inlineStr">
        <is>
          <t>USD</t>
        </is>
      </c>
      <c r="E23" t="n">
        <v>-4.32</v>
      </c>
      <c r="F23" t="n">
        <v>-4.32</v>
      </c>
      <c r="G23" t="n">
        <v>86.2</v>
      </c>
      <c r="H23" t="n">
        <v>-372</v>
      </c>
    </row>
    <row r="24">
      <c r="A24" t="inlineStr">
        <is>
          <t>CY2025</t>
        </is>
      </c>
      <c r="B24" s="2" t="n">
        <v>45707</v>
      </c>
      <c r="C24" t="inlineStr">
        <is>
          <t>ASML(USN070592100) Cash Dividend USD 1.570464 per Share - NL Tax</t>
        </is>
      </c>
      <c r="D24" t="inlineStr">
        <is>
          <t>USD</t>
        </is>
      </c>
      <c r="E24" t="n">
        <v>-1.41</v>
      </c>
      <c r="F24" t="n">
        <v>-1.41</v>
      </c>
      <c r="G24" t="n">
        <v>86.2</v>
      </c>
      <c r="H24" t="n">
        <v>-122</v>
      </c>
    </row>
    <row r="25">
      <c r="A25" t="inlineStr">
        <is>
          <t>CY2025</t>
        </is>
      </c>
      <c r="B25" s="2" t="n">
        <v>45708</v>
      </c>
      <c r="C25" t="inlineStr">
        <is>
          <t>CAT(US1491231015) Cash Dividend USD 1.41 per Share - US Tax</t>
        </is>
      </c>
      <c r="D25" t="inlineStr">
        <is>
          <t>USD</t>
        </is>
      </c>
      <c r="E25" t="n">
        <v>-1.06</v>
      </c>
      <c r="F25" t="n">
        <v>-1.06</v>
      </c>
      <c r="G25" t="n">
        <v>86.2</v>
      </c>
      <c r="H25" t="n">
        <v>-91</v>
      </c>
    </row>
    <row r="26">
      <c r="A26" t="inlineStr">
        <is>
          <t>CY2025</t>
        </is>
      </c>
      <c r="B26" s="2" t="n">
        <v>45719</v>
      </c>
      <c r="C26" t="inlineStr">
        <is>
          <t>TGT(US87612E1064) Cash Dividend USD 1.12 per Share - US Tax</t>
        </is>
      </c>
      <c r="D26" t="inlineStr">
        <is>
          <t>USD</t>
        </is>
      </c>
      <c r="E26" t="n">
        <v>-1.68</v>
      </c>
      <c r="F26" t="n">
        <v>-1.68</v>
      </c>
      <c r="G26" t="n">
        <v>86.95</v>
      </c>
      <c r="H26" t="n">
        <v>-146</v>
      </c>
    </row>
    <row r="27">
      <c r="A27" t="inlineStr">
        <is>
          <t>CY2025</t>
        </is>
      </c>
      <c r="B27" s="2" t="n">
        <v>45726</v>
      </c>
      <c r="C27" t="inlineStr">
        <is>
          <t>LLY(US5324571083) Cash Dividend USD 1.50 per Share - US Tax</t>
        </is>
      </c>
      <c r="D27" t="inlineStr">
        <is>
          <t>USD</t>
        </is>
      </c>
      <c r="E27" t="n">
        <v>-2.25</v>
      </c>
      <c r="F27" t="n">
        <v>-2.25</v>
      </c>
      <c r="G27" t="n">
        <v>86.95</v>
      </c>
      <c r="H27" t="n">
        <v>-196</v>
      </c>
    </row>
    <row r="28">
      <c r="A28" t="inlineStr">
        <is>
          <t>CY2025</t>
        </is>
      </c>
      <c r="B28" s="2" t="n">
        <v>45729</v>
      </c>
      <c r="C28" t="inlineStr">
        <is>
          <t>MSFT(US5949181045) Cash Dividend USD 0.83 per Share - US Tax</t>
        </is>
      </c>
      <c r="D28" t="inlineStr">
        <is>
          <t>USD</t>
        </is>
      </c>
      <c r="E28" t="n">
        <v>-1.25</v>
      </c>
      <c r="F28" t="n">
        <v>-1.25</v>
      </c>
      <c r="G28" t="n">
        <v>86.95</v>
      </c>
      <c r="H28" t="n">
        <v>-109</v>
      </c>
    </row>
    <row r="29">
      <c r="A29" t="inlineStr">
        <is>
          <t>CY2025</t>
        </is>
      </c>
      <c r="B29" s="2" t="n">
        <v>45747</v>
      </c>
      <c r="C29" t="inlineStr">
        <is>
          <t>AVGO(US11135F1012) Cash Dividend USD 0.59 per Share - US Tax</t>
        </is>
      </c>
      <c r="D29" t="inlineStr">
        <is>
          <t>USD</t>
        </is>
      </c>
      <c r="E29" t="n">
        <v>-1.33</v>
      </c>
      <c r="F29" t="n">
        <v>-1.33</v>
      </c>
      <c r="G29" t="n">
        <v>86.95</v>
      </c>
      <c r="H29" t="n">
        <v>-116</v>
      </c>
    </row>
    <row r="30">
      <c r="A30" t="inlineStr">
        <is>
          <t>CY2025</t>
        </is>
      </c>
      <c r="B30" s="2" t="n">
        <v>45749</v>
      </c>
      <c r="C30" t="inlineStr">
        <is>
          <t>NVDA(US67066G1040) Cash Dividend USD 0.01 per Share - US Tax</t>
        </is>
      </c>
      <c r="D30" t="inlineStr">
        <is>
          <t>USD</t>
        </is>
      </c>
      <c r="E30" t="n">
        <v>-0.01</v>
      </c>
      <c r="F30" t="n">
        <v>-0.01</v>
      </c>
      <c r="G30" t="n">
        <v>85.09999999999999</v>
      </c>
      <c r="H30" t="n">
        <v>-1</v>
      </c>
    </row>
    <row r="31">
      <c r="A31" t="inlineStr">
        <is>
          <t>CY2025</t>
        </is>
      </c>
      <c r="B31" s="2" t="n">
        <v>45751</v>
      </c>
      <c r="C31" t="inlineStr">
        <is>
          <t>TIP(US4642871762) Cash Dividend USD 0.70918 per Share - US Tax</t>
        </is>
      </c>
      <c r="D31" t="inlineStr">
        <is>
          <t>USD</t>
        </is>
      </c>
      <c r="E31" t="n">
        <v>-10.64</v>
      </c>
      <c r="F31" t="n">
        <v>-10.64</v>
      </c>
      <c r="G31" t="n">
        <v>85.09999999999999</v>
      </c>
      <c r="H31" t="n">
        <v>-905</v>
      </c>
    </row>
    <row r="32">
      <c r="A32" t="inlineStr">
        <is>
          <t>CY2025</t>
        </is>
      </c>
      <c r="B32" s="2" t="n">
        <v>45756</v>
      </c>
      <c r="C32" t="inlineStr">
        <is>
          <t>LRCX(US5128073062) Cash Dividend USD 0.23 per Share - US Tax</t>
        </is>
      </c>
      <c r="D32" t="inlineStr">
        <is>
          <t>USD</t>
        </is>
      </c>
      <c r="E32" t="n">
        <v>-0.58</v>
      </c>
      <c r="F32" t="n">
        <v>-0.58</v>
      </c>
      <c r="G32" t="n">
        <v>85.09999999999999</v>
      </c>
      <c r="H32" t="n">
        <v>-49</v>
      </c>
    </row>
    <row r="33">
      <c r="A33" t="inlineStr">
        <is>
          <t>CY2025</t>
        </is>
      </c>
      <c r="B33" s="2" t="n">
        <v>45757</v>
      </c>
      <c r="C33" t="inlineStr">
        <is>
          <t>TSM(US8740391003) Cash Dividend USD 0.677693 per Share - TW Tax</t>
        </is>
      </c>
      <c r="D33" t="inlineStr">
        <is>
          <t>USD</t>
        </is>
      </c>
      <c r="E33" t="n">
        <v>-0.85</v>
      </c>
      <c r="F33" t="n">
        <v>-0.85</v>
      </c>
      <c r="G33" t="n">
        <v>85.09999999999999</v>
      </c>
      <c r="H33" t="n">
        <v>-72</v>
      </c>
    </row>
    <row r="34">
      <c r="A34" t="inlineStr">
        <is>
          <t>CY2025</t>
        </is>
      </c>
      <c r="B34" s="2" t="n">
        <v>45772</v>
      </c>
      <c r="C34" t="inlineStr">
        <is>
          <t>GE(US3696043013) Cash Dividend USD 0.36 per Share - US Tax</t>
        </is>
      </c>
      <c r="D34" t="inlineStr">
        <is>
          <t>USD</t>
        </is>
      </c>
      <c r="E34" t="n">
        <v>-0.27</v>
      </c>
      <c r="F34" t="n">
        <v>-0.27</v>
      </c>
      <c r="G34" t="n">
        <v>85.09999999999999</v>
      </c>
      <c r="H34" t="n">
        <v>-23</v>
      </c>
    </row>
    <row r="35">
      <c r="A35" t="inlineStr">
        <is>
          <t>CY2025</t>
        </is>
      </c>
      <c r="B35" s="2" t="n">
        <v>45772</v>
      </c>
      <c r="C35" t="inlineStr">
        <is>
          <t>HYU(USY384721251) Cash Dividend USD 2.125058 per Share - KR Tax</t>
        </is>
      </c>
      <c r="D35" t="inlineStr">
        <is>
          <t>USD</t>
        </is>
      </c>
      <c r="E35" t="n">
        <v>-11.22</v>
      </c>
      <c r="F35" t="n">
        <v>-11.22</v>
      </c>
      <c r="G35" t="n">
        <v>85.09999999999999</v>
      </c>
      <c r="H35" t="n">
        <v>-955</v>
      </c>
    </row>
    <row r="36">
      <c r="A36" t="inlineStr">
        <is>
          <t>CY2025</t>
        </is>
      </c>
      <c r="B36" s="2" t="n">
        <v>45782</v>
      </c>
      <c r="C36" t="inlineStr">
        <is>
          <t>BX(US09260D1072) Cash Dividend USD 0.93 per Share - US Tax</t>
        </is>
      </c>
      <c r="D36" t="inlineStr">
        <is>
          <t>USD</t>
        </is>
      </c>
      <c r="E36" t="n">
        <v>-2.79</v>
      </c>
      <c r="F36" t="n">
        <v>-2.79</v>
      </c>
      <c r="G36" t="n">
        <v>84.25</v>
      </c>
      <c r="H36" t="n">
        <v>-235</v>
      </c>
    </row>
    <row r="37">
      <c r="A37" t="inlineStr">
        <is>
          <t>CY2025</t>
        </is>
      </c>
      <c r="B37" s="2" t="n">
        <v>45783</v>
      </c>
      <c r="C37" t="inlineStr">
        <is>
          <t>ASML(USN070592100) Cash Dividend USD 2.090608 per Share - NL Tax</t>
        </is>
      </c>
      <c r="D37" t="inlineStr">
        <is>
          <t>USD</t>
        </is>
      </c>
      <c r="E37" t="n">
        <v>-1.88</v>
      </c>
      <c r="F37" t="n">
        <v>-1.88</v>
      </c>
      <c r="G37" t="n">
        <v>84.25</v>
      </c>
      <c r="H37" t="n">
        <v>-158</v>
      </c>
    </row>
    <row r="38">
      <c r="A38" t="inlineStr">
        <is>
          <t>CY2025</t>
        </is>
      </c>
      <c r="B38" s="2" t="n">
        <v>45783</v>
      </c>
      <c r="C38" t="inlineStr">
        <is>
          <t>TIP(US4642871762) Cash Dividend USD 0.534953 per Share - US Tax</t>
        </is>
      </c>
      <c r="D38" t="inlineStr">
        <is>
          <t>USD</t>
        </is>
      </c>
      <c r="E38" t="n">
        <v>-8.029999999999999</v>
      </c>
      <c r="F38" t="n">
        <v>-8.029999999999999</v>
      </c>
      <c r="G38" t="n">
        <v>84.25</v>
      </c>
      <c r="H38" t="n">
        <v>-677</v>
      </c>
    </row>
    <row r="39">
      <c r="A39" t="inlineStr">
        <is>
          <t>CY2025</t>
        </is>
      </c>
      <c r="B39" s="2" t="n">
        <v>45786</v>
      </c>
      <c r="C39" t="inlineStr">
        <is>
          <t>GD(US3695501086) Cash Dividend USD 1.50 per Share - US Tax</t>
        </is>
      </c>
      <c r="D39" t="inlineStr">
        <is>
          <t>USD</t>
        </is>
      </c>
      <c r="E39" t="n">
        <v>-2.25</v>
      </c>
      <c r="F39" t="n">
        <v>-2.25</v>
      </c>
      <c r="G39" t="n">
        <v>84.25</v>
      </c>
      <c r="H39" t="n">
        <v>-190</v>
      </c>
    </row>
    <row r="40">
      <c r="A40" t="inlineStr">
        <is>
          <t>CY2025</t>
        </is>
      </c>
      <c r="B40" s="2" t="n">
        <v>45797</v>
      </c>
      <c r="C40" t="inlineStr">
        <is>
          <t>CAT(US1491231015) Cash Dividend USD 1.41 per Share - US Tax</t>
        </is>
      </c>
      <c r="D40" t="inlineStr">
        <is>
          <t>USD</t>
        </is>
      </c>
      <c r="E40" t="n">
        <v>-3.17</v>
      </c>
      <c r="F40" t="n">
        <v>-3.17</v>
      </c>
      <c r="G40" t="n">
        <v>84.25</v>
      </c>
      <c r="H40" t="n">
        <v>-267</v>
      </c>
    </row>
    <row r="41">
      <c r="A41" t="inlineStr">
        <is>
          <t>CY2025</t>
        </is>
      </c>
      <c r="B41" s="2" t="n">
        <v>45810</v>
      </c>
      <c r="C41" t="inlineStr">
        <is>
          <t>TGT(US87612E1064) Cash Dividend USD 1.12 per Share - US Tax</t>
        </is>
      </c>
      <c r="D41" t="inlineStr">
        <is>
          <t>USD</t>
        </is>
      </c>
      <c r="E41" t="n">
        <v>-7.28</v>
      </c>
      <c r="F41" t="n">
        <v>-7.28</v>
      </c>
      <c r="G41" t="n">
        <v>85.09999999999999</v>
      </c>
      <c r="H41" t="n">
        <v>-620</v>
      </c>
    </row>
    <row r="42">
      <c r="A42" t="inlineStr">
        <is>
          <t>CY2025</t>
        </is>
      </c>
      <c r="B42" s="2" t="n">
        <v>45813</v>
      </c>
      <c r="C42" t="inlineStr">
        <is>
          <t>TIP(US4642871762) Cash Dividend USD 0.273105 per Share - US Tax</t>
        </is>
      </c>
      <c r="D42" t="inlineStr">
        <is>
          <t>USD</t>
        </is>
      </c>
      <c r="E42" t="n">
        <v>-4.1</v>
      </c>
      <c r="F42" t="n">
        <v>-4.1</v>
      </c>
      <c r="G42" t="n">
        <v>85.09999999999999</v>
      </c>
      <c r="H42" t="n">
        <v>-349</v>
      </c>
    </row>
    <row r="43">
      <c r="A43" t="inlineStr">
        <is>
          <t>CY2025</t>
        </is>
      </c>
      <c r="B43" s="2" t="n">
        <v>45818</v>
      </c>
      <c r="C43" t="inlineStr">
        <is>
          <t>LLY(US5324571083) Cash Dividend USD 1.50 per Share - US Tax</t>
        </is>
      </c>
      <c r="D43" t="inlineStr">
        <is>
          <t>USD</t>
        </is>
      </c>
      <c r="E43" t="n">
        <v>-2.25</v>
      </c>
      <c r="F43" t="n">
        <v>-2.25</v>
      </c>
      <c r="G43" t="n">
        <v>85.09999999999999</v>
      </c>
      <c r="H43" t="n">
        <v>-191</v>
      </c>
    </row>
    <row r="44">
      <c r="A44" t="inlineStr">
        <is>
          <t>CY2025</t>
        </is>
      </c>
      <c r="B44" s="2" t="n">
        <v>45820</v>
      </c>
      <c r="C44" t="inlineStr">
        <is>
          <t>MSFT(US5949181045) Cash Dividend USD 0.83 per Share - US Tax</t>
        </is>
      </c>
      <c r="D44" t="inlineStr">
        <is>
          <t>USD</t>
        </is>
      </c>
      <c r="E44" t="n">
        <v>-1.25</v>
      </c>
      <c r="F44" t="n">
        <v>-1.25</v>
      </c>
      <c r="G44" t="n">
        <v>85.09999999999999</v>
      </c>
      <c r="H44" t="n">
        <v>-106</v>
      </c>
    </row>
    <row r="45">
      <c r="A45" t="inlineStr">
        <is>
          <t>CY2025</t>
        </is>
      </c>
      <c r="B45" s="2" t="n">
        <v>45820</v>
      </c>
      <c r="C45" t="inlineStr">
        <is>
          <t>RTX(US75513E1010) Cash Dividend USD 0.68 per Share - US Tax</t>
        </is>
      </c>
      <c r="D45" t="inlineStr">
        <is>
          <t>USD</t>
        </is>
      </c>
      <c r="E45" t="n">
        <v>-5.1</v>
      </c>
      <c r="F45" t="n">
        <v>-5.1</v>
      </c>
      <c r="G45" t="n">
        <v>85.09999999999999</v>
      </c>
      <c r="H45" t="n">
        <v>-434</v>
      </c>
    </row>
    <row r="46">
      <c r="A46" t="inlineStr">
        <is>
          <t>CY2025</t>
        </is>
      </c>
      <c r="B46" s="2" t="n">
        <v>45828</v>
      </c>
      <c r="C46" t="inlineStr">
        <is>
          <t>EMXC(US46434G7640) Cash Dividend USD 0.711404 per Share - US Tax</t>
        </is>
      </c>
      <c r="D46" t="inlineStr">
        <is>
          <t>USD</t>
        </is>
      </c>
      <c r="E46" t="n">
        <v>-1.6</v>
      </c>
      <c r="F46" t="n">
        <v>-1.6</v>
      </c>
      <c r="G46" t="n">
        <v>85.09999999999999</v>
      </c>
      <c r="H46" t="n">
        <v>-136</v>
      </c>
    </row>
    <row r="47">
      <c r="A47" t="inlineStr">
        <is>
          <t>CY2025</t>
        </is>
      </c>
      <c r="B47" s="2" t="n">
        <v>45828</v>
      </c>
      <c r="C47" t="inlineStr">
        <is>
          <t>MCHI(US46429B6719) Payment in Lieu of Dividend - US Tax</t>
        </is>
      </c>
      <c r="D47" t="inlineStr">
        <is>
          <t>USD</t>
        </is>
      </c>
      <c r="E47" t="n">
        <v>-3.62</v>
      </c>
      <c r="F47" t="n">
        <v>-3.62</v>
      </c>
      <c r="G47" t="n">
        <v>85.09999999999999</v>
      </c>
      <c r="H47" t="n">
        <v>-308</v>
      </c>
    </row>
    <row r="48">
      <c r="A48" t="inlineStr">
        <is>
          <t>CY2025</t>
        </is>
      </c>
      <c r="B48" s="2" t="n">
        <v>45835</v>
      </c>
      <c r="C48" t="inlineStr">
        <is>
          <t>BAC(US0605051046) Cash Dividend USD 0.26 per Share - US Tax</t>
        </is>
      </c>
      <c r="D48" t="inlineStr">
        <is>
          <t>USD</t>
        </is>
      </c>
      <c r="E48" t="n">
        <v>-3.9</v>
      </c>
      <c r="F48" t="n">
        <v>-3.9</v>
      </c>
      <c r="G48" t="n">
        <v>85.09999999999999</v>
      </c>
      <c r="H48" t="n">
        <v>-332</v>
      </c>
    </row>
    <row r="49">
      <c r="A49" t="inlineStr">
        <is>
          <t>CY2025</t>
        </is>
      </c>
      <c r="B49" s="2" t="n">
        <v>45835</v>
      </c>
      <c r="C49" t="inlineStr">
        <is>
          <t>DXJ(US97717W8516) Cash Dividend USD 1.34 per Share - US Tax</t>
        </is>
      </c>
      <c r="D49" t="inlineStr">
        <is>
          <t>USD</t>
        </is>
      </c>
      <c r="E49" t="n">
        <v>-2.01</v>
      </c>
      <c r="F49" t="n">
        <v>-2.01</v>
      </c>
      <c r="G49" t="n">
        <v>85.09999999999999</v>
      </c>
      <c r="H49" t="n">
        <v>-171</v>
      </c>
    </row>
    <row r="50">
      <c r="A50" t="inlineStr">
        <is>
          <t>CY2025</t>
        </is>
      </c>
      <c r="B50" s="2" t="n">
        <v>45835</v>
      </c>
      <c r="C50" t="inlineStr">
        <is>
          <t>IGPT(US46137V6395) Cash Dividend USD 0.01677 per Share - US Tax</t>
        </is>
      </c>
      <c r="D50" t="inlineStr">
        <is>
          <t>USD</t>
        </is>
      </c>
      <c r="E50" t="n">
        <v>-0.14</v>
      </c>
      <c r="F50" t="n">
        <v>-0.14</v>
      </c>
      <c r="G50" t="n">
        <v>85.09999999999999</v>
      </c>
      <c r="H50" t="n">
        <v>-12</v>
      </c>
    </row>
    <row r="51">
      <c r="A51" t="inlineStr">
        <is>
          <t>CY2025</t>
        </is>
      </c>
      <c r="B51" s="2" t="n">
        <v>45838</v>
      </c>
      <c r="C51" t="inlineStr">
        <is>
          <t>AVGO(US11135F1012) Cash Dividend USD 0.59 per Share - US Tax</t>
        </is>
      </c>
      <c r="D51" t="inlineStr">
        <is>
          <t>USD</t>
        </is>
      </c>
      <c r="E51" t="n">
        <v>-1.33</v>
      </c>
      <c r="F51" t="n">
        <v>-1.33</v>
      </c>
      <c r="G51" t="n">
        <v>85.09999999999999</v>
      </c>
      <c r="H51" t="n">
        <v>-113</v>
      </c>
    </row>
    <row r="52">
      <c r="A52" t="inlineStr">
        <is>
          <t>CY2025</t>
        </is>
      </c>
      <c r="B52" s="2" t="n">
        <v>45841</v>
      </c>
      <c r="C52" t="inlineStr">
        <is>
          <t>NVDA(US67066G1040) Cash Dividend USD 0.01 per Share - US Tax</t>
        </is>
      </c>
      <c r="D52" t="inlineStr">
        <is>
          <t>USD</t>
        </is>
      </c>
      <c r="E52" t="n">
        <v>-0.04</v>
      </c>
      <c r="F52" t="n">
        <v>-0.04</v>
      </c>
      <c r="G52" t="n">
        <v>85.09999999999999</v>
      </c>
      <c r="H52" t="n">
        <v>-3</v>
      </c>
    </row>
    <row r="53">
      <c r="A53" t="inlineStr">
        <is>
          <t>CY2025</t>
        </is>
      </c>
      <c r="B53" s="2" t="n">
        <v>45845</v>
      </c>
      <c r="C53" t="inlineStr">
        <is>
          <t>AIQ(US37954Y6326) Payment in Lieu of Dividend - US Tax</t>
        </is>
      </c>
      <c r="D53" t="inlineStr">
        <is>
          <t>USD</t>
        </is>
      </c>
      <c r="E53" t="n">
        <v>-0.44</v>
      </c>
      <c r="F53" t="n">
        <v>-0.44</v>
      </c>
      <c r="G53" t="n">
        <v>85.09999999999999</v>
      </c>
      <c r="H53" t="n">
        <v>-37</v>
      </c>
    </row>
    <row r="54">
      <c r="A54" t="inlineStr">
        <is>
          <t>CY2025</t>
        </is>
      </c>
      <c r="B54" s="2" t="n">
        <v>45845</v>
      </c>
      <c r="C54" t="inlineStr">
        <is>
          <t>TIP(US4642871762) Cash Dividend USD 0.379923 per Share - US Tax</t>
        </is>
      </c>
      <c r="D54" t="inlineStr">
        <is>
          <t>USD</t>
        </is>
      </c>
      <c r="E54" t="n">
        <v>-5.7</v>
      </c>
      <c r="F54" t="n">
        <v>-5.7</v>
      </c>
      <c r="G54" t="n">
        <v>85.09999999999999</v>
      </c>
      <c r="H54" t="n">
        <v>-485</v>
      </c>
    </row>
    <row r="55">
      <c r="A55" t="inlineStr">
        <is>
          <t>CY2025</t>
        </is>
      </c>
      <c r="B55" s="2" t="n">
        <v>45846</v>
      </c>
      <c r="C55" t="inlineStr">
        <is>
          <t>HYU(USY384721251) Cash Dividend USD 0.920756 per Share - KR Tax</t>
        </is>
      </c>
      <c r="D55" t="inlineStr">
        <is>
          <t>USD</t>
        </is>
      </c>
      <c r="E55" t="n">
        <v>-4.86</v>
      </c>
      <c r="F55" t="n">
        <v>-4.86</v>
      </c>
      <c r="G55" t="n">
        <v>85.09999999999999</v>
      </c>
      <c r="H55" t="n">
        <v>-414</v>
      </c>
    </row>
    <row r="56">
      <c r="A56" t="inlineStr">
        <is>
          <t>CY2025</t>
        </is>
      </c>
      <c r="B56" s="2" t="n">
        <v>45847</v>
      </c>
      <c r="C56" t="inlineStr">
        <is>
          <t>LRCX(US5128073062) Cash Dividend USD 0.23 per Share - US Tax</t>
        </is>
      </c>
      <c r="D56" t="inlineStr">
        <is>
          <t>USD</t>
        </is>
      </c>
      <c r="E56" t="n">
        <v>-0.58</v>
      </c>
      <c r="F56" t="n">
        <v>-0.58</v>
      </c>
      <c r="G56" t="n">
        <v>85.09999999999999</v>
      </c>
      <c r="H56" t="n">
        <v>-49</v>
      </c>
    </row>
    <row r="57">
      <c r="A57" t="inlineStr">
        <is>
          <t>CY2025</t>
        </is>
      </c>
      <c r="B57" s="2" t="n">
        <v>45848</v>
      </c>
      <c r="C57" t="inlineStr">
        <is>
          <t>TSM(US8740391003) Cash Dividend USD 0.780305 per Share - TW Tax</t>
        </is>
      </c>
      <c r="D57" t="inlineStr">
        <is>
          <t>USD</t>
        </is>
      </c>
      <c r="E57" t="n">
        <v>-0.98</v>
      </c>
      <c r="F57" t="n">
        <v>-0.98</v>
      </c>
      <c r="G57" t="n">
        <v>85.09999999999999</v>
      </c>
      <c r="H57" t="n">
        <v>-83</v>
      </c>
    </row>
    <row r="58">
      <c r="A58" t="inlineStr">
        <is>
          <t>CY2025</t>
        </is>
      </c>
      <c r="B58" s="2" t="n">
        <v>45863</v>
      </c>
      <c r="C58" t="inlineStr">
        <is>
          <t>GE(US3696043013) Cash Dividend USD 0.36 per Share - US Tax</t>
        </is>
      </c>
      <c r="D58" t="inlineStr">
        <is>
          <t>USD</t>
        </is>
      </c>
      <c r="E58" t="n">
        <v>-0.27</v>
      </c>
      <c r="F58" t="n">
        <v>-0.27</v>
      </c>
      <c r="G58" t="n">
        <v>85.09999999999999</v>
      </c>
      <c r="H58" t="n">
        <v>-23</v>
      </c>
    </row>
    <row r="59">
      <c r="A59" t="inlineStr">
        <is>
          <t>CY2025</t>
        </is>
      </c>
      <c r="B59" s="2" t="n">
        <v>45875</v>
      </c>
      <c r="C59" t="inlineStr">
        <is>
          <t>TIP(US4642871762) Cash Dividend USD 0.264488 per Share - US Tax</t>
        </is>
      </c>
      <c r="D59" t="inlineStr">
        <is>
          <t>USD</t>
        </is>
      </c>
      <c r="E59" t="n">
        <v>-3.97</v>
      </c>
      <c r="F59" t="n">
        <v>-3.97</v>
      </c>
      <c r="G59" t="n">
        <v>87.15000000000001</v>
      </c>
      <c r="H59" t="n">
        <v>-346</v>
      </c>
    </row>
    <row r="60">
      <c r="A60" t="inlineStr">
        <is>
          <t>CY2025</t>
        </is>
      </c>
      <c r="B60" s="2" t="n">
        <v>45877</v>
      </c>
      <c r="C60" t="inlineStr">
        <is>
          <t>GD(US3695501086) Cash Dividend USD 1.50 per Share - US Tax</t>
        </is>
      </c>
      <c r="D60" t="inlineStr">
        <is>
          <t>USD</t>
        </is>
      </c>
      <c r="E60" t="n">
        <v>-2.25</v>
      </c>
      <c r="F60" t="n">
        <v>-2.25</v>
      </c>
      <c r="G60" t="n">
        <v>87.15000000000001</v>
      </c>
      <c r="H60" t="n">
        <v>-196</v>
      </c>
    </row>
    <row r="61">
      <c r="A61" t="inlineStr">
        <is>
          <t>CY2025</t>
        </is>
      </c>
      <c r="B61" s="2" t="n">
        <v>45882</v>
      </c>
      <c r="C61" t="inlineStr">
        <is>
          <t>BYDDY(US05606L1008) Cash Dividend USD 1.10247 per Share - CN Tax</t>
        </is>
      </c>
      <c r="D61" t="inlineStr">
        <is>
          <t>USD</t>
        </is>
      </c>
      <c r="E61" t="n">
        <v>-5.56</v>
      </c>
      <c r="F61" t="n">
        <v>-5.56</v>
      </c>
      <c r="G61" t="n">
        <v>87.15000000000001</v>
      </c>
      <c r="H61" t="n">
        <v>-485</v>
      </c>
    </row>
    <row r="62">
      <c r="A62" t="inlineStr">
        <is>
          <t>CY2025</t>
        </is>
      </c>
      <c r="B62" s="2" t="n">
        <v>45889</v>
      </c>
      <c r="C62" t="inlineStr">
        <is>
          <t>CAT(US1491231015) Cash Dividend USD 1.51 per Share - US Tax</t>
        </is>
      </c>
      <c r="D62" t="inlineStr">
        <is>
          <t>USD</t>
        </is>
      </c>
      <c r="E62" t="n">
        <v>-3.4</v>
      </c>
      <c r="F62" t="n">
        <v>-3.4</v>
      </c>
      <c r="G62" t="n">
        <v>87.15000000000001</v>
      </c>
      <c r="H62" t="n">
        <v>-296</v>
      </c>
    </row>
    <row r="63">
      <c r="A63" t="inlineStr">
        <is>
          <t>CY2025</t>
        </is>
      </c>
      <c r="B63" s="2" t="n">
        <v>45902</v>
      </c>
      <c r="C63" t="inlineStr">
        <is>
          <t>TGT(US87612E1064) Cash Dividend USD 1.14 per Share - US Tax</t>
        </is>
      </c>
      <c r="D63" t="inlineStr">
        <is>
          <t>USD</t>
        </is>
      </c>
      <c r="E63" t="n">
        <v>-7.41</v>
      </c>
      <c r="F63" t="n">
        <v>-7.41</v>
      </c>
      <c r="G63" t="n">
        <v>87.7</v>
      </c>
      <c r="H63" t="n">
        <v>-650</v>
      </c>
    </row>
    <row r="64">
      <c r="A64" t="inlineStr">
        <is>
          <t>CY2025</t>
        </is>
      </c>
      <c r="B64" s="2" t="n">
        <v>45905</v>
      </c>
      <c r="C64" t="inlineStr">
        <is>
          <t>TIP(US4642871762) Cash Dividend USD 0.417238 per Share - US Tax</t>
        </is>
      </c>
      <c r="D64" t="inlineStr">
        <is>
          <t>USD</t>
        </is>
      </c>
      <c r="E64" t="n">
        <v>-6.26</v>
      </c>
      <c r="F64" t="n">
        <v>-6.26</v>
      </c>
      <c r="G64" t="n">
        <v>87.7</v>
      </c>
      <c r="H64" t="n">
        <v>-549</v>
      </c>
    </row>
    <row r="65">
      <c r="A65" t="inlineStr">
        <is>
          <t>CY2025</t>
        </is>
      </c>
      <c r="B65" s="2" t="n">
        <v>45919</v>
      </c>
      <c r="C65" t="inlineStr">
        <is>
          <t>IWR(US4642874998) Cash Dividend USD 0.322439 per Share - US Tax</t>
        </is>
      </c>
      <c r="D65" t="inlineStr">
        <is>
          <t>USD</t>
        </is>
      </c>
      <c r="E65" t="n">
        <v>-0.8100000000000001</v>
      </c>
      <c r="F65" t="n">
        <v>-0.8100000000000001</v>
      </c>
      <c r="G65" t="n">
        <v>87.7</v>
      </c>
      <c r="H65" t="n">
        <v>-71</v>
      </c>
    </row>
    <row r="66">
      <c r="A66" t="inlineStr">
        <is>
          <t>CY2025</t>
        </is>
      </c>
      <c r="B66" s="2" t="n">
        <v>45923</v>
      </c>
      <c r="C66" t="inlineStr">
        <is>
          <t>VT(US9220427424) Cash Dividend USD 0.4781 per Share - US Tax</t>
        </is>
      </c>
      <c r="D66" t="inlineStr">
        <is>
          <t>USD</t>
        </is>
      </c>
      <c r="E66" t="n">
        <v>-1.08</v>
      </c>
      <c r="F66" t="n">
        <v>-1.08</v>
      </c>
      <c r="G66" t="n">
        <v>87.7</v>
      </c>
      <c r="H66" t="n">
        <v>-95</v>
      </c>
    </row>
    <row r="67">
      <c r="A67" t="inlineStr">
        <is>
          <t>CY2025</t>
        </is>
      </c>
      <c r="B67" s="2" t="n">
        <v>45931</v>
      </c>
      <c r="C67" t="inlineStr">
        <is>
          <t>VTV(US9229087443) Cash Dividend USD 0.9433 per Share - US Tax</t>
        </is>
      </c>
      <c r="D67" t="inlineStr">
        <is>
          <t>USD</t>
        </is>
      </c>
      <c r="E67" t="n">
        <v>-1.42</v>
      </c>
      <c r="F67" t="n">
        <v>-1.42</v>
      </c>
      <c r="G67" t="n">
        <v>88.34999999999999</v>
      </c>
      <c r="H67" t="n">
        <v>-125</v>
      </c>
    </row>
    <row r="68">
      <c r="A68" t="inlineStr">
        <is>
          <t>CY2025</t>
        </is>
      </c>
      <c r="B68" s="2" t="n">
        <v>45936</v>
      </c>
      <c r="C68" t="inlineStr">
        <is>
          <t>TIP(US4642871762) Cash Dividend USD 0.198069 per Share - US Tax</t>
        </is>
      </c>
      <c r="D68" t="inlineStr">
        <is>
          <t>USD</t>
        </is>
      </c>
      <c r="E68" t="n">
        <v>-2.97</v>
      </c>
      <c r="F68" t="n">
        <v>-2.97</v>
      </c>
      <c r="G68" t="n">
        <v>88.34999999999999</v>
      </c>
      <c r="H68" t="n">
        <v>-262</v>
      </c>
    </row>
    <row r="69">
      <c r="A69" t="inlineStr">
        <is>
          <t>CY2025</t>
        </is>
      </c>
      <c r="B69" s="2" t="n">
        <v>45952</v>
      </c>
      <c r="C69" t="inlineStr">
        <is>
          <t>CSCO(US17275R1023) Cash Dividend USD 0.41 per Share - US Tax</t>
        </is>
      </c>
      <c r="D69" t="inlineStr">
        <is>
          <t>USD</t>
        </is>
      </c>
      <c r="E69" t="n">
        <v>-2.05</v>
      </c>
      <c r="F69" t="n">
        <v>-2.05</v>
      </c>
      <c r="G69" t="n">
        <v>88.34999999999999</v>
      </c>
      <c r="H69" t="n">
        <v>-181</v>
      </c>
    </row>
    <row r="70">
      <c r="A70" t="inlineStr">
        <is>
          <t>CY2025</t>
        </is>
      </c>
      <c r="B70" s="2" t="n">
        <v>45953</v>
      </c>
      <c r="C70" t="inlineStr">
        <is>
          <t>ORCL(US68389X1054) Cash Dividend USD 0.50 per Share - US Tax</t>
        </is>
      </c>
      <c r="D70" t="inlineStr">
        <is>
          <t>USD</t>
        </is>
      </c>
      <c r="E70" t="n">
        <v>-0.63</v>
      </c>
      <c r="F70" t="n">
        <v>-0.63</v>
      </c>
      <c r="G70" t="n">
        <v>88.34999999999999</v>
      </c>
      <c r="H70" t="n">
        <v>-56</v>
      </c>
    </row>
    <row r="71">
      <c r="A71" t="inlineStr">
        <is>
          <t>CY2025</t>
        </is>
      </c>
      <c r="B71" s="2" t="n">
        <v>45961</v>
      </c>
      <c r="C71" t="inlineStr">
        <is>
          <t>QQQ(US46090E1038) Cash Dividend USD 0.69395 per Share - US Tax</t>
        </is>
      </c>
      <c r="D71" t="inlineStr">
        <is>
          <t>USD</t>
        </is>
      </c>
      <c r="E71" t="n">
        <v>-0.35</v>
      </c>
      <c r="F71" t="n">
        <v>-0.35</v>
      </c>
      <c r="G71" t="n">
        <v>88.34999999999999</v>
      </c>
      <c r="H71" t="n">
        <v>-31</v>
      </c>
    </row>
    <row r="72">
      <c r="A72" t="inlineStr">
        <is>
          <t>CY2025</t>
        </is>
      </c>
      <c r="B72" s="2" t="n">
        <v>45967</v>
      </c>
      <c r="C72" t="inlineStr">
        <is>
          <t>ASML(USN070592100) Cash Dividend USD 1.864032 per Share - NL Tax</t>
        </is>
      </c>
      <c r="D72" t="inlineStr">
        <is>
          <t>USD</t>
        </is>
      </c>
      <c r="E72" t="n">
        <v>-0.84</v>
      </c>
      <c r="F72" t="n">
        <v>-0.84</v>
      </c>
      <c r="G72" t="n">
        <v>88.2</v>
      </c>
      <c r="H72" t="n">
        <v>-74</v>
      </c>
    </row>
    <row r="73">
      <c r="A73" t="inlineStr">
        <is>
          <t>CY2025</t>
        </is>
      </c>
      <c r="B73" s="2" t="n">
        <v>45967</v>
      </c>
      <c r="C73" t="inlineStr">
        <is>
          <t>TIP(US4642871762) Cash Dividend USD 0.360933 per Share - US Tax</t>
        </is>
      </c>
      <c r="D73" t="inlineStr">
        <is>
          <t>USD</t>
        </is>
      </c>
      <c r="E73" t="n">
        <v>-0.45</v>
      </c>
      <c r="F73" t="n">
        <v>-0.45</v>
      </c>
      <c r="G73" t="n">
        <v>88.2</v>
      </c>
      <c r="H73" t="n">
        <v>-40</v>
      </c>
    </row>
    <row r="74">
      <c r="A74" t="inlineStr">
        <is>
          <t>CY2025</t>
        </is>
      </c>
      <c r="B74" s="2" t="n">
        <v>45967</v>
      </c>
      <c r="C74" t="inlineStr">
        <is>
          <t>TIP(US4642871762) Payment in Lieu of Dividend - US Tax</t>
        </is>
      </c>
      <c r="D74" t="inlineStr">
        <is>
          <t>USD</t>
        </is>
      </c>
      <c r="E74" t="n">
        <v>-4.96</v>
      </c>
      <c r="F74" t="n">
        <v>-4.96</v>
      </c>
      <c r="G74" t="n">
        <v>88.2</v>
      </c>
      <c r="H74" t="n">
        <v>-437</v>
      </c>
    </row>
    <row r="75">
      <c r="A75" t="inlineStr">
        <is>
          <t>CY2025</t>
        </is>
      </c>
      <c r="B75" s="2" t="n">
        <v>45974</v>
      </c>
      <c r="C75" t="inlineStr">
        <is>
          <t>AAPL(US0378331005) Cash Dividend USD 0.26 per Share - US Tax</t>
        </is>
      </c>
      <c r="D75" t="inlineStr">
        <is>
          <t>USD</t>
        </is>
      </c>
      <c r="E75" t="n">
        <v>-0.46</v>
      </c>
      <c r="F75" t="n">
        <v>-0.46</v>
      </c>
      <c r="G75" t="n">
        <v>88.2</v>
      </c>
      <c r="H75" t="n">
        <v>-41</v>
      </c>
    </row>
    <row r="76">
      <c r="A76" t="inlineStr">
        <is>
          <t>CY2025</t>
        </is>
      </c>
      <c r="B76" s="2" t="n">
        <v>45992</v>
      </c>
      <c r="C76" t="inlineStr">
        <is>
          <t>TGT(US87612E1064) Cash Dividend USD 1.14 per Share - US Tax</t>
        </is>
      </c>
      <c r="D76" t="inlineStr">
        <is>
          <t>USD</t>
        </is>
      </c>
      <c r="E76" t="n">
        <v>-7.41</v>
      </c>
      <c r="F76" t="n">
        <v>-7.41</v>
      </c>
      <c r="G76" t="n">
        <v>88.95</v>
      </c>
      <c r="H76" t="n">
        <v>-659</v>
      </c>
    </row>
    <row r="77">
      <c r="A77" t="inlineStr">
        <is>
          <t>CY2025</t>
        </is>
      </c>
      <c r="B77" s="2" t="n">
        <v>45992</v>
      </c>
      <c r="C77" t="inlineStr">
        <is>
          <t>WFC(US9497461015) Cash Dividend USD 0.45 per Share - US Tax</t>
        </is>
      </c>
      <c r="D77" t="inlineStr">
        <is>
          <t>USD</t>
        </is>
      </c>
      <c r="E77" t="n">
        <v>-5.63</v>
      </c>
      <c r="F77" t="n">
        <v>-5.63</v>
      </c>
      <c r="G77" t="n">
        <v>88.95</v>
      </c>
      <c r="H77" t="n">
        <v>-501</v>
      </c>
    </row>
    <row r="78">
      <c r="A78" t="inlineStr">
        <is>
          <t>CY2025</t>
        </is>
      </c>
      <c r="B78" s="2" t="n">
        <v>45995</v>
      </c>
      <c r="C78" t="inlineStr">
        <is>
          <t>TIP(US4642871762) Cash Dividend USD 0.322417 per Share - US Tax</t>
        </is>
      </c>
      <c r="D78" t="inlineStr">
        <is>
          <t>USD</t>
        </is>
      </c>
      <c r="E78" t="n">
        <v>-4.84</v>
      </c>
      <c r="F78" t="n">
        <v>-4.84</v>
      </c>
      <c r="G78" t="n">
        <v>88.95</v>
      </c>
      <c r="H78" t="n">
        <v>-431</v>
      </c>
    </row>
    <row r="79">
      <c r="A79" t="inlineStr">
        <is>
          <t>CY2025</t>
        </is>
      </c>
      <c r="B79" s="2" t="n">
        <v>45996</v>
      </c>
      <c r="C79" t="inlineStr">
        <is>
          <t>REGN(US75886F1075) Cash Dividend USD 0.88 per Share - US Tax</t>
        </is>
      </c>
      <c r="D79" t="inlineStr">
        <is>
          <t>USD</t>
        </is>
      </c>
      <c r="E79" t="n">
        <v>-0.66</v>
      </c>
      <c r="F79" t="n">
        <v>-0.66</v>
      </c>
      <c r="G79" t="n">
        <v>88.95</v>
      </c>
      <c r="H79" t="n">
        <v>-59</v>
      </c>
    </row>
    <row r="80">
      <c r="A80" t="inlineStr">
        <is>
          <t>CY2025</t>
        </is>
      </c>
      <c r="B80" s="2" t="n">
        <v>46001</v>
      </c>
      <c r="C80" t="inlineStr">
        <is>
          <t>IBM(US4592001014) Cash Dividend USD 1.68 per Share - US Tax</t>
        </is>
      </c>
      <c r="D80" t="inlineStr">
        <is>
          <t>USD</t>
        </is>
      </c>
      <c r="E80" t="n">
        <v>-2.1</v>
      </c>
      <c r="F80" t="n">
        <v>-2.1</v>
      </c>
      <c r="G80" t="n">
        <v>88.95</v>
      </c>
      <c r="H80" t="n">
        <v>-187</v>
      </c>
    </row>
    <row r="81">
      <c r="A81" t="inlineStr">
        <is>
          <t>CY2025</t>
        </is>
      </c>
      <c r="B81" s="2" t="n">
        <v>46001</v>
      </c>
      <c r="C81" t="inlineStr">
        <is>
          <t>LLY(US5324571083) Cash Dividend USD 1.50 per Share - US Tax</t>
        </is>
      </c>
      <c r="D81" t="inlineStr">
        <is>
          <t>USD</t>
        </is>
      </c>
      <c r="E81" t="n">
        <v>-1.31</v>
      </c>
      <c r="F81" t="n">
        <v>-1.31</v>
      </c>
      <c r="G81" t="n">
        <v>88.95</v>
      </c>
      <c r="H81" t="n">
        <v>-117</v>
      </c>
    </row>
    <row r="82">
      <c r="A82" t="inlineStr">
        <is>
          <t>CY2025</t>
        </is>
      </c>
      <c r="B82" s="2" t="n">
        <v>46010</v>
      </c>
      <c r="C82" t="inlineStr">
        <is>
          <t>AAXJ(US4642881829) Cash Dividend USD 1.12455 per Share - US Tax</t>
        </is>
      </c>
      <c r="D82" t="inlineStr">
        <is>
          <t>USD</t>
        </is>
      </c>
      <c r="E82" t="n">
        <v>-1.13</v>
      </c>
      <c r="F82" t="n">
        <v>-1.13</v>
      </c>
      <c r="G82" t="n">
        <v>88.95</v>
      </c>
      <c r="H82" t="n">
        <v>-101</v>
      </c>
    </row>
    <row r="83">
      <c r="A83" t="inlineStr">
        <is>
          <t>CY2025</t>
        </is>
      </c>
      <c r="B83" s="2" t="n">
        <v>46010</v>
      </c>
      <c r="C83" t="inlineStr">
        <is>
          <t>AAXJ(US4642881829) Payment in Lieu of Dividend - US Tax</t>
        </is>
      </c>
      <c r="D83" t="inlineStr">
        <is>
          <t>USD</t>
        </is>
      </c>
      <c r="E83" t="n">
        <v>-1.13</v>
      </c>
      <c r="F83" t="n">
        <v>-1.13</v>
      </c>
      <c r="G83" t="n">
        <v>88.95</v>
      </c>
      <c r="H83" t="n">
        <v>-101</v>
      </c>
    </row>
    <row r="84">
      <c r="A84" t="inlineStr">
        <is>
          <t>CY2025</t>
        </is>
      </c>
      <c r="B84" s="2" t="n">
        <v>46010</v>
      </c>
      <c r="C84" t="inlineStr">
        <is>
          <t>ICLN(US4642882249) Cash Dividend USD 0.128205 per Share - US Tax</t>
        </is>
      </c>
      <c r="D84" t="inlineStr">
        <is>
          <t>USD</t>
        </is>
      </c>
      <c r="E84" t="n">
        <v>-1.6</v>
      </c>
      <c r="F84" t="n">
        <v>-1.6</v>
      </c>
      <c r="G84" t="n">
        <v>88.95</v>
      </c>
      <c r="H84" t="n">
        <v>-142</v>
      </c>
    </row>
    <row r="85">
      <c r="A85" t="inlineStr">
        <is>
          <t>CY2025</t>
        </is>
      </c>
      <c r="B85" s="2" t="n">
        <v>46010</v>
      </c>
      <c r="C85" t="inlineStr">
        <is>
          <t>IWR(US4642874998) Cash Dividend USD 0.393709 per Share - US Tax</t>
        </is>
      </c>
      <c r="D85" t="inlineStr">
        <is>
          <t>USD</t>
        </is>
      </c>
      <c r="E85" t="n">
        <v>-0.99</v>
      </c>
      <c r="F85" t="n">
        <v>-0.99</v>
      </c>
      <c r="G85" t="n">
        <v>88.95</v>
      </c>
      <c r="H85" t="n">
        <v>-88</v>
      </c>
    </row>
    <row r="86">
      <c r="A86" t="inlineStr">
        <is>
          <t>CY2025</t>
        </is>
      </c>
      <c r="B86" s="2" t="n">
        <v>46014</v>
      </c>
      <c r="C86" t="inlineStr">
        <is>
          <t>META(US30303M1027) Cash Dividend USD 0.525 per Share - US Tax</t>
        </is>
      </c>
      <c r="D86" t="inlineStr">
        <is>
          <t>USD</t>
        </is>
      </c>
      <c r="E86" t="n">
        <v>-0.26</v>
      </c>
      <c r="F86" t="n">
        <v>-0.26</v>
      </c>
      <c r="G86" t="n">
        <v>88.95</v>
      </c>
      <c r="H86" t="n">
        <v>-23</v>
      </c>
    </row>
    <row r="87">
      <c r="A87" t="inlineStr">
        <is>
          <t>CY2025</t>
        </is>
      </c>
      <c r="B87" s="2" t="n">
        <v>46014</v>
      </c>
      <c r="C87" t="inlineStr">
        <is>
          <t>VT(US9220427424) Cash Dividend USD 1.1152 per Share - US Tax</t>
        </is>
      </c>
      <c r="D87" t="inlineStr">
        <is>
          <t>USD</t>
        </is>
      </c>
      <c r="E87" t="n">
        <v>-2.51</v>
      </c>
      <c r="F87" t="n">
        <v>-2.51</v>
      </c>
      <c r="G87" t="n">
        <v>88.95</v>
      </c>
      <c r="H87" t="n">
        <v>-223</v>
      </c>
    </row>
    <row r="88">
      <c r="A88" t="inlineStr">
        <is>
          <t>CY2025</t>
        </is>
      </c>
      <c r="B88" s="2" t="n">
        <v>46015</v>
      </c>
      <c r="C88" t="inlineStr">
        <is>
          <t>TIP(US4642871762) Cash Dividend USD 0.341961 per Share - US Tax</t>
        </is>
      </c>
      <c r="D88" t="inlineStr">
        <is>
          <t>USD</t>
        </is>
      </c>
      <c r="E88" t="n">
        <v>-5.13</v>
      </c>
      <c r="F88" t="n">
        <v>-5.13</v>
      </c>
      <c r="G88" t="n">
        <v>88.95</v>
      </c>
      <c r="H88" t="n">
        <v>-456</v>
      </c>
    </row>
    <row r="89">
      <c r="A89" t="inlineStr">
        <is>
          <t>CY2025</t>
        </is>
      </c>
      <c r="B89" s="2" t="n">
        <v>46015</v>
      </c>
      <c r="C89" t="inlineStr">
        <is>
          <t>VTV(US9229087443) Cash Dividend USD 0.9862 per Share - US Tax</t>
        </is>
      </c>
      <c r="D89" t="inlineStr">
        <is>
          <t>USD</t>
        </is>
      </c>
      <c r="E89" t="n">
        <v>-1.48</v>
      </c>
      <c r="F89" t="n">
        <v>-1.48</v>
      </c>
      <c r="G89" t="n">
        <v>88.95</v>
      </c>
      <c r="H89" t="n">
        <v>-132</v>
      </c>
    </row>
    <row r="90">
      <c r="A90" t="inlineStr">
        <is>
          <t>CY2025</t>
        </is>
      </c>
      <c r="B90" s="2" t="n">
        <v>46022</v>
      </c>
      <c r="C90" t="inlineStr">
        <is>
          <t>QQQ(US46090E1038) Cash Dividend USD 0.79408 per Share - US Tax</t>
        </is>
      </c>
      <c r="D90" t="inlineStr">
        <is>
          <t>USD</t>
        </is>
      </c>
      <c r="E90" t="n">
        <v>-0.4</v>
      </c>
      <c r="F90" t="n">
        <v>-0.4</v>
      </c>
      <c r="G90" t="n">
        <v>88.95</v>
      </c>
      <c r="H90" t="n">
        <v>-36</v>
      </c>
    </row>
    <row r="91">
      <c r="A91" t="inlineStr">
        <is>
          <t>FY2025-26</t>
        </is>
      </c>
      <c r="B91" s="2" t="n">
        <v>45748</v>
      </c>
      <c r="C91" t="inlineStr">
        <is>
          <t>NOV(DK0062498333) Cash Dividend DKK 7.90 per Share - DK Tax</t>
        </is>
      </c>
      <c r="D91" t="inlineStr">
        <is>
          <t>DKK</t>
        </is>
      </c>
      <c r="E91" t="n">
        <v>-63.99</v>
      </c>
      <c r="F91" t="n">
        <v>-10.0631</v>
      </c>
      <c r="G91" t="n">
        <v>85.09999999999999</v>
      </c>
      <c r="H91" t="n">
        <v>-856</v>
      </c>
    </row>
    <row r="92">
      <c r="A92" t="inlineStr">
        <is>
          <t>FY2025-26</t>
        </is>
      </c>
      <c r="B92" s="2" t="n">
        <v>45888</v>
      </c>
      <c r="C92" t="inlineStr">
        <is>
          <t>NOV(DK0062498333) Cash Dividend DKK 3.75 per Share - DK Tax</t>
        </is>
      </c>
      <c r="D92" t="inlineStr">
        <is>
          <t>DKK</t>
        </is>
      </c>
      <c r="E92" t="n">
        <v>-30.38</v>
      </c>
      <c r="F92" t="n">
        <v>-4.7776</v>
      </c>
      <c r="G92" t="n">
        <v>87.15000000000001</v>
      </c>
      <c r="H92" t="n">
        <v>-416</v>
      </c>
    </row>
    <row r="93">
      <c r="A93" t="inlineStr">
        <is>
          <t>FY2025-26</t>
        </is>
      </c>
      <c r="B93" s="2" t="n">
        <v>45771</v>
      </c>
      <c r="C93" t="inlineStr">
        <is>
          <t>AIR(NL0000235190) Cash Dividend EUR 1.00 per Share - NL Tax</t>
        </is>
      </c>
      <c r="D93" t="inlineStr">
        <is>
          <t>EUR</t>
        </is>
      </c>
      <c r="E93" t="n">
        <v>-1.5</v>
      </c>
      <c r="F93" t="n">
        <v>-1.7619</v>
      </c>
      <c r="G93" t="n">
        <v>85.09999999999999</v>
      </c>
      <c r="H93" t="n">
        <v>-150</v>
      </c>
    </row>
    <row r="94">
      <c r="A94" t="inlineStr">
        <is>
          <t>FY2025-26</t>
        </is>
      </c>
      <c r="B94" s="2" t="n">
        <v>45771</v>
      </c>
      <c r="C94" t="inlineStr">
        <is>
          <t>AIR(NL0000235190) Cash Dividend EUR 2.00 per Share - NL Tax</t>
        </is>
      </c>
      <c r="D94" t="inlineStr">
        <is>
          <t>EUR</t>
        </is>
      </c>
      <c r="E94" t="n">
        <v>-3</v>
      </c>
      <c r="F94" t="n">
        <v>-3.5238</v>
      </c>
      <c r="G94" t="n">
        <v>85.09999999999999</v>
      </c>
      <c r="H94" t="n">
        <v>-300</v>
      </c>
    </row>
    <row r="95">
      <c r="A95" t="inlineStr">
        <is>
          <t>FY2025-26</t>
        </is>
      </c>
      <c r="B95" s="2" t="n">
        <v>45954</v>
      </c>
      <c r="C95" t="inlineStr">
        <is>
          <t>1919(CNE1000002J7) Cash Dividend HKD 0.613944 per Share - CN Tax</t>
        </is>
      </c>
      <c r="D95" t="inlineStr">
        <is>
          <t>HKD</t>
        </is>
      </c>
      <c r="E95" t="n">
        <v>-4.91</v>
      </c>
      <c r="F95" t="n">
        <v>-0.6309</v>
      </c>
      <c r="G95" t="n">
        <v>88.34999999999999</v>
      </c>
      <c r="H95" t="n">
        <v>-56</v>
      </c>
    </row>
    <row r="96">
      <c r="A96" t="inlineStr">
        <is>
          <t>FY2025-26</t>
        </is>
      </c>
      <c r="B96" s="2" t="n">
        <v>45832</v>
      </c>
      <c r="C96" t="inlineStr">
        <is>
          <t>4568.T(JP3475350009) Cash Dividend JPY 30 per Share - JP Tax</t>
        </is>
      </c>
      <c r="D96" t="inlineStr">
        <is>
          <t>JPY</t>
        </is>
      </c>
      <c r="E96" t="n">
        <v>-459</v>
      </c>
      <c r="F96" t="n">
        <v>-2.9297</v>
      </c>
      <c r="G96" t="n">
        <v>85.09999999999999</v>
      </c>
      <c r="H96" t="n">
        <v>-249</v>
      </c>
    </row>
    <row r="97">
      <c r="A97" t="inlineStr">
        <is>
          <t>FY2025-26</t>
        </is>
      </c>
      <c r="B97" s="2" t="n">
        <v>46001</v>
      </c>
      <c r="C97" t="inlineStr">
        <is>
          <t>4568.T(JP3475350009) Cash Dividend JPY 39 per Share - JP Tax</t>
        </is>
      </c>
      <c r="D97" t="inlineStr">
        <is>
          <t>JPY</t>
        </is>
      </c>
      <c r="E97" t="n">
        <v>-597</v>
      </c>
      <c r="F97" t="n">
        <v>-3.8105</v>
      </c>
      <c r="G97" t="n">
        <v>88.95</v>
      </c>
      <c r="H97" t="n">
        <v>-339</v>
      </c>
    </row>
    <row r="98">
      <c r="A98" t="inlineStr">
        <is>
          <t>FY2025-26</t>
        </is>
      </c>
      <c r="B98" s="2" t="n">
        <v>45749</v>
      </c>
      <c r="C98" t="inlineStr">
        <is>
          <t>NVDA(US67066G1040) Cash Dividend USD 0.01 per Share - US Tax</t>
        </is>
      </c>
      <c r="D98" t="inlineStr">
        <is>
          <t>USD</t>
        </is>
      </c>
      <c r="E98" t="n">
        <v>-0.01</v>
      </c>
      <c r="F98" t="n">
        <v>-0.01</v>
      </c>
      <c r="G98" t="n">
        <v>85.09999999999999</v>
      </c>
      <c r="H98" t="n">
        <v>-1</v>
      </c>
    </row>
    <row r="99">
      <c r="A99" t="inlineStr">
        <is>
          <t>FY2025-26</t>
        </is>
      </c>
      <c r="B99" s="2" t="n">
        <v>45751</v>
      </c>
      <c r="C99" t="inlineStr">
        <is>
          <t>TIP(US4642871762) Cash Dividend USD 0.70918 per Share - US Tax</t>
        </is>
      </c>
      <c r="D99" t="inlineStr">
        <is>
          <t>USD</t>
        </is>
      </c>
      <c r="E99" t="n">
        <v>-10.64</v>
      </c>
      <c r="F99" t="n">
        <v>-10.64</v>
      </c>
      <c r="G99" t="n">
        <v>85.09999999999999</v>
      </c>
      <c r="H99" t="n">
        <v>-905</v>
      </c>
    </row>
    <row r="100">
      <c r="A100" t="inlineStr">
        <is>
          <t>FY2025-26</t>
        </is>
      </c>
      <c r="B100" s="2" t="n">
        <v>45751</v>
      </c>
      <c r="C100" t="inlineStr">
        <is>
          <t>TIP(US4642871762) Cash Dividend USD 0.70918 per Share - US Tax</t>
        </is>
      </c>
      <c r="D100" t="inlineStr">
        <is>
          <t>USD</t>
        </is>
      </c>
      <c r="E100" t="n">
        <v>10.64</v>
      </c>
      <c r="F100" t="n">
        <v>10.64</v>
      </c>
      <c r="G100" t="n">
        <v>85.09999999999999</v>
      </c>
      <c r="H100" t="n">
        <v>905</v>
      </c>
    </row>
    <row r="101">
      <c r="A101" t="inlineStr">
        <is>
          <t>FY2025-26</t>
        </is>
      </c>
      <c r="B101" s="2" t="n">
        <v>45756</v>
      </c>
      <c r="C101" t="inlineStr">
        <is>
          <t>LRCX(US5128073062) Cash Dividend USD 0.23 per Share - US Tax</t>
        </is>
      </c>
      <c r="D101" t="inlineStr">
        <is>
          <t>USD</t>
        </is>
      </c>
      <c r="E101" t="n">
        <v>-0.58</v>
      </c>
      <c r="F101" t="n">
        <v>-0.58</v>
      </c>
      <c r="G101" t="n">
        <v>85.09999999999999</v>
      </c>
      <c r="H101" t="n">
        <v>-49</v>
      </c>
    </row>
    <row r="102">
      <c r="A102" t="inlineStr">
        <is>
          <t>FY2025-26</t>
        </is>
      </c>
      <c r="B102" s="2" t="n">
        <v>45757</v>
      </c>
      <c r="C102" t="inlineStr">
        <is>
          <t>TSM(US8740391003) Cash Dividend USD 0.677693 per Share - TW Tax</t>
        </is>
      </c>
      <c r="D102" t="inlineStr">
        <is>
          <t>USD</t>
        </is>
      </c>
      <c r="E102" t="n">
        <v>-0.85</v>
      </c>
      <c r="F102" t="n">
        <v>-0.85</v>
      </c>
      <c r="G102" t="n">
        <v>85.09999999999999</v>
      </c>
      <c r="H102" t="n">
        <v>-72</v>
      </c>
    </row>
    <row r="103">
      <c r="A103" t="inlineStr">
        <is>
          <t>FY2025-26</t>
        </is>
      </c>
      <c r="B103" s="2" t="n">
        <v>45772</v>
      </c>
      <c r="C103" t="inlineStr">
        <is>
          <t>GE(US3696043013) Cash Dividend USD 0.36 per Share - US Tax</t>
        </is>
      </c>
      <c r="D103" t="inlineStr">
        <is>
          <t>USD</t>
        </is>
      </c>
      <c r="E103" t="n">
        <v>-0.27</v>
      </c>
      <c r="F103" t="n">
        <v>-0.27</v>
      </c>
      <c r="G103" t="n">
        <v>85.09999999999999</v>
      </c>
      <c r="H103" t="n">
        <v>-23</v>
      </c>
    </row>
    <row r="104">
      <c r="A104" t="inlineStr">
        <is>
          <t>FY2025-26</t>
        </is>
      </c>
      <c r="B104" s="2" t="n">
        <v>45772</v>
      </c>
      <c r="C104" t="inlineStr">
        <is>
          <t>HYU(USY384721251) Cash Dividend USD 2.125058 per Share - KR Tax</t>
        </is>
      </c>
      <c r="D104" t="inlineStr">
        <is>
          <t>USD</t>
        </is>
      </c>
      <c r="E104" t="n">
        <v>-11.22</v>
      </c>
      <c r="F104" t="n">
        <v>-11.22</v>
      </c>
      <c r="G104" t="n">
        <v>85.09999999999999</v>
      </c>
      <c r="H104" t="n">
        <v>-955</v>
      </c>
    </row>
    <row r="105">
      <c r="A105" t="inlineStr">
        <is>
          <t>FY2025-26</t>
        </is>
      </c>
      <c r="B105" s="2" t="n">
        <v>45782</v>
      </c>
      <c r="C105" t="inlineStr">
        <is>
          <t>BX(US09260D1072) Cash Dividend USD 0.93 per Share - US Tax</t>
        </is>
      </c>
      <c r="D105" t="inlineStr">
        <is>
          <t>USD</t>
        </is>
      </c>
      <c r="E105" t="n">
        <v>-2.79</v>
      </c>
      <c r="F105" t="n">
        <v>-2.79</v>
      </c>
      <c r="G105" t="n">
        <v>84.25</v>
      </c>
      <c r="H105" t="n">
        <v>-235</v>
      </c>
    </row>
    <row r="106">
      <c r="A106" t="inlineStr">
        <is>
          <t>FY2025-26</t>
        </is>
      </c>
      <c r="B106" s="2" t="n">
        <v>45782</v>
      </c>
      <c r="C106" t="inlineStr">
        <is>
          <t>BX(US09260D1072) Cash Dividend USD 0.93 per Share - US Tax</t>
        </is>
      </c>
      <c r="D106" t="inlineStr">
        <is>
          <t>USD</t>
        </is>
      </c>
      <c r="E106" t="n">
        <v>2.79</v>
      </c>
      <c r="F106" t="n">
        <v>2.79</v>
      </c>
      <c r="G106" t="n">
        <v>84.25</v>
      </c>
      <c r="H106" t="n">
        <v>235</v>
      </c>
    </row>
    <row r="107">
      <c r="A107" t="inlineStr">
        <is>
          <t>FY2025-26</t>
        </is>
      </c>
      <c r="B107" s="2" t="n">
        <v>45782</v>
      </c>
      <c r="C107" t="inlineStr">
        <is>
          <t>BX(US09260D1072) Cash Dividend USD 0.93 per Share - US Tax</t>
        </is>
      </c>
      <c r="D107" t="inlineStr">
        <is>
          <t>USD</t>
        </is>
      </c>
      <c r="E107" t="n">
        <v>-1.4</v>
      </c>
      <c r="F107" t="n">
        <v>-1.4</v>
      </c>
      <c r="G107" t="n">
        <v>84.25</v>
      </c>
      <c r="H107" t="n">
        <v>-118</v>
      </c>
    </row>
    <row r="108">
      <c r="A108" t="inlineStr">
        <is>
          <t>FY2025-26</t>
        </is>
      </c>
      <c r="B108" s="2" t="n">
        <v>45783</v>
      </c>
      <c r="C108" t="inlineStr">
        <is>
          <t>ASML(USN070592100) Cash Dividend USD 2.090608 per Share - NL Tax</t>
        </is>
      </c>
      <c r="D108" t="inlineStr">
        <is>
          <t>USD</t>
        </is>
      </c>
      <c r="E108" t="n">
        <v>-1.88</v>
      </c>
      <c r="F108" t="n">
        <v>-1.88</v>
      </c>
      <c r="G108" t="n">
        <v>84.25</v>
      </c>
      <c r="H108" t="n">
        <v>-158</v>
      </c>
    </row>
    <row r="109">
      <c r="A109" t="inlineStr">
        <is>
          <t>FY2025-26</t>
        </is>
      </c>
      <c r="B109" s="2" t="n">
        <v>45783</v>
      </c>
      <c r="C109" t="inlineStr">
        <is>
          <t>TIP(US4642871762) Cash Dividend USD 0.534953 per Share - US Tax</t>
        </is>
      </c>
      <c r="D109" t="inlineStr">
        <is>
          <t>USD</t>
        </is>
      </c>
      <c r="E109" t="n">
        <v>-8.029999999999999</v>
      </c>
      <c r="F109" t="n">
        <v>-8.029999999999999</v>
      </c>
      <c r="G109" t="n">
        <v>84.25</v>
      </c>
      <c r="H109" t="n">
        <v>-677</v>
      </c>
    </row>
    <row r="110">
      <c r="A110" t="inlineStr">
        <is>
          <t>FY2025-26</t>
        </is>
      </c>
      <c r="B110" s="2" t="n">
        <v>45783</v>
      </c>
      <c r="C110" t="inlineStr">
        <is>
          <t>TIP(US4642871762) Cash Dividend USD 0.534953 per Share - US Tax</t>
        </is>
      </c>
      <c r="D110" t="inlineStr">
        <is>
          <t>USD</t>
        </is>
      </c>
      <c r="E110" t="n">
        <v>8.029999999999999</v>
      </c>
      <c r="F110" t="n">
        <v>8.029999999999999</v>
      </c>
      <c r="G110" t="n">
        <v>84.25</v>
      </c>
      <c r="H110" t="n">
        <v>677</v>
      </c>
    </row>
    <row r="111">
      <c r="A111" t="inlineStr">
        <is>
          <t>FY2025-26</t>
        </is>
      </c>
      <c r="B111" s="2" t="n">
        <v>45786</v>
      </c>
      <c r="C111" t="inlineStr">
        <is>
          <t>GD(US3695501086) Cash Dividend USD 1.50 per Share - US Tax</t>
        </is>
      </c>
      <c r="D111" t="inlineStr">
        <is>
          <t>USD</t>
        </is>
      </c>
      <c r="E111" t="n">
        <v>-2.25</v>
      </c>
      <c r="F111" t="n">
        <v>-2.25</v>
      </c>
      <c r="G111" t="n">
        <v>84.25</v>
      </c>
      <c r="H111" t="n">
        <v>-190</v>
      </c>
    </row>
    <row r="112">
      <c r="A112" t="inlineStr">
        <is>
          <t>FY2025-26</t>
        </is>
      </c>
      <c r="B112" s="2" t="n">
        <v>45797</v>
      </c>
      <c r="C112" t="inlineStr">
        <is>
          <t>CAT(US1491231015) Cash Dividend USD 1.41 per Share - US Tax</t>
        </is>
      </c>
      <c r="D112" t="inlineStr">
        <is>
          <t>USD</t>
        </is>
      </c>
      <c r="E112" t="n">
        <v>-3.17</v>
      </c>
      <c r="F112" t="n">
        <v>-3.17</v>
      </c>
      <c r="G112" t="n">
        <v>84.25</v>
      </c>
      <c r="H112" t="n">
        <v>-267</v>
      </c>
    </row>
    <row r="113">
      <c r="A113" t="inlineStr">
        <is>
          <t>FY2025-26</t>
        </is>
      </c>
      <c r="B113" s="2" t="n">
        <v>45810</v>
      </c>
      <c r="C113" t="inlineStr">
        <is>
          <t>TGT(US87612E1064) Cash Dividend USD 1.12 per Share - US Tax</t>
        </is>
      </c>
      <c r="D113" t="inlineStr">
        <is>
          <t>USD</t>
        </is>
      </c>
      <c r="E113" t="n">
        <v>-7.28</v>
      </c>
      <c r="F113" t="n">
        <v>-7.28</v>
      </c>
      <c r="G113" t="n">
        <v>85.09999999999999</v>
      </c>
      <c r="H113" t="n">
        <v>-620</v>
      </c>
    </row>
    <row r="114">
      <c r="A114" t="inlineStr">
        <is>
          <t>FY2025-26</t>
        </is>
      </c>
      <c r="B114" s="2" t="n">
        <v>45813</v>
      </c>
      <c r="C114" t="inlineStr">
        <is>
          <t>TIP(US4642871762) Cash Dividend USD 0.273105 per Share - US Tax</t>
        </is>
      </c>
      <c r="D114" t="inlineStr">
        <is>
          <t>USD</t>
        </is>
      </c>
      <c r="E114" t="n">
        <v>-4.1</v>
      </c>
      <c r="F114" t="n">
        <v>-4.1</v>
      </c>
      <c r="G114" t="n">
        <v>85.09999999999999</v>
      </c>
      <c r="H114" t="n">
        <v>-349</v>
      </c>
    </row>
    <row r="115">
      <c r="A115" t="inlineStr">
        <is>
          <t>FY2025-26</t>
        </is>
      </c>
      <c r="B115" s="2" t="n">
        <v>45813</v>
      </c>
      <c r="C115" t="inlineStr">
        <is>
          <t>TIP(US4642871762) Cash Dividend USD 0.273105 per Share - US Tax</t>
        </is>
      </c>
      <c r="D115" t="inlineStr">
        <is>
          <t>USD</t>
        </is>
      </c>
      <c r="E115" t="n">
        <v>4.1</v>
      </c>
      <c r="F115" t="n">
        <v>4.1</v>
      </c>
      <c r="G115" t="n">
        <v>85.09999999999999</v>
      </c>
      <c r="H115" t="n">
        <v>349</v>
      </c>
    </row>
    <row r="116">
      <c r="A116" t="inlineStr">
        <is>
          <t>FY2025-26</t>
        </is>
      </c>
      <c r="B116" s="2" t="n">
        <v>45818</v>
      </c>
      <c r="C116" t="inlineStr">
        <is>
          <t>LLY(US5324571083) Cash Dividend USD 1.50 per Share - US Tax</t>
        </is>
      </c>
      <c r="D116" t="inlineStr">
        <is>
          <t>USD</t>
        </is>
      </c>
      <c r="E116" t="n">
        <v>-2.25</v>
      </c>
      <c r="F116" t="n">
        <v>-2.25</v>
      </c>
      <c r="G116" t="n">
        <v>85.09999999999999</v>
      </c>
      <c r="H116" t="n">
        <v>-191</v>
      </c>
    </row>
    <row r="117">
      <c r="A117" t="inlineStr">
        <is>
          <t>FY2025-26</t>
        </is>
      </c>
      <c r="B117" s="2" t="n">
        <v>45820</v>
      </c>
      <c r="C117" t="inlineStr">
        <is>
          <t>MSFT(US5949181045) Cash Dividend USD 0.83 per Share - US Tax</t>
        </is>
      </c>
      <c r="D117" t="inlineStr">
        <is>
          <t>USD</t>
        </is>
      </c>
      <c r="E117" t="n">
        <v>-1.25</v>
      </c>
      <c r="F117" t="n">
        <v>-1.25</v>
      </c>
      <c r="G117" t="n">
        <v>85.09999999999999</v>
      </c>
      <c r="H117" t="n">
        <v>-106</v>
      </c>
    </row>
    <row r="118">
      <c r="A118" t="inlineStr">
        <is>
          <t>FY2025-26</t>
        </is>
      </c>
      <c r="B118" s="2" t="n">
        <v>45820</v>
      </c>
      <c r="C118" t="inlineStr">
        <is>
          <t>RTX(US75513E1010) Cash Dividend USD 0.68 per Share - US Tax</t>
        </is>
      </c>
      <c r="D118" t="inlineStr">
        <is>
          <t>USD</t>
        </is>
      </c>
      <c r="E118" t="n">
        <v>-5.1</v>
      </c>
      <c r="F118" t="n">
        <v>-5.1</v>
      </c>
      <c r="G118" t="n">
        <v>85.09999999999999</v>
      </c>
      <c r="H118" t="n">
        <v>-434</v>
      </c>
    </row>
    <row r="119">
      <c r="A119" t="inlineStr">
        <is>
          <t>FY2025-26</t>
        </is>
      </c>
      <c r="B119" s="2" t="n">
        <v>45828</v>
      </c>
      <c r="C119" t="inlineStr">
        <is>
          <t>EMXC(US46434G7640) Cash Dividend USD 0.711404 per Share - US Tax</t>
        </is>
      </c>
      <c r="D119" t="inlineStr">
        <is>
          <t>USD</t>
        </is>
      </c>
      <c r="E119" t="n">
        <v>-1.6</v>
      </c>
      <c r="F119" t="n">
        <v>-1.6</v>
      </c>
      <c r="G119" t="n">
        <v>85.09999999999999</v>
      </c>
      <c r="H119" t="n">
        <v>-136</v>
      </c>
    </row>
    <row r="120">
      <c r="A120" t="inlineStr">
        <is>
          <t>FY2025-26</t>
        </is>
      </c>
      <c r="B120" s="2" t="n">
        <v>45828</v>
      </c>
      <c r="C120" t="inlineStr">
        <is>
          <t>EMXC(US46434G7640) Cash Dividend USD 0.711404 per Share - US Tax</t>
        </is>
      </c>
      <c r="D120" t="inlineStr">
        <is>
          <t>USD</t>
        </is>
      </c>
      <c r="E120" t="n">
        <v>1.6</v>
      </c>
      <c r="F120" t="n">
        <v>1.6</v>
      </c>
      <c r="G120" t="n">
        <v>85.09999999999999</v>
      </c>
      <c r="H120" t="n">
        <v>136</v>
      </c>
    </row>
    <row r="121">
      <c r="A121" t="inlineStr">
        <is>
          <t>FY2025-26</t>
        </is>
      </c>
      <c r="B121" s="2" t="n">
        <v>45828</v>
      </c>
      <c r="C121" t="inlineStr">
        <is>
          <t>EMXC(US46434G7640) Cash Dividend USD 0.711404 per Share - US Tax</t>
        </is>
      </c>
      <c r="D121" t="inlineStr">
        <is>
          <t>USD</t>
        </is>
      </c>
      <c r="E121" t="n">
        <v>-1.58</v>
      </c>
      <c r="F121" t="n">
        <v>-1.58</v>
      </c>
      <c r="G121" t="n">
        <v>85.09999999999999</v>
      </c>
      <c r="H121" t="n">
        <v>-134</v>
      </c>
    </row>
    <row r="122">
      <c r="A122" t="inlineStr">
        <is>
          <t>FY2025-26</t>
        </is>
      </c>
      <c r="B122" s="2" t="n">
        <v>45828</v>
      </c>
      <c r="C122" t="inlineStr">
        <is>
          <t>MCHI(US46429B6719) Payment in Lieu of Dividend - US Tax</t>
        </is>
      </c>
      <c r="D122" t="inlineStr">
        <is>
          <t>USD</t>
        </is>
      </c>
      <c r="E122" t="n">
        <v>-3.62</v>
      </c>
      <c r="F122" t="n">
        <v>-3.62</v>
      </c>
      <c r="G122" t="n">
        <v>85.09999999999999</v>
      </c>
      <c r="H122" t="n">
        <v>-308</v>
      </c>
    </row>
    <row r="123">
      <c r="A123" t="inlineStr">
        <is>
          <t>FY2025-26</t>
        </is>
      </c>
      <c r="B123" s="2" t="n">
        <v>45828</v>
      </c>
      <c r="C123" t="inlineStr">
        <is>
          <t>MCHI(US46429B6719) Payment in Lieu of Dividend - US Tax</t>
        </is>
      </c>
      <c r="D123" t="inlineStr">
        <is>
          <t>USD</t>
        </is>
      </c>
      <c r="E123" t="n">
        <v>3.62</v>
      </c>
      <c r="F123" t="n">
        <v>3.62</v>
      </c>
      <c r="G123" t="n">
        <v>85.09999999999999</v>
      </c>
      <c r="H123" t="n">
        <v>308</v>
      </c>
    </row>
    <row r="124">
      <c r="A124" t="inlineStr">
        <is>
          <t>FY2025-26</t>
        </is>
      </c>
      <c r="B124" s="2" t="n">
        <v>45828</v>
      </c>
      <c r="C124" t="inlineStr">
        <is>
          <t>MCHI(US46429B6719) Payment in Lieu of Dividend - US Tax</t>
        </is>
      </c>
      <c r="D124" t="inlineStr">
        <is>
          <t>USD</t>
        </is>
      </c>
      <c r="E124" t="n">
        <v>-3.61</v>
      </c>
      <c r="F124" t="n">
        <v>-3.61</v>
      </c>
      <c r="G124" t="n">
        <v>85.09999999999999</v>
      </c>
      <c r="H124" t="n">
        <v>-307</v>
      </c>
    </row>
    <row r="125">
      <c r="A125" t="inlineStr">
        <is>
          <t>FY2025-26</t>
        </is>
      </c>
      <c r="B125" s="2" t="n">
        <v>45835</v>
      </c>
      <c r="C125" t="inlineStr">
        <is>
          <t>BAC(US0605051046) Cash Dividend USD 0.26 per Share - US Tax</t>
        </is>
      </c>
      <c r="D125" t="inlineStr">
        <is>
          <t>USD</t>
        </is>
      </c>
      <c r="E125" t="n">
        <v>-3.9</v>
      </c>
      <c r="F125" t="n">
        <v>-3.9</v>
      </c>
      <c r="G125" t="n">
        <v>85.09999999999999</v>
      </c>
      <c r="H125" t="n">
        <v>-332</v>
      </c>
    </row>
    <row r="126">
      <c r="A126" t="inlineStr">
        <is>
          <t>FY2025-26</t>
        </is>
      </c>
      <c r="B126" s="2" t="n">
        <v>45835</v>
      </c>
      <c r="C126" t="inlineStr">
        <is>
          <t>DXJ(US97717W8516) Cash Dividend USD 1.34 per Share - US Tax</t>
        </is>
      </c>
      <c r="D126" t="inlineStr">
        <is>
          <t>USD</t>
        </is>
      </c>
      <c r="E126" t="n">
        <v>-2.01</v>
      </c>
      <c r="F126" t="n">
        <v>-2.01</v>
      </c>
      <c r="G126" t="n">
        <v>85.09999999999999</v>
      </c>
      <c r="H126" t="n">
        <v>-171</v>
      </c>
    </row>
    <row r="127">
      <c r="A127" t="inlineStr">
        <is>
          <t>FY2025-26</t>
        </is>
      </c>
      <c r="B127" s="2" t="n">
        <v>45835</v>
      </c>
      <c r="C127" t="inlineStr">
        <is>
          <t>IGPT(US46137V6395) Cash Dividend USD 0.01677 per Share - US Tax</t>
        </is>
      </c>
      <c r="D127" t="inlineStr">
        <is>
          <t>USD</t>
        </is>
      </c>
      <c r="E127" t="n">
        <v>-0.14</v>
      </c>
      <c r="F127" t="n">
        <v>-0.14</v>
      </c>
      <c r="G127" t="n">
        <v>85.09999999999999</v>
      </c>
      <c r="H127" t="n">
        <v>-12</v>
      </c>
    </row>
    <row r="128">
      <c r="A128" t="inlineStr">
        <is>
          <t>FY2025-26</t>
        </is>
      </c>
      <c r="B128" s="2" t="n">
        <v>45838</v>
      </c>
      <c r="C128" t="inlineStr">
        <is>
          <t>AVGO(US11135F1012) Cash Dividend USD 0.59 per Share - US Tax</t>
        </is>
      </c>
      <c r="D128" t="inlineStr">
        <is>
          <t>USD</t>
        </is>
      </c>
      <c r="E128" t="n">
        <v>-1.33</v>
      </c>
      <c r="F128" t="n">
        <v>-1.33</v>
      </c>
      <c r="G128" t="n">
        <v>85.09999999999999</v>
      </c>
      <c r="H128" t="n">
        <v>-113</v>
      </c>
    </row>
    <row r="129">
      <c r="A129" t="inlineStr">
        <is>
          <t>FY2025-26</t>
        </is>
      </c>
      <c r="B129" s="2" t="n">
        <v>45841</v>
      </c>
      <c r="C129" t="inlineStr">
        <is>
          <t>NVDA(US67066G1040) Cash Dividend USD 0.01 per Share - US Tax</t>
        </is>
      </c>
      <c r="D129" t="inlineStr">
        <is>
          <t>USD</t>
        </is>
      </c>
      <c r="E129" t="n">
        <v>-0.04</v>
      </c>
      <c r="F129" t="n">
        <v>-0.04</v>
      </c>
      <c r="G129" t="n">
        <v>85.09999999999999</v>
      </c>
      <c r="H129" t="n">
        <v>-3</v>
      </c>
    </row>
    <row r="130">
      <c r="A130" t="inlineStr">
        <is>
          <t>FY2025-26</t>
        </is>
      </c>
      <c r="B130" s="2" t="n">
        <v>45845</v>
      </c>
      <c r="C130" t="inlineStr">
        <is>
          <t>AIQ(US37954Y6326) Payment in Lieu of Dividend - US Tax</t>
        </is>
      </c>
      <c r="D130" t="inlineStr">
        <is>
          <t>USD</t>
        </is>
      </c>
      <c r="E130" t="n">
        <v>-0.44</v>
      </c>
      <c r="F130" t="n">
        <v>-0.44</v>
      </c>
      <c r="G130" t="n">
        <v>85.09999999999999</v>
      </c>
      <c r="H130" t="n">
        <v>-37</v>
      </c>
    </row>
    <row r="131">
      <c r="A131" t="inlineStr">
        <is>
          <t>FY2025-26</t>
        </is>
      </c>
      <c r="B131" s="2" t="n">
        <v>45845</v>
      </c>
      <c r="C131" t="inlineStr">
        <is>
          <t>TIP(US4642871762) Cash Dividend USD 0.379923 per Share - US Tax</t>
        </is>
      </c>
      <c r="D131" t="inlineStr">
        <is>
          <t>USD</t>
        </is>
      </c>
      <c r="E131" t="n">
        <v>-5.7</v>
      </c>
      <c r="F131" t="n">
        <v>-5.7</v>
      </c>
      <c r="G131" t="n">
        <v>85.09999999999999</v>
      </c>
      <c r="H131" t="n">
        <v>-485</v>
      </c>
    </row>
    <row r="132">
      <c r="A132" t="inlineStr">
        <is>
          <t>FY2025-26</t>
        </is>
      </c>
      <c r="B132" s="2" t="n">
        <v>45845</v>
      </c>
      <c r="C132" t="inlineStr">
        <is>
          <t>TIP(US4642871762) Cash Dividend USD 0.379923 per Share - US Tax</t>
        </is>
      </c>
      <c r="D132" t="inlineStr">
        <is>
          <t>USD</t>
        </is>
      </c>
      <c r="E132" t="n">
        <v>5.7</v>
      </c>
      <c r="F132" t="n">
        <v>5.7</v>
      </c>
      <c r="G132" t="n">
        <v>85.09999999999999</v>
      </c>
      <c r="H132" t="n">
        <v>485</v>
      </c>
    </row>
    <row r="133">
      <c r="A133" t="inlineStr">
        <is>
          <t>FY2025-26</t>
        </is>
      </c>
      <c r="B133" s="2" t="n">
        <v>45846</v>
      </c>
      <c r="C133" t="inlineStr">
        <is>
          <t>HYU(USY384721251) Cash Dividend USD 0.920756 per Share - KR Tax</t>
        </is>
      </c>
      <c r="D133" t="inlineStr">
        <is>
          <t>USD</t>
        </is>
      </c>
      <c r="E133" t="n">
        <v>-4.86</v>
      </c>
      <c r="F133" t="n">
        <v>-4.86</v>
      </c>
      <c r="G133" t="n">
        <v>85.09999999999999</v>
      </c>
      <c r="H133" t="n">
        <v>-414</v>
      </c>
    </row>
    <row r="134">
      <c r="A134" t="inlineStr">
        <is>
          <t>FY2025-26</t>
        </is>
      </c>
      <c r="B134" s="2" t="n">
        <v>45847</v>
      </c>
      <c r="C134" t="inlineStr">
        <is>
          <t>LRCX(US5128073062) Cash Dividend USD 0.23 per Share - US Tax</t>
        </is>
      </c>
      <c r="D134" t="inlineStr">
        <is>
          <t>USD</t>
        </is>
      </c>
      <c r="E134" t="n">
        <v>-0.58</v>
      </c>
      <c r="F134" t="n">
        <v>-0.58</v>
      </c>
      <c r="G134" t="n">
        <v>85.09999999999999</v>
      </c>
      <c r="H134" t="n">
        <v>-49</v>
      </c>
    </row>
    <row r="135">
      <c r="A135" t="inlineStr">
        <is>
          <t>FY2025-26</t>
        </is>
      </c>
      <c r="B135" s="2" t="n">
        <v>45848</v>
      </c>
      <c r="C135" t="inlineStr">
        <is>
          <t>TSM(US8740391003) Cash Dividend USD 0.780305 per Share - TW Tax</t>
        </is>
      </c>
      <c r="D135" t="inlineStr">
        <is>
          <t>USD</t>
        </is>
      </c>
      <c r="E135" t="n">
        <v>-0.98</v>
      </c>
      <c r="F135" t="n">
        <v>-0.98</v>
      </c>
      <c r="G135" t="n">
        <v>85.09999999999999</v>
      </c>
      <c r="H135" t="n">
        <v>-83</v>
      </c>
    </row>
    <row r="136">
      <c r="A136" t="inlineStr">
        <is>
          <t>FY2025-26</t>
        </is>
      </c>
      <c r="B136" s="2" t="n">
        <v>45863</v>
      </c>
      <c r="C136" t="inlineStr">
        <is>
          <t>GE(US3696043013) Cash Dividend USD 0.36 per Share - US Tax</t>
        </is>
      </c>
      <c r="D136" t="inlineStr">
        <is>
          <t>USD</t>
        </is>
      </c>
      <c r="E136" t="n">
        <v>-0.27</v>
      </c>
      <c r="F136" t="n">
        <v>-0.27</v>
      </c>
      <c r="G136" t="n">
        <v>85.09999999999999</v>
      </c>
      <c r="H136" t="n">
        <v>-23</v>
      </c>
    </row>
    <row r="137">
      <c r="A137" t="inlineStr">
        <is>
          <t>FY2025-26</t>
        </is>
      </c>
      <c r="B137" s="2" t="n">
        <v>45875</v>
      </c>
      <c r="C137" t="inlineStr">
        <is>
          <t>TIP(US4642871762) Cash Dividend USD 0.264488 per Share - US Tax</t>
        </is>
      </c>
      <c r="D137" t="inlineStr">
        <is>
          <t>USD</t>
        </is>
      </c>
      <c r="E137" t="n">
        <v>-3.97</v>
      </c>
      <c r="F137" t="n">
        <v>-3.97</v>
      </c>
      <c r="G137" t="n">
        <v>87.15000000000001</v>
      </c>
      <c r="H137" t="n">
        <v>-346</v>
      </c>
    </row>
    <row r="138">
      <c r="A138" t="inlineStr">
        <is>
          <t>FY2025-26</t>
        </is>
      </c>
      <c r="B138" s="2" t="n">
        <v>45875</v>
      </c>
      <c r="C138" t="inlineStr">
        <is>
          <t>TIP(US4642871762) Cash Dividend USD 0.264488 per Share - US Tax</t>
        </is>
      </c>
      <c r="D138" t="inlineStr">
        <is>
          <t>USD</t>
        </is>
      </c>
      <c r="E138" t="n">
        <v>3.97</v>
      </c>
      <c r="F138" t="n">
        <v>3.97</v>
      </c>
      <c r="G138" t="n">
        <v>87.15000000000001</v>
      </c>
      <c r="H138" t="n">
        <v>346</v>
      </c>
    </row>
    <row r="139">
      <c r="A139" t="inlineStr">
        <is>
          <t>FY2025-26</t>
        </is>
      </c>
      <c r="B139" s="2" t="n">
        <v>45877</v>
      </c>
      <c r="C139" t="inlineStr">
        <is>
          <t>GD(US3695501086) Cash Dividend USD 1.50 per Share - US Tax</t>
        </is>
      </c>
      <c r="D139" t="inlineStr">
        <is>
          <t>USD</t>
        </is>
      </c>
      <c r="E139" t="n">
        <v>-2.25</v>
      </c>
      <c r="F139" t="n">
        <v>-2.25</v>
      </c>
      <c r="G139" t="n">
        <v>87.15000000000001</v>
      </c>
      <c r="H139" t="n">
        <v>-196</v>
      </c>
    </row>
    <row r="140">
      <c r="A140" t="inlineStr">
        <is>
          <t>FY2025-26</t>
        </is>
      </c>
      <c r="B140" s="2" t="n">
        <v>45882</v>
      </c>
      <c r="C140" t="inlineStr">
        <is>
          <t>BYDDY(US05606L1008) Cash Dividend USD 1.10247 per Share - CN Tax</t>
        </is>
      </c>
      <c r="D140" t="inlineStr">
        <is>
          <t>USD</t>
        </is>
      </c>
      <c r="E140" t="n">
        <v>-5.56</v>
      </c>
      <c r="F140" t="n">
        <v>-5.56</v>
      </c>
      <c r="G140" t="n">
        <v>87.15000000000001</v>
      </c>
      <c r="H140" t="n">
        <v>-485</v>
      </c>
    </row>
    <row r="141">
      <c r="A141" t="inlineStr">
        <is>
          <t>FY2025-26</t>
        </is>
      </c>
      <c r="B141" s="2" t="n">
        <v>45889</v>
      </c>
      <c r="C141" t="inlineStr">
        <is>
          <t>CAT(US1491231015) Cash Dividend USD 1.51 per Share - US Tax</t>
        </is>
      </c>
      <c r="D141" t="inlineStr">
        <is>
          <t>USD</t>
        </is>
      </c>
      <c r="E141" t="n">
        <v>-3.4</v>
      </c>
      <c r="F141" t="n">
        <v>-3.4</v>
      </c>
      <c r="G141" t="n">
        <v>87.15000000000001</v>
      </c>
      <c r="H141" t="n">
        <v>-296</v>
      </c>
    </row>
    <row r="142">
      <c r="A142" t="inlineStr">
        <is>
          <t>FY2025-26</t>
        </is>
      </c>
      <c r="B142" s="2" t="n">
        <v>45902</v>
      </c>
      <c r="C142" t="inlineStr">
        <is>
          <t>TGT(US87612E1064) Cash Dividend USD 1.14 per Share - US Tax</t>
        </is>
      </c>
      <c r="D142" t="inlineStr">
        <is>
          <t>USD</t>
        </is>
      </c>
      <c r="E142" t="n">
        <v>-7.41</v>
      </c>
      <c r="F142" t="n">
        <v>-7.41</v>
      </c>
      <c r="G142" t="n">
        <v>87.7</v>
      </c>
      <c r="H142" t="n">
        <v>-650</v>
      </c>
    </row>
    <row r="143">
      <c r="A143" t="inlineStr">
        <is>
          <t>FY2025-26</t>
        </is>
      </c>
      <c r="B143" s="2" t="n">
        <v>45905</v>
      </c>
      <c r="C143" t="inlineStr">
        <is>
          <t>TIP(US4642871762) Cash Dividend USD 0.417238 per Share - US Tax</t>
        </is>
      </c>
      <c r="D143" t="inlineStr">
        <is>
          <t>USD</t>
        </is>
      </c>
      <c r="E143" t="n">
        <v>-6.26</v>
      </c>
      <c r="F143" t="n">
        <v>-6.26</v>
      </c>
      <c r="G143" t="n">
        <v>87.7</v>
      </c>
      <c r="H143" t="n">
        <v>-549</v>
      </c>
    </row>
    <row r="144">
      <c r="A144" t="inlineStr">
        <is>
          <t>FY2025-26</t>
        </is>
      </c>
      <c r="B144" s="2" t="n">
        <v>45905</v>
      </c>
      <c r="C144" t="inlineStr">
        <is>
          <t>TIP(US4642871762) Cash Dividend USD 0.417238 per Share - US Tax</t>
        </is>
      </c>
      <c r="D144" t="inlineStr">
        <is>
          <t>USD</t>
        </is>
      </c>
      <c r="E144" t="n">
        <v>6.26</v>
      </c>
      <c r="F144" t="n">
        <v>6.26</v>
      </c>
      <c r="G144" t="n">
        <v>87.7</v>
      </c>
      <c r="H144" t="n">
        <v>549</v>
      </c>
    </row>
    <row r="145">
      <c r="A145" t="inlineStr">
        <is>
          <t>FY2025-26</t>
        </is>
      </c>
      <c r="B145" s="2" t="n">
        <v>45919</v>
      </c>
      <c r="C145" t="inlineStr">
        <is>
          <t>IWR(US4642874998) Cash Dividend USD 0.322439 per Share - US Tax</t>
        </is>
      </c>
      <c r="D145" t="inlineStr">
        <is>
          <t>USD</t>
        </is>
      </c>
      <c r="E145" t="n">
        <v>-0.8100000000000001</v>
      </c>
      <c r="F145" t="n">
        <v>-0.8100000000000001</v>
      </c>
      <c r="G145" t="n">
        <v>87.7</v>
      </c>
      <c r="H145" t="n">
        <v>-71</v>
      </c>
    </row>
    <row r="146">
      <c r="A146" t="inlineStr">
        <is>
          <t>FY2025-26</t>
        </is>
      </c>
      <c r="B146" s="2" t="n">
        <v>45919</v>
      </c>
      <c r="C146" t="inlineStr">
        <is>
          <t>IWR(US4642874998) Cash Dividend USD 0.322439 per Share - US Tax</t>
        </is>
      </c>
      <c r="D146" t="inlineStr">
        <is>
          <t>USD</t>
        </is>
      </c>
      <c r="E146" t="n">
        <v>0.8100000000000001</v>
      </c>
      <c r="F146" t="n">
        <v>0.8100000000000001</v>
      </c>
      <c r="G146" t="n">
        <v>87.7</v>
      </c>
      <c r="H146" t="n">
        <v>71</v>
      </c>
    </row>
    <row r="147">
      <c r="A147" t="inlineStr">
        <is>
          <t>FY2025-26</t>
        </is>
      </c>
      <c r="B147" s="2" t="n">
        <v>45919</v>
      </c>
      <c r="C147" t="inlineStr">
        <is>
          <t>IWR(US4642874998) Cash Dividend USD 0.322439 per Share - US Tax</t>
        </is>
      </c>
      <c r="D147" t="inlineStr">
        <is>
          <t>USD</t>
        </is>
      </c>
      <c r="E147" t="n">
        <v>-0.8</v>
      </c>
      <c r="F147" t="n">
        <v>-0.8</v>
      </c>
      <c r="G147" t="n">
        <v>87.7</v>
      </c>
      <c r="H147" t="n">
        <v>-70</v>
      </c>
    </row>
    <row r="148">
      <c r="A148" t="inlineStr">
        <is>
          <t>FY2025-26</t>
        </is>
      </c>
      <c r="B148" s="2" t="n">
        <v>45923</v>
      </c>
      <c r="C148" t="inlineStr">
        <is>
          <t>VT(US9220427424) Cash Dividend USD 0.4781 per Share - US Tax</t>
        </is>
      </c>
      <c r="D148" t="inlineStr">
        <is>
          <t>USD</t>
        </is>
      </c>
      <c r="E148" t="n">
        <v>-1.08</v>
      </c>
      <c r="F148" t="n">
        <v>-1.08</v>
      </c>
      <c r="G148" t="n">
        <v>87.7</v>
      </c>
      <c r="H148" t="n">
        <v>-95</v>
      </c>
    </row>
    <row r="149">
      <c r="A149" t="inlineStr">
        <is>
          <t>FY2025-26</t>
        </is>
      </c>
      <c r="B149" s="2" t="n">
        <v>45931</v>
      </c>
      <c r="C149" t="inlineStr">
        <is>
          <t>VTV(US9229087443) Cash Dividend USD 0.9433 per Share - US Tax</t>
        </is>
      </c>
      <c r="D149" t="inlineStr">
        <is>
          <t>USD</t>
        </is>
      </c>
      <c r="E149" t="n">
        <v>-1.42</v>
      </c>
      <c r="F149" t="n">
        <v>-1.42</v>
      </c>
      <c r="G149" t="n">
        <v>88.34999999999999</v>
      </c>
      <c r="H149" t="n">
        <v>-125</v>
      </c>
    </row>
    <row r="150">
      <c r="A150" t="inlineStr">
        <is>
          <t>FY2025-26</t>
        </is>
      </c>
      <c r="B150" s="2" t="n">
        <v>45936</v>
      </c>
      <c r="C150" t="inlineStr">
        <is>
          <t>TIP(US4642871762) Cash Dividend USD 0.198069 per Share - US Tax</t>
        </is>
      </c>
      <c r="D150" t="inlineStr">
        <is>
          <t>USD</t>
        </is>
      </c>
      <c r="E150" t="n">
        <v>-2.97</v>
      </c>
      <c r="F150" t="n">
        <v>-2.97</v>
      </c>
      <c r="G150" t="n">
        <v>88.34999999999999</v>
      </c>
      <c r="H150" t="n">
        <v>-262</v>
      </c>
    </row>
    <row r="151">
      <c r="A151" t="inlineStr">
        <is>
          <t>FY2025-26</t>
        </is>
      </c>
      <c r="B151" s="2" t="n">
        <v>45936</v>
      </c>
      <c r="C151" t="inlineStr">
        <is>
          <t>TIP(US4642871762) Cash Dividend USD 0.198069 per Share - US Tax</t>
        </is>
      </c>
      <c r="D151" t="inlineStr">
        <is>
          <t>USD</t>
        </is>
      </c>
      <c r="E151" t="n">
        <v>2.97</v>
      </c>
      <c r="F151" t="n">
        <v>2.97</v>
      </c>
      <c r="G151" t="n">
        <v>88.34999999999999</v>
      </c>
      <c r="H151" t="n">
        <v>262</v>
      </c>
    </row>
    <row r="152">
      <c r="A152" t="inlineStr">
        <is>
          <t>FY2025-26</t>
        </is>
      </c>
      <c r="B152" s="2" t="n">
        <v>45952</v>
      </c>
      <c r="C152" t="inlineStr">
        <is>
          <t>CSCO(US17275R1023) Cash Dividend USD 0.41 per Share - US Tax</t>
        </is>
      </c>
      <c r="D152" t="inlineStr">
        <is>
          <t>USD</t>
        </is>
      </c>
      <c r="E152" t="n">
        <v>-2.05</v>
      </c>
      <c r="F152" t="n">
        <v>-2.05</v>
      </c>
      <c r="G152" t="n">
        <v>88.34999999999999</v>
      </c>
      <c r="H152" t="n">
        <v>-181</v>
      </c>
    </row>
    <row r="153">
      <c r="A153" t="inlineStr">
        <is>
          <t>FY2025-26</t>
        </is>
      </c>
      <c r="B153" s="2" t="n">
        <v>45953</v>
      </c>
      <c r="C153" t="inlineStr">
        <is>
          <t>ORCL(US68389X1054) Cash Dividend USD 0.50 per Share - US Tax</t>
        </is>
      </c>
      <c r="D153" t="inlineStr">
        <is>
          <t>USD</t>
        </is>
      </c>
      <c r="E153" t="n">
        <v>-0.63</v>
      </c>
      <c r="F153" t="n">
        <v>-0.63</v>
      </c>
      <c r="G153" t="n">
        <v>88.34999999999999</v>
      </c>
      <c r="H153" t="n">
        <v>-56</v>
      </c>
    </row>
    <row r="154">
      <c r="A154" t="inlineStr">
        <is>
          <t>FY2025-26</t>
        </is>
      </c>
      <c r="B154" s="2" t="n">
        <v>45961</v>
      </c>
      <c r="C154" t="inlineStr">
        <is>
          <t>QQQ(US46090E1038) Cash Dividend USD 0.69395 per Share - US Tax</t>
        </is>
      </c>
      <c r="D154" t="inlineStr">
        <is>
          <t>USD</t>
        </is>
      </c>
      <c r="E154" t="n">
        <v>-0.35</v>
      </c>
      <c r="F154" t="n">
        <v>-0.35</v>
      </c>
      <c r="G154" t="n">
        <v>88.34999999999999</v>
      </c>
      <c r="H154" t="n">
        <v>-31</v>
      </c>
    </row>
    <row r="155">
      <c r="A155" t="inlineStr">
        <is>
          <t>FY2025-26</t>
        </is>
      </c>
      <c r="B155" s="2" t="n">
        <v>45967</v>
      </c>
      <c r="C155" t="inlineStr">
        <is>
          <t>ASML(USN070592100) Cash Dividend USD 1.864032 per Share - NL Tax</t>
        </is>
      </c>
      <c r="D155" t="inlineStr">
        <is>
          <t>USD</t>
        </is>
      </c>
      <c r="E155" t="n">
        <v>-0.84</v>
      </c>
      <c r="F155" t="n">
        <v>-0.84</v>
      </c>
      <c r="G155" t="n">
        <v>88.2</v>
      </c>
      <c r="H155" t="n">
        <v>-74</v>
      </c>
    </row>
    <row r="156">
      <c r="A156" t="inlineStr">
        <is>
          <t>FY2025-26</t>
        </is>
      </c>
      <c r="B156" s="2" t="n">
        <v>45967</v>
      </c>
      <c r="C156" t="inlineStr">
        <is>
          <t>TIP(US4642871762) Cash Dividend USD 0.360933 per Share - US Tax</t>
        </is>
      </c>
      <c r="D156" t="inlineStr">
        <is>
          <t>USD</t>
        </is>
      </c>
      <c r="E156" t="n">
        <v>-0.45</v>
      </c>
      <c r="F156" t="n">
        <v>-0.45</v>
      </c>
      <c r="G156" t="n">
        <v>88.2</v>
      </c>
      <c r="H156" t="n">
        <v>-40</v>
      </c>
    </row>
    <row r="157">
      <c r="A157" t="inlineStr">
        <is>
          <t>FY2025-26</t>
        </is>
      </c>
      <c r="B157" s="2" t="n">
        <v>45967</v>
      </c>
      <c r="C157" t="inlineStr">
        <is>
          <t>TIP(US4642871762) Payment in Lieu of Dividend - US Tax</t>
        </is>
      </c>
      <c r="D157" t="inlineStr">
        <is>
          <t>USD</t>
        </is>
      </c>
      <c r="E157" t="n">
        <v>-4.96</v>
      </c>
      <c r="F157" t="n">
        <v>-4.96</v>
      </c>
      <c r="G157" t="n">
        <v>88.2</v>
      </c>
      <c r="H157" t="n">
        <v>-437</v>
      </c>
    </row>
    <row r="158">
      <c r="A158" t="inlineStr">
        <is>
          <t>FY2025-26</t>
        </is>
      </c>
      <c r="B158" s="2" t="n">
        <v>45967</v>
      </c>
      <c r="C158" t="inlineStr">
        <is>
          <t>TIP(US4642871762) Cash Dividend USD 0.360933 per Share - US Tax</t>
        </is>
      </c>
      <c r="D158" t="inlineStr">
        <is>
          <t>USD</t>
        </is>
      </c>
      <c r="E158" t="n">
        <v>0.45</v>
      </c>
      <c r="F158" t="n">
        <v>0.45</v>
      </c>
      <c r="G158" t="n">
        <v>88.2</v>
      </c>
      <c r="H158" t="n">
        <v>40</v>
      </c>
    </row>
    <row r="159">
      <c r="A159" t="inlineStr">
        <is>
          <t>FY2025-26</t>
        </is>
      </c>
      <c r="B159" s="2" t="n">
        <v>45967</v>
      </c>
      <c r="C159" t="inlineStr">
        <is>
          <t>TIP(US4642871762) Payment in Lieu of Dividend - US Tax</t>
        </is>
      </c>
      <c r="D159" t="inlineStr">
        <is>
          <t>USD</t>
        </is>
      </c>
      <c r="E159" t="n">
        <v>4.96</v>
      </c>
      <c r="F159" t="n">
        <v>4.96</v>
      </c>
      <c r="G159" t="n">
        <v>88.2</v>
      </c>
      <c r="H159" t="n">
        <v>437</v>
      </c>
    </row>
    <row r="160">
      <c r="A160" t="inlineStr">
        <is>
          <t>FY2025-26</t>
        </is>
      </c>
      <c r="B160" s="2" t="n">
        <v>45974</v>
      </c>
      <c r="C160" t="inlineStr">
        <is>
          <t>AAPL(US0378331005) Cash Dividend USD 0.26 per Share - US Tax</t>
        </is>
      </c>
      <c r="D160" t="inlineStr">
        <is>
          <t>USD</t>
        </is>
      </c>
      <c r="E160" t="n">
        <v>-0.46</v>
      </c>
      <c r="F160" t="n">
        <v>-0.46</v>
      </c>
      <c r="G160" t="n">
        <v>88.2</v>
      </c>
      <c r="H160" t="n">
        <v>-41</v>
      </c>
    </row>
    <row r="161">
      <c r="A161" t="inlineStr">
        <is>
          <t>FY2025-26</t>
        </is>
      </c>
      <c r="B161" s="2" t="n">
        <v>45992</v>
      </c>
      <c r="C161" t="inlineStr">
        <is>
          <t>TGT(US87612E1064) Cash Dividend USD 1.14 per Share - US Tax</t>
        </is>
      </c>
      <c r="D161" t="inlineStr">
        <is>
          <t>USD</t>
        </is>
      </c>
      <c r="E161" t="n">
        <v>-7.41</v>
      </c>
      <c r="F161" t="n">
        <v>-7.41</v>
      </c>
      <c r="G161" t="n">
        <v>88.95</v>
      </c>
      <c r="H161" t="n">
        <v>-659</v>
      </c>
    </row>
    <row r="162">
      <c r="A162" t="inlineStr">
        <is>
          <t>FY2025-26</t>
        </is>
      </c>
      <c r="B162" s="2" t="n">
        <v>45992</v>
      </c>
      <c r="C162" t="inlineStr">
        <is>
          <t>WFC(US9497461015) Cash Dividend USD 0.45 per Share - US Tax</t>
        </is>
      </c>
      <c r="D162" t="inlineStr">
        <is>
          <t>USD</t>
        </is>
      </c>
      <c r="E162" t="n">
        <v>-5.63</v>
      </c>
      <c r="F162" t="n">
        <v>-5.63</v>
      </c>
      <c r="G162" t="n">
        <v>88.95</v>
      </c>
      <c r="H162" t="n">
        <v>-501</v>
      </c>
    </row>
    <row r="163">
      <c r="A163" t="inlineStr">
        <is>
          <t>FY2025-26</t>
        </is>
      </c>
      <c r="B163" s="2" t="n">
        <v>45995</v>
      </c>
      <c r="C163" t="inlineStr">
        <is>
          <t>TIP(US4642871762) Cash Dividend USD 0.322417 per Share - US Tax</t>
        </is>
      </c>
      <c r="D163" t="inlineStr">
        <is>
          <t>USD</t>
        </is>
      </c>
      <c r="E163" t="n">
        <v>-4.84</v>
      </c>
      <c r="F163" t="n">
        <v>-4.84</v>
      </c>
      <c r="G163" t="n">
        <v>88.95</v>
      </c>
      <c r="H163" t="n">
        <v>-431</v>
      </c>
    </row>
    <row r="164">
      <c r="A164" t="inlineStr">
        <is>
          <t>FY2025-26</t>
        </is>
      </c>
      <c r="B164" s="2" t="n">
        <v>45995</v>
      </c>
      <c r="C164" t="inlineStr">
        <is>
          <t>TIP(US4642871762) Cash Dividend USD 0.322417 per Share - US Tax</t>
        </is>
      </c>
      <c r="D164" t="inlineStr">
        <is>
          <t>USD</t>
        </is>
      </c>
      <c r="E164" t="n">
        <v>4.84</v>
      </c>
      <c r="F164" t="n">
        <v>4.84</v>
      </c>
      <c r="G164" t="n">
        <v>88.95</v>
      </c>
      <c r="H164" t="n">
        <v>431</v>
      </c>
    </row>
    <row r="165">
      <c r="A165" t="inlineStr">
        <is>
          <t>FY2025-26</t>
        </is>
      </c>
      <c r="B165" s="2" t="n">
        <v>45996</v>
      </c>
      <c r="C165" t="inlineStr">
        <is>
          <t>REGN(US75886F1075) Cash Dividend USD 0.88 per Share - US Tax</t>
        </is>
      </c>
      <c r="D165" t="inlineStr">
        <is>
          <t>USD</t>
        </is>
      </c>
      <c r="E165" t="n">
        <v>-0.66</v>
      </c>
      <c r="F165" t="n">
        <v>-0.66</v>
      </c>
      <c r="G165" t="n">
        <v>88.95</v>
      </c>
      <c r="H165" t="n">
        <v>-59</v>
      </c>
    </row>
    <row r="166">
      <c r="A166" t="inlineStr">
        <is>
          <t>FY2025-26</t>
        </is>
      </c>
      <c r="B166" s="2" t="n">
        <v>46001</v>
      </c>
      <c r="C166" t="inlineStr">
        <is>
          <t>IBM(US4592001014) Cash Dividend USD 1.68 per Share - US Tax</t>
        </is>
      </c>
      <c r="D166" t="inlineStr">
        <is>
          <t>USD</t>
        </is>
      </c>
      <c r="E166" t="n">
        <v>-2.1</v>
      </c>
      <c r="F166" t="n">
        <v>-2.1</v>
      </c>
      <c r="G166" t="n">
        <v>88.95</v>
      </c>
      <c r="H166" t="n">
        <v>-187</v>
      </c>
    </row>
    <row r="167">
      <c r="A167" t="inlineStr">
        <is>
          <t>FY2025-26</t>
        </is>
      </c>
      <c r="B167" s="2" t="n">
        <v>46001</v>
      </c>
      <c r="C167" t="inlineStr">
        <is>
          <t>LLY(US5324571083) Cash Dividend USD 1.50 per Share - US Tax</t>
        </is>
      </c>
      <c r="D167" t="inlineStr">
        <is>
          <t>USD</t>
        </is>
      </c>
      <c r="E167" t="n">
        <v>-1.31</v>
      </c>
      <c r="F167" t="n">
        <v>-1.31</v>
      </c>
      <c r="G167" t="n">
        <v>88.95</v>
      </c>
      <c r="H167" t="n">
        <v>-117</v>
      </c>
    </row>
    <row r="168">
      <c r="A168" t="inlineStr">
        <is>
          <t>FY2025-26</t>
        </is>
      </c>
      <c r="B168" s="2" t="n">
        <v>46010</v>
      </c>
      <c r="C168" t="inlineStr">
        <is>
          <t>AAXJ(US4642881829) Cash Dividend USD 1.12455 per Share - US Tax</t>
        </is>
      </c>
      <c r="D168" t="inlineStr">
        <is>
          <t>USD</t>
        </is>
      </c>
      <c r="E168" t="n">
        <v>-1.13</v>
      </c>
      <c r="F168" t="n">
        <v>-1.13</v>
      </c>
      <c r="G168" t="n">
        <v>88.95</v>
      </c>
      <c r="H168" t="n">
        <v>-101</v>
      </c>
    </row>
    <row r="169">
      <c r="A169" t="inlineStr">
        <is>
          <t>FY2025-26</t>
        </is>
      </c>
      <c r="B169" s="2" t="n">
        <v>46010</v>
      </c>
      <c r="C169" t="inlineStr">
        <is>
          <t>AAXJ(US4642881829) Payment in Lieu of Dividend - US Tax</t>
        </is>
      </c>
      <c r="D169" t="inlineStr">
        <is>
          <t>USD</t>
        </is>
      </c>
      <c r="E169" t="n">
        <v>-1.13</v>
      </c>
      <c r="F169" t="n">
        <v>-1.13</v>
      </c>
      <c r="G169" t="n">
        <v>88.95</v>
      </c>
      <c r="H169" t="n">
        <v>-101</v>
      </c>
    </row>
    <row r="170">
      <c r="A170" t="inlineStr">
        <is>
          <t>FY2025-26</t>
        </is>
      </c>
      <c r="B170" s="2" t="n">
        <v>46010</v>
      </c>
      <c r="C170" t="inlineStr">
        <is>
          <t>AAXJ(US4642881829) Cash Dividend USD 1.12455 per Share - US Tax</t>
        </is>
      </c>
      <c r="D170" t="inlineStr">
        <is>
          <t>USD</t>
        </is>
      </c>
      <c r="E170" t="n">
        <v>1.13</v>
      </c>
      <c r="F170" t="n">
        <v>1.13</v>
      </c>
      <c r="G170" t="n">
        <v>88.95</v>
      </c>
      <c r="H170" t="n">
        <v>101</v>
      </c>
    </row>
    <row r="171">
      <c r="A171" t="inlineStr">
        <is>
          <t>FY2025-26</t>
        </is>
      </c>
      <c r="B171" s="2" t="n">
        <v>46010</v>
      </c>
      <c r="C171" t="inlineStr">
        <is>
          <t>AAXJ(US4642881829) Cash Dividend USD 1.12455 per Share - US Tax</t>
        </is>
      </c>
      <c r="D171" t="inlineStr">
        <is>
          <t>USD</t>
        </is>
      </c>
      <c r="E171" t="n">
        <v>-1.11</v>
      </c>
      <c r="F171" t="n">
        <v>-1.11</v>
      </c>
      <c r="G171" t="n">
        <v>88.95</v>
      </c>
      <c r="H171" t="n">
        <v>-99</v>
      </c>
    </row>
    <row r="172">
      <c r="A172" t="inlineStr">
        <is>
          <t>FY2025-26</t>
        </is>
      </c>
      <c r="B172" s="2" t="n">
        <v>46010</v>
      </c>
      <c r="C172" t="inlineStr">
        <is>
          <t>AAXJ(US4642881829) Payment in Lieu of Dividend - US Tax</t>
        </is>
      </c>
      <c r="D172" t="inlineStr">
        <is>
          <t>USD</t>
        </is>
      </c>
      <c r="E172" t="n">
        <v>1.13</v>
      </c>
      <c r="F172" t="n">
        <v>1.13</v>
      </c>
      <c r="G172" t="n">
        <v>88.95</v>
      </c>
      <c r="H172" t="n">
        <v>101</v>
      </c>
    </row>
    <row r="173">
      <c r="A173" t="inlineStr">
        <is>
          <t>FY2025-26</t>
        </is>
      </c>
      <c r="B173" s="2" t="n">
        <v>46010</v>
      </c>
      <c r="C173" t="inlineStr">
        <is>
          <t>AAXJ(US4642881829) Payment in Lieu of Dividend - US Tax</t>
        </is>
      </c>
      <c r="D173" t="inlineStr">
        <is>
          <t>USD</t>
        </is>
      </c>
      <c r="E173" t="n">
        <v>-1.11</v>
      </c>
      <c r="F173" t="n">
        <v>-1.11</v>
      </c>
      <c r="G173" t="n">
        <v>88.95</v>
      </c>
      <c r="H173" t="n">
        <v>-99</v>
      </c>
    </row>
    <row r="174">
      <c r="A174" t="inlineStr">
        <is>
          <t>FY2025-26</t>
        </is>
      </c>
      <c r="B174" s="2" t="n">
        <v>46010</v>
      </c>
      <c r="C174" t="inlineStr">
        <is>
          <t>ICLN(US4642882249) Cash Dividend USD 0.128205 per Share - US Tax</t>
        </is>
      </c>
      <c r="D174" t="inlineStr">
        <is>
          <t>USD</t>
        </is>
      </c>
      <c r="E174" t="n">
        <v>-1.6</v>
      </c>
      <c r="F174" t="n">
        <v>-1.6</v>
      </c>
      <c r="G174" t="n">
        <v>88.95</v>
      </c>
      <c r="H174" t="n">
        <v>-142</v>
      </c>
    </row>
    <row r="175">
      <c r="A175" t="inlineStr">
        <is>
          <t>FY2025-26</t>
        </is>
      </c>
      <c r="B175" s="2" t="n">
        <v>46010</v>
      </c>
      <c r="C175" t="inlineStr">
        <is>
          <t>IWR(US4642874998) Cash Dividend USD 0.393709 per Share - US Tax</t>
        </is>
      </c>
      <c r="D175" t="inlineStr">
        <is>
          <t>USD</t>
        </is>
      </c>
      <c r="E175" t="n">
        <v>-0.99</v>
      </c>
      <c r="F175" t="n">
        <v>-0.99</v>
      </c>
      <c r="G175" t="n">
        <v>88.95</v>
      </c>
      <c r="H175" t="n">
        <v>-88</v>
      </c>
    </row>
    <row r="176">
      <c r="A176" t="inlineStr">
        <is>
          <t>FY2025-26</t>
        </is>
      </c>
      <c r="B176" s="2" t="n">
        <v>46010</v>
      </c>
      <c r="C176" t="inlineStr">
        <is>
          <t>IWR(US4642874998) Cash Dividend USD 0.393709 per Share - US Tax</t>
        </is>
      </c>
      <c r="D176" t="inlineStr">
        <is>
          <t>USD</t>
        </is>
      </c>
      <c r="E176" t="n">
        <v>0.99</v>
      </c>
      <c r="F176" t="n">
        <v>0.99</v>
      </c>
      <c r="G176" t="n">
        <v>88.95</v>
      </c>
      <c r="H176" t="n">
        <v>88</v>
      </c>
    </row>
    <row r="177">
      <c r="A177" t="inlineStr">
        <is>
          <t>FY2025-26</t>
        </is>
      </c>
      <c r="B177" s="2" t="n">
        <v>46010</v>
      </c>
      <c r="C177" t="inlineStr">
        <is>
          <t>IWR(US4642874998) Cash Dividend USD 0.393709 per Share - US Tax</t>
        </is>
      </c>
      <c r="D177" t="inlineStr">
        <is>
          <t>USD</t>
        </is>
      </c>
      <c r="E177" t="n">
        <v>-0.98</v>
      </c>
      <c r="F177" t="n">
        <v>-0.98</v>
      </c>
      <c r="G177" t="n">
        <v>88.95</v>
      </c>
      <c r="H177" t="n">
        <v>-87</v>
      </c>
    </row>
    <row r="178">
      <c r="A178" t="inlineStr">
        <is>
          <t>FY2025-26</t>
        </is>
      </c>
      <c r="B178" s="2" t="n">
        <v>46014</v>
      </c>
      <c r="C178" t="inlineStr">
        <is>
          <t>META(US30303M1027) Cash Dividend USD 0.525 per Share - US Tax</t>
        </is>
      </c>
      <c r="D178" t="inlineStr">
        <is>
          <t>USD</t>
        </is>
      </c>
      <c r="E178" t="n">
        <v>-0.26</v>
      </c>
      <c r="F178" t="n">
        <v>-0.26</v>
      </c>
      <c r="G178" t="n">
        <v>88.95</v>
      </c>
      <c r="H178" t="n">
        <v>-23</v>
      </c>
    </row>
    <row r="179">
      <c r="A179" t="inlineStr">
        <is>
          <t>FY2025-26</t>
        </is>
      </c>
      <c r="B179" s="2" t="n">
        <v>46014</v>
      </c>
      <c r="C179" t="inlineStr">
        <is>
          <t>VT(US9220427424) Cash Dividend USD 1.1152 per Share - US Tax</t>
        </is>
      </c>
      <c r="D179" t="inlineStr">
        <is>
          <t>USD</t>
        </is>
      </c>
      <c r="E179" t="n">
        <v>-2.51</v>
      </c>
      <c r="F179" t="n">
        <v>-2.51</v>
      </c>
      <c r="G179" t="n">
        <v>88.95</v>
      </c>
      <c r="H179" t="n">
        <v>-223</v>
      </c>
    </row>
    <row r="180">
      <c r="A180" t="inlineStr">
        <is>
          <t>FY2025-26</t>
        </is>
      </c>
      <c r="B180" s="2" t="n">
        <v>46015</v>
      </c>
      <c r="C180" t="inlineStr">
        <is>
          <t>TIP(US4642871762) Cash Dividend USD 0.341961 per Share - US Tax</t>
        </is>
      </c>
      <c r="D180" t="inlineStr">
        <is>
          <t>USD</t>
        </is>
      </c>
      <c r="E180" t="n">
        <v>-5.13</v>
      </c>
      <c r="F180" t="n">
        <v>-5.13</v>
      </c>
      <c r="G180" t="n">
        <v>88.95</v>
      </c>
      <c r="H180" t="n">
        <v>-456</v>
      </c>
    </row>
    <row r="181">
      <c r="A181" t="inlineStr">
        <is>
          <t>FY2025-26</t>
        </is>
      </c>
      <c r="B181" s="2" t="n">
        <v>46015</v>
      </c>
      <c r="C181" t="inlineStr">
        <is>
          <t>TIP(US4642871762) Cash Dividend USD 0.341961 per Share - US Tax</t>
        </is>
      </c>
      <c r="D181" t="inlineStr">
        <is>
          <t>USD</t>
        </is>
      </c>
      <c r="E181" t="n">
        <v>5.13</v>
      </c>
      <c r="F181" t="n">
        <v>5.13</v>
      </c>
      <c r="G181" t="n">
        <v>88.95</v>
      </c>
      <c r="H181" t="n">
        <v>456</v>
      </c>
    </row>
    <row r="182">
      <c r="A182" t="inlineStr">
        <is>
          <t>FY2025-26</t>
        </is>
      </c>
      <c r="B182" s="2" t="n">
        <v>46015</v>
      </c>
      <c r="C182" t="inlineStr">
        <is>
          <t>VTV(US9229087443) Cash Dividend USD 0.9862 per Share - US Tax</t>
        </is>
      </c>
      <c r="D182" t="inlineStr">
        <is>
          <t>USD</t>
        </is>
      </c>
      <c r="E182" t="n">
        <v>-1.48</v>
      </c>
      <c r="F182" t="n">
        <v>-1.48</v>
      </c>
      <c r="G182" t="n">
        <v>88.95</v>
      </c>
      <c r="H182" t="n">
        <v>-132</v>
      </c>
    </row>
    <row r="183">
      <c r="A183" t="inlineStr">
        <is>
          <t>FY2025-26</t>
        </is>
      </c>
      <c r="B183" s="2" t="n">
        <v>46022</v>
      </c>
      <c r="C183" t="inlineStr">
        <is>
          <t>QQQ(US46090E1038) Cash Dividend USD 0.79408 per Share - US Tax</t>
        </is>
      </c>
      <c r="D183" t="inlineStr">
        <is>
          <t>USD</t>
        </is>
      </c>
      <c r="E183" t="n">
        <v>-0.4</v>
      </c>
      <c r="F183" t="n">
        <v>-0.4</v>
      </c>
      <c r="G183" t="n">
        <v>88.95</v>
      </c>
      <c r="H183" t="n">
        <v>-36</v>
      </c>
    </row>
    <row r="184">
      <c r="A184" t="inlineStr">
        <is>
          <t>FY2025-26</t>
        </is>
      </c>
      <c r="B184" s="2" t="n">
        <v>46029</v>
      </c>
      <c r="C184" t="inlineStr">
        <is>
          <t>AIQ(US37954Y6326) Cash Dividend USD 0.045113 per Share - US Tax</t>
        </is>
      </c>
      <c r="D184" t="inlineStr">
        <is>
          <t>USD</t>
        </is>
      </c>
      <c r="E184" t="n">
        <v>-0.01</v>
      </c>
      <c r="F184" t="n">
        <v>-0.01</v>
      </c>
      <c r="G184" t="n">
        <v>89.47</v>
      </c>
      <c r="H184" t="n">
        <v>-1</v>
      </c>
    </row>
    <row r="185">
      <c r="A185" t="inlineStr">
        <is>
          <t>FY2025-26</t>
        </is>
      </c>
      <c r="B185" s="2" t="n">
        <v>46029</v>
      </c>
      <c r="C185" t="inlineStr">
        <is>
          <t>AIQ(US37954Y6326) Payment in Lieu of Dividend - US Tax</t>
        </is>
      </c>
      <c r="D185" t="inlineStr">
        <is>
          <t>USD</t>
        </is>
      </c>
      <c r="E185" t="n">
        <v>-0.4</v>
      </c>
      <c r="F185" t="n">
        <v>-0.4</v>
      </c>
      <c r="G185" t="n">
        <v>89.47</v>
      </c>
      <c r="H185" t="n">
        <v>-36</v>
      </c>
    </row>
    <row r="186">
      <c r="A186" t="inlineStr">
        <is>
          <t>FY2025-26</t>
        </is>
      </c>
      <c r="B186" s="2" t="n">
        <v>46029</v>
      </c>
      <c r="C186" t="inlineStr">
        <is>
          <t>BOTZ(US37954Y7159) Payment in Lieu of Dividend - US Tax</t>
        </is>
      </c>
      <c r="D186" t="inlineStr">
        <is>
          <t>USD</t>
        </is>
      </c>
      <c r="E186" t="n">
        <v>-0.95</v>
      </c>
      <c r="F186" t="n">
        <v>-0.95</v>
      </c>
      <c r="G186" t="n">
        <v>89.47</v>
      </c>
      <c r="H186" t="n">
        <v>-85</v>
      </c>
    </row>
    <row r="187">
      <c r="A187" t="inlineStr">
        <is>
          <t>FY2025-26</t>
        </is>
      </c>
      <c r="B187" s="2" t="n">
        <v>46043</v>
      </c>
      <c r="C187" t="inlineStr">
        <is>
          <t>CSCO(US17275R1023) Cash Dividend USD 0.41 per Share - US Tax</t>
        </is>
      </c>
      <c r="D187" t="inlineStr">
        <is>
          <t>USD</t>
        </is>
      </c>
      <c r="E187" t="n">
        <v>-2.05</v>
      </c>
      <c r="F187" t="n">
        <v>-2.05</v>
      </c>
      <c r="G187" t="n">
        <v>89.47</v>
      </c>
      <c r="H187" t="n">
        <v>-183</v>
      </c>
    </row>
    <row r="188">
      <c r="A188" t="inlineStr">
        <is>
          <t>FY2025-26</t>
        </is>
      </c>
      <c r="B188" s="2" t="n">
        <v>46065</v>
      </c>
      <c r="C188" t="inlineStr">
        <is>
          <t>AAPL(US0378331005) Cash Dividend USD 0.26 per Share - US Tax</t>
        </is>
      </c>
      <c r="D188" t="inlineStr">
        <is>
          <t>USD</t>
        </is>
      </c>
      <c r="E188" t="n">
        <v>-0.46</v>
      </c>
      <c r="F188" t="n">
        <v>-0.46</v>
      </c>
      <c r="G188" t="n">
        <v>91.34999999999999</v>
      </c>
      <c r="H188" t="n">
        <v>-42</v>
      </c>
    </row>
    <row r="189">
      <c r="A189" t="inlineStr">
        <is>
          <t>FY2025-26</t>
        </is>
      </c>
      <c r="B189" s="2" t="n">
        <v>46071</v>
      </c>
      <c r="C189" t="inlineStr">
        <is>
          <t>ASML(USN070592100) Cash Dividend USD 1.9064 per Share - NL Tax</t>
        </is>
      </c>
      <c r="D189" t="inlineStr">
        <is>
          <t>USD</t>
        </is>
      </c>
      <c r="E189" t="n">
        <v>-0.86</v>
      </c>
      <c r="F189" t="n">
        <v>-0.86</v>
      </c>
      <c r="G189" t="n">
        <v>91.34999999999999</v>
      </c>
      <c r="H189" t="n">
        <v>-79</v>
      </c>
    </row>
    <row r="190">
      <c r="A190" t="inlineStr">
        <is>
          <t>FY2025-26</t>
        </is>
      </c>
      <c r="B190" s="2" t="n">
        <v>46082</v>
      </c>
      <c r="C190" t="inlineStr">
        <is>
          <t>TGT(US87612E1064) Cash Dividend USD 1.14 per Share - US Tax</t>
        </is>
      </c>
      <c r="D190" t="inlineStr">
        <is>
          <t>USD</t>
        </is>
      </c>
      <c r="E190" t="n">
        <v>-7.41</v>
      </c>
      <c r="F190" t="n">
        <v>-7.41</v>
      </c>
      <c r="G190" t="n">
        <v>90.56</v>
      </c>
      <c r="H190" t="n">
        <v>-671</v>
      </c>
    </row>
    <row r="191">
      <c r="A191" t="inlineStr">
        <is>
          <t>FY2025-26</t>
        </is>
      </c>
      <c r="B191" s="2" t="n">
        <v>46082</v>
      </c>
      <c r="C191" t="inlineStr">
        <is>
          <t>WFC(US9497461015) Cash Dividend USD 0.45 per Share - US Tax</t>
        </is>
      </c>
      <c r="D191" t="inlineStr">
        <is>
          <t>USD</t>
        </is>
      </c>
      <c r="E191" t="n">
        <v>-5.63</v>
      </c>
      <c r="F191" t="n">
        <v>-5.63</v>
      </c>
      <c r="G191" t="n">
        <v>90.56</v>
      </c>
      <c r="H191" t="n">
        <v>-510</v>
      </c>
    </row>
    <row r="192">
      <c r="A192" t="inlineStr">
        <is>
          <t>FY2025-26</t>
        </is>
      </c>
      <c r="B192" s="2" t="n">
        <v>46086</v>
      </c>
      <c r="C192" t="inlineStr">
        <is>
          <t>REGN(US75886F1075) Cash Dividend USD 0.94 per Share - US Tax</t>
        </is>
      </c>
      <c r="D192" t="inlineStr">
        <is>
          <t>USD</t>
        </is>
      </c>
      <c r="E192" t="n">
        <v>-0.71</v>
      </c>
      <c r="F192" t="n">
        <v>-0.71</v>
      </c>
      <c r="G192" t="n">
        <v>90.56</v>
      </c>
      <c r="H192" t="n">
        <v>-64</v>
      </c>
    </row>
    <row r="193">
      <c r="A193" t="inlineStr">
        <is>
          <t>FY2025-26</t>
        </is>
      </c>
      <c r="B193" s="2" t="n">
        <v>46091</v>
      </c>
      <c r="C193" t="inlineStr">
        <is>
          <t>IBM(US4592001014) Cash Dividend USD 1.68 per Share - US Tax</t>
        </is>
      </c>
      <c r="D193" t="inlineStr">
        <is>
          <t>USD</t>
        </is>
      </c>
      <c r="E193" t="n">
        <v>-2.1</v>
      </c>
      <c r="F193" t="n">
        <v>-2.1</v>
      </c>
      <c r="G193" t="n">
        <v>90.56</v>
      </c>
      <c r="H193" t="n">
        <v>-190</v>
      </c>
    </row>
    <row r="194">
      <c r="A194" t="inlineStr">
        <is>
          <t>FY2025-26</t>
        </is>
      </c>
      <c r="B194" s="2" t="n">
        <v>46091</v>
      </c>
      <c r="C194" t="inlineStr">
        <is>
          <t>LLY(US5324571083) Cash Dividend USD 1.73 per Share - US Tax</t>
        </is>
      </c>
      <c r="D194" t="inlineStr">
        <is>
          <t>USD</t>
        </is>
      </c>
      <c r="E194" t="n">
        <v>-1.52</v>
      </c>
      <c r="F194" t="n">
        <v>-1.52</v>
      </c>
      <c r="G194" t="n">
        <v>90.56</v>
      </c>
      <c r="H194" t="n">
        <v>-138</v>
      </c>
    </row>
    <row r="195">
      <c r="A195" t="inlineStr">
        <is>
          <t>FY2025-26</t>
        </is>
      </c>
      <c r="B195" s="2" t="n">
        <v>46101</v>
      </c>
      <c r="C195" t="inlineStr">
        <is>
          <t>IWR(US4642874998) Cash Dividend USD 0.261651 per Share - US Tax</t>
        </is>
      </c>
      <c r="D195" t="inlineStr">
        <is>
          <t>USD</t>
        </is>
      </c>
      <c r="E195" t="n">
        <v>-0.66</v>
      </c>
      <c r="F195" t="n">
        <v>-0.66</v>
      </c>
      <c r="G195" t="n">
        <v>90.56</v>
      </c>
      <c r="H195" t="n">
        <v>-60</v>
      </c>
    </row>
    <row r="196">
      <c r="A196" t="inlineStr">
        <is>
          <t>FY2025-26</t>
        </is>
      </c>
      <c r="B196" s="2" t="n">
        <v>46105</v>
      </c>
      <c r="C196" t="inlineStr">
        <is>
          <t>VT(US9220427424) Cash Dividend USD 0.3272 per Share - US Tax</t>
        </is>
      </c>
      <c r="D196" t="inlineStr">
        <is>
          <t>USD</t>
        </is>
      </c>
      <c r="E196" t="n">
        <v>-0.74</v>
      </c>
      <c r="F196" t="n">
        <v>-0.74</v>
      </c>
      <c r="G196" t="n">
        <v>90.56</v>
      </c>
      <c r="H196" t="n">
        <v>-67</v>
      </c>
    </row>
    <row r="197">
      <c r="A197" t="inlineStr">
        <is>
          <t>FY2025-26</t>
        </is>
      </c>
      <c r="B197" s="2" t="n">
        <v>46107</v>
      </c>
      <c r="C197" t="inlineStr">
        <is>
          <t>META(US30303M1027) Cash Dividend USD 0.525 per Share - US Tax</t>
        </is>
      </c>
      <c r="D197" t="inlineStr">
        <is>
          <t>USD</t>
        </is>
      </c>
      <c r="E197" t="n">
        <v>-0.26</v>
      </c>
      <c r="F197" t="n">
        <v>-0.26</v>
      </c>
      <c r="G197" t="n">
        <v>90.56</v>
      </c>
      <c r="H197" t="n">
        <v>-24</v>
      </c>
    </row>
    <row r="198">
      <c r="A198" t="inlineStr">
        <is>
          <t>FY2025-26</t>
        </is>
      </c>
      <c r="B198" s="2" t="n">
        <v>46108</v>
      </c>
      <c r="C198" t="inlineStr">
        <is>
          <t>QQQ(US46090E1038) Cash Dividend USD 0.73282 per Share - US Tax</t>
        </is>
      </c>
      <c r="D198" t="inlineStr">
        <is>
          <t>USD</t>
        </is>
      </c>
      <c r="E198" t="n">
        <v>-0.37</v>
      </c>
      <c r="F198" t="n">
        <v>-0.37</v>
      </c>
      <c r="G198" t="n">
        <v>90.56</v>
      </c>
      <c r="H198" t="n">
        <v>-34</v>
      </c>
    </row>
    <row r="199">
      <c r="A199" t="inlineStr">
        <is>
          <t>FY2025-26</t>
        </is>
      </c>
      <c r="B199" s="2" t="n">
        <v>46112</v>
      </c>
      <c r="C199" t="inlineStr">
        <is>
          <t>VTV(US9229087443) Cash Dividend USD 1.0792 per Share - US Tax</t>
        </is>
      </c>
      <c r="D199" t="inlineStr">
        <is>
          <t>USD</t>
        </is>
      </c>
      <c r="E199" t="n">
        <v>-1.62</v>
      </c>
      <c r="F199" t="n">
        <v>-1.62</v>
      </c>
      <c r="G199" t="n">
        <v>90.56</v>
      </c>
      <c r="H199" t="n">
        <v>-147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48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AMD</t>
        </is>
      </c>
      <c r="B5" t="inlineStr">
        <is>
          <t>USD</t>
        </is>
      </c>
      <c r="C5" t="n">
        <v>1.2</v>
      </c>
      <c r="D5" s="2" t="n">
        <v>45687</v>
      </c>
      <c r="E5" s="2" t="n">
        <v>45862</v>
      </c>
      <c r="F5">
        <f>E5-D5</f>
        <v/>
      </c>
      <c r="G5">
        <f>IF(F5&gt;730,"LTCG","STCG")</f>
        <v/>
      </c>
      <c r="H5" s="3" t="n">
        <v>194.64</v>
      </c>
      <c r="I5" s="3" t="n">
        <v>142.73</v>
      </c>
      <c r="J5" s="3" t="n">
        <v>1</v>
      </c>
      <c r="K5" s="3" t="n">
        <v>1</v>
      </c>
      <c r="L5">
        <f>H5*K5</f>
        <v/>
      </c>
      <c r="M5">
        <f>I5*K5</f>
        <v/>
      </c>
      <c r="N5" s="3" t="n">
        <v>85.09999999999999</v>
      </c>
      <c r="O5" s="3" t="n">
        <v>85.2</v>
      </c>
      <c r="P5" s="3" t="n">
        <v>85.09999999999999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AMZN</t>
        </is>
      </c>
      <c r="B6" t="inlineStr">
        <is>
          <t>USD</t>
        </is>
      </c>
      <c r="C6" t="n">
        <v>6</v>
      </c>
      <c r="D6" s="2" t="n">
        <v>45544</v>
      </c>
      <c r="E6" s="2" t="n">
        <v>45862</v>
      </c>
      <c r="F6">
        <f>E6-D6</f>
        <v/>
      </c>
      <c r="G6">
        <f>IF(F6&gt;730,"LTCG","STCG")</f>
        <v/>
      </c>
      <c r="H6" s="3" t="n">
        <v>1392.12</v>
      </c>
      <c r="I6" s="3" t="n">
        <v>1045</v>
      </c>
      <c r="J6" s="3" t="n">
        <v>1</v>
      </c>
      <c r="K6" s="3" t="n">
        <v>1</v>
      </c>
      <c r="L6">
        <f>H6*K6</f>
        <v/>
      </c>
      <c r="M6">
        <f>I6*K6</f>
        <v/>
      </c>
      <c r="N6" s="3" t="n">
        <v>85.09999999999999</v>
      </c>
      <c r="O6" s="3" t="n">
        <v>83.5</v>
      </c>
      <c r="P6" s="3" t="n">
        <v>85.09999999999999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ASML</t>
        </is>
      </c>
      <c r="B7" t="inlineStr">
        <is>
          <t>USD</t>
        </is>
      </c>
      <c r="C7" t="n">
        <v>6</v>
      </c>
      <c r="D7" s="2" t="n">
        <v>45587</v>
      </c>
      <c r="E7" s="2" t="n">
        <v>45862</v>
      </c>
      <c r="F7">
        <f>E7-D7</f>
        <v/>
      </c>
      <c r="G7">
        <f>IF(F7&gt;730,"LTCG","STCG")</f>
        <v/>
      </c>
      <c r="H7" s="3" t="n">
        <v>4338.54</v>
      </c>
      <c r="I7" s="3" t="n">
        <v>4328.71</v>
      </c>
      <c r="J7" s="3" t="n">
        <v>1</v>
      </c>
      <c r="K7" s="3" t="n">
        <v>1</v>
      </c>
      <c r="L7">
        <f>H7*K7</f>
        <v/>
      </c>
      <c r="M7">
        <f>I7*K7</f>
        <v/>
      </c>
      <c r="N7" s="3" t="n">
        <v>85.09999999999999</v>
      </c>
      <c r="O7" s="3" t="n">
        <v>83.3</v>
      </c>
      <c r="P7" s="3" t="n">
        <v>85.09999999999999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AVGO</t>
        </is>
      </c>
      <c r="B8" t="inlineStr">
        <is>
          <t>USD</t>
        </is>
      </c>
      <c r="C8" t="n">
        <v>9</v>
      </c>
      <c r="D8" s="2" t="n">
        <v>45544</v>
      </c>
      <c r="E8" s="2" t="n">
        <v>45862</v>
      </c>
      <c r="F8">
        <f>E8-D8</f>
        <v/>
      </c>
      <c r="G8">
        <f>IF(F8&gt;730,"LTCG","STCG")</f>
        <v/>
      </c>
      <c r="H8" s="3" t="n">
        <v>2600.64</v>
      </c>
      <c r="I8" s="3" t="n">
        <v>1242.1</v>
      </c>
      <c r="J8" s="3" t="n">
        <v>1</v>
      </c>
      <c r="K8" s="3" t="n">
        <v>1</v>
      </c>
      <c r="L8">
        <f>H8*K8</f>
        <v/>
      </c>
      <c r="M8">
        <f>I8*K8</f>
        <v/>
      </c>
      <c r="N8" s="3" t="n">
        <v>85.09999999999999</v>
      </c>
      <c r="O8" s="3" t="n">
        <v>83.5</v>
      </c>
      <c r="P8" s="3" t="n">
        <v>85.09999999999999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BAC</t>
        </is>
      </c>
      <c r="B9" t="inlineStr">
        <is>
          <t>USD</t>
        </is>
      </c>
      <c r="C9" t="n">
        <v>60</v>
      </c>
      <c r="D9" s="2" t="n">
        <v>45754</v>
      </c>
      <c r="E9" s="2" t="n">
        <v>45862</v>
      </c>
      <c r="F9">
        <f>E9-D9</f>
        <v/>
      </c>
      <c r="G9">
        <f>IF(F9&gt;730,"LTCG","STCG")</f>
        <v/>
      </c>
      <c r="H9" s="3" t="n">
        <v>2930.1</v>
      </c>
      <c r="I9" s="3" t="n">
        <v>2095.9</v>
      </c>
      <c r="J9" s="3" t="n">
        <v>1.01</v>
      </c>
      <c r="K9" s="3" t="n">
        <v>1</v>
      </c>
      <c r="L9">
        <f>H9*K9</f>
        <v/>
      </c>
      <c r="M9">
        <f>I9*K9</f>
        <v/>
      </c>
      <c r="N9" s="3" t="n">
        <v>85.09999999999999</v>
      </c>
      <c r="O9" s="3" t="n">
        <v>85.09999999999999</v>
      </c>
      <c r="P9" s="3" t="n">
        <v>85.09999999999999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BTI</t>
        </is>
      </c>
      <c r="B10" t="inlineStr">
        <is>
          <t>USD</t>
        </is>
      </c>
      <c r="C10" t="n">
        <v>33</v>
      </c>
      <c r="D10" s="2" t="n">
        <v>45569</v>
      </c>
      <c r="E10" s="2" t="n">
        <v>45862</v>
      </c>
      <c r="F10">
        <f>E10-D10</f>
        <v/>
      </c>
      <c r="G10">
        <f>IF(F10&gt;730,"LTCG","STCG")</f>
        <v/>
      </c>
      <c r="H10" s="3" t="n">
        <v>1736.3</v>
      </c>
      <c r="I10" s="3" t="n">
        <v>1162.77</v>
      </c>
      <c r="J10" s="3" t="n">
        <v>1.01</v>
      </c>
      <c r="K10" s="3" t="n">
        <v>1</v>
      </c>
      <c r="L10">
        <f>H10*K10</f>
        <v/>
      </c>
      <c r="M10">
        <f>I10*K10</f>
        <v/>
      </c>
      <c r="N10" s="3" t="n">
        <v>85.09999999999999</v>
      </c>
      <c r="O10" s="3" t="n">
        <v>83.3</v>
      </c>
      <c r="P10" s="3" t="n">
        <v>85.09999999999999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BX</t>
        </is>
      </c>
      <c r="B11" t="inlineStr">
        <is>
          <t>USD</t>
        </is>
      </c>
      <c r="C11" t="n">
        <v>12</v>
      </c>
      <c r="D11" s="2" t="n">
        <v>45569</v>
      </c>
      <c r="E11" s="2" t="n">
        <v>45862</v>
      </c>
      <c r="F11">
        <f>E11-D11</f>
        <v/>
      </c>
      <c r="G11">
        <f>IF(F11&gt;730,"LTCG","STCG")</f>
        <v/>
      </c>
      <c r="H11" s="3" t="n">
        <v>2154.36</v>
      </c>
      <c r="I11" s="3" t="n">
        <v>1788.57</v>
      </c>
      <c r="J11" s="3" t="n">
        <v>1</v>
      </c>
      <c r="K11" s="3" t="n">
        <v>1</v>
      </c>
      <c r="L11">
        <f>H11*K11</f>
        <v/>
      </c>
      <c r="M11">
        <f>I11*K11</f>
        <v/>
      </c>
      <c r="N11" s="3" t="n">
        <v>85.09999999999999</v>
      </c>
      <c r="O11" s="3" t="n">
        <v>83.3</v>
      </c>
      <c r="P11" s="3" t="n">
        <v>85.09999999999999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BYDDY</t>
        </is>
      </c>
      <c r="B12" t="inlineStr">
        <is>
          <t>USD</t>
        </is>
      </c>
      <c r="C12" t="n">
        <v>42</v>
      </c>
      <c r="D12" s="2" t="n">
        <v>45754</v>
      </c>
      <c r="E12" s="2" t="n">
        <v>45862</v>
      </c>
      <c r="F12">
        <f>E12-D12</f>
        <v/>
      </c>
      <c r="G12">
        <f>IF(F12&gt;730,"LTCG","STCG")</f>
        <v/>
      </c>
      <c r="H12" s="3" t="n">
        <v>4199.58</v>
      </c>
      <c r="I12" s="3" t="n">
        <v>3521.86</v>
      </c>
      <c r="J12" s="3" t="n">
        <v>1.01</v>
      </c>
      <c r="K12" s="3" t="n">
        <v>1</v>
      </c>
      <c r="L12">
        <f>H12*K12</f>
        <v/>
      </c>
      <c r="M12">
        <f>I12*K12</f>
        <v/>
      </c>
      <c r="N12" s="3" t="n">
        <v>85.09999999999999</v>
      </c>
      <c r="O12" s="3" t="n">
        <v>85.09999999999999</v>
      </c>
      <c r="P12" s="3" t="n">
        <v>85.09999999999999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>
      <c r="A13" t="inlineStr">
        <is>
          <t>CAT</t>
        </is>
      </c>
      <c r="B13" t="inlineStr">
        <is>
          <t>USD</t>
        </is>
      </c>
      <c r="C13" t="n">
        <v>3</v>
      </c>
      <c r="D13" s="2" t="n">
        <v>45544</v>
      </c>
      <c r="E13" s="2" t="n">
        <v>45862</v>
      </c>
      <c r="F13">
        <f>E13-D13</f>
        <v/>
      </c>
      <c r="G13">
        <f>IF(F13&gt;730,"LTCG","STCG")</f>
        <v/>
      </c>
      <c r="H13" s="3" t="n">
        <v>1285.38</v>
      </c>
      <c r="I13" s="3" t="n">
        <v>889.09</v>
      </c>
      <c r="J13" s="3" t="n">
        <v>0.33</v>
      </c>
      <c r="K13" s="3" t="n">
        <v>1</v>
      </c>
      <c r="L13">
        <f>H13*K13</f>
        <v/>
      </c>
      <c r="M13">
        <f>I13*K13</f>
        <v/>
      </c>
      <c r="N13" s="3" t="n">
        <v>85.09999999999999</v>
      </c>
      <c r="O13" s="3" t="n">
        <v>83.5</v>
      </c>
      <c r="P13" s="3" t="n">
        <v>85.09999999999999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  <c r="U13" t="inlineStr"/>
    </row>
    <row r="14">
      <c r="A14" t="inlineStr">
        <is>
          <t>CAT</t>
        </is>
      </c>
      <c r="B14" t="inlineStr">
        <is>
          <t>USD</t>
        </is>
      </c>
      <c r="C14" t="n">
        <v>6</v>
      </c>
      <c r="D14" s="2" t="n">
        <v>45754</v>
      </c>
      <c r="E14" s="2" t="n">
        <v>45862</v>
      </c>
      <c r="F14">
        <f>E14-D14</f>
        <v/>
      </c>
      <c r="G14">
        <f>IF(F14&gt;730,"LTCG","STCG")</f>
        <v/>
      </c>
      <c r="H14" s="3" t="n">
        <v>2570.76</v>
      </c>
      <c r="I14" s="3" t="n">
        <v>1778.17</v>
      </c>
      <c r="J14" s="3" t="n">
        <v>0.67</v>
      </c>
      <c r="K14" s="3" t="n">
        <v>1</v>
      </c>
      <c r="L14">
        <f>H14*K14</f>
        <v/>
      </c>
      <c r="M14">
        <f>I14*K14</f>
        <v/>
      </c>
      <c r="N14" s="3" t="n">
        <v>85.09999999999999</v>
      </c>
      <c r="O14" s="3" t="n">
        <v>85.09999999999999</v>
      </c>
      <c r="P14" s="3" t="n">
        <v>85.09999999999999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  <c r="U14" t="inlineStr"/>
    </row>
    <row r="15">
      <c r="A15" t="inlineStr">
        <is>
          <t>DXJ</t>
        </is>
      </c>
      <c r="B15" t="inlineStr">
        <is>
          <t>USD</t>
        </is>
      </c>
      <c r="C15" t="n">
        <v>6</v>
      </c>
      <c r="D15" s="2" t="n">
        <v>45544</v>
      </c>
      <c r="E15" s="2" t="n">
        <v>45862</v>
      </c>
      <c r="F15">
        <f>E15-D15</f>
        <v/>
      </c>
      <c r="G15">
        <f>IF(F15&gt;730,"LTCG","STCG")</f>
        <v/>
      </c>
      <c r="H15" s="3" t="n">
        <v>726.12</v>
      </c>
      <c r="I15" s="3" t="n">
        <v>609.9</v>
      </c>
      <c r="J15" s="3" t="n">
        <v>1</v>
      </c>
      <c r="K15" s="3" t="n">
        <v>1</v>
      </c>
      <c r="L15">
        <f>H15*K15</f>
        <v/>
      </c>
      <c r="M15">
        <f>I15*K15</f>
        <v/>
      </c>
      <c r="N15" s="3" t="n">
        <v>85.09999999999999</v>
      </c>
      <c r="O15" s="3" t="n">
        <v>83.5</v>
      </c>
      <c r="P15" s="3" t="n">
        <v>85.09999999999999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  <c r="U15" t="inlineStr"/>
    </row>
    <row r="16">
      <c r="A16" t="inlineStr">
        <is>
          <t>EMXC</t>
        </is>
      </c>
      <c r="B16" t="inlineStr">
        <is>
          <t>USD</t>
        </is>
      </c>
      <c r="C16" t="n">
        <v>9</v>
      </c>
      <c r="D16" s="2" t="n">
        <v>45544</v>
      </c>
      <c r="E16" s="2" t="n">
        <v>45862</v>
      </c>
      <c r="F16">
        <f>E16-D16</f>
        <v/>
      </c>
      <c r="G16">
        <f>IF(F16&gt;730,"LTCG","STCG")</f>
        <v/>
      </c>
      <c r="H16" s="3" t="n">
        <v>576.67</v>
      </c>
      <c r="I16" s="3" t="n">
        <v>532</v>
      </c>
      <c r="J16" s="3" t="n">
        <v>1</v>
      </c>
      <c r="K16" s="3" t="n">
        <v>1</v>
      </c>
      <c r="L16">
        <f>H16*K16</f>
        <v/>
      </c>
      <c r="M16">
        <f>I16*K16</f>
        <v/>
      </c>
      <c r="N16" s="3" t="n">
        <v>85.09999999999999</v>
      </c>
      <c r="O16" s="3" t="n">
        <v>83.5</v>
      </c>
      <c r="P16" s="3" t="n">
        <v>85.09999999999999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  <c r="U16" t="inlineStr"/>
    </row>
    <row r="17">
      <c r="A17" t="inlineStr">
        <is>
          <t>GD</t>
        </is>
      </c>
      <c r="B17" t="inlineStr">
        <is>
          <t>USD</t>
        </is>
      </c>
      <c r="C17" t="n">
        <v>6</v>
      </c>
      <c r="D17" s="2" t="n">
        <v>45685</v>
      </c>
      <c r="E17" s="2" t="n">
        <v>45862</v>
      </c>
      <c r="F17">
        <f>E17-D17</f>
        <v/>
      </c>
      <c r="G17">
        <f>IF(F17&gt;730,"LTCG","STCG")</f>
        <v/>
      </c>
      <c r="H17" s="3" t="n">
        <v>1898.37</v>
      </c>
      <c r="I17" s="3" t="n">
        <v>1590.52</v>
      </c>
      <c r="J17" s="3" t="n">
        <v>1</v>
      </c>
      <c r="K17" s="3" t="n">
        <v>1</v>
      </c>
      <c r="L17">
        <f>H17*K17</f>
        <v/>
      </c>
      <c r="M17">
        <f>I17*K17</f>
        <v/>
      </c>
      <c r="N17" s="3" t="n">
        <v>85.09999999999999</v>
      </c>
      <c r="O17" s="3" t="n">
        <v>85.2</v>
      </c>
      <c r="P17" s="3" t="n">
        <v>85.09999999999999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  <c r="U17" t="inlineStr"/>
    </row>
    <row r="18">
      <c r="A18" t="inlineStr">
        <is>
          <t>GE</t>
        </is>
      </c>
      <c r="B18" t="inlineStr">
        <is>
          <t>USD</t>
        </is>
      </c>
      <c r="C18" t="n">
        <v>3</v>
      </c>
      <c r="D18" s="2" t="n">
        <v>45544</v>
      </c>
      <c r="E18" s="2" t="n">
        <v>45862</v>
      </c>
      <c r="F18">
        <f>E18-D18</f>
        <v/>
      </c>
      <c r="G18">
        <f>IF(F18&gt;730,"LTCG","STCG")</f>
        <v/>
      </c>
      <c r="H18" s="3" t="n">
        <v>807.28</v>
      </c>
      <c r="I18" s="3" t="n">
        <v>493</v>
      </c>
      <c r="J18" s="3" t="n">
        <v>1</v>
      </c>
      <c r="K18" s="3" t="n">
        <v>1</v>
      </c>
      <c r="L18">
        <f>H18*K18</f>
        <v/>
      </c>
      <c r="M18">
        <f>I18*K18</f>
        <v/>
      </c>
      <c r="N18" s="3" t="n">
        <v>85.09999999999999</v>
      </c>
      <c r="O18" s="3" t="n">
        <v>83.5</v>
      </c>
      <c r="P18" s="3" t="n">
        <v>85.09999999999999</v>
      </c>
      <c r="Q18">
        <f>L18*N18</f>
        <v/>
      </c>
      <c r="R18">
        <f>J18*P18</f>
        <v/>
      </c>
      <c r="S18">
        <f>M18*O18</f>
        <v/>
      </c>
      <c r="T18">
        <f>Q18-R18-S18</f>
        <v/>
      </c>
      <c r="U18" t="inlineStr"/>
    </row>
    <row r="19">
      <c r="A19" t="inlineStr">
        <is>
          <t>IGPT</t>
        </is>
      </c>
      <c r="B19" t="inlineStr">
        <is>
          <t>USD</t>
        </is>
      </c>
      <c r="C19" t="n">
        <v>33</v>
      </c>
      <c r="D19" s="2" t="n">
        <v>45638</v>
      </c>
      <c r="E19" s="2" t="n">
        <v>45862</v>
      </c>
      <c r="F19">
        <f>E19-D19</f>
        <v/>
      </c>
      <c r="G19">
        <f>IF(F19&gt;730,"LTCG","STCG")</f>
        <v/>
      </c>
      <c r="H19" s="3" t="n">
        <v>1664.68</v>
      </c>
      <c r="I19" s="3" t="n">
        <v>1587.97</v>
      </c>
      <c r="J19" s="3" t="n">
        <v>1.01</v>
      </c>
      <c r="K19" s="3" t="n">
        <v>1</v>
      </c>
      <c r="L19">
        <f>H19*K19</f>
        <v/>
      </c>
      <c r="M19">
        <f>I19*K19</f>
        <v/>
      </c>
      <c r="N19" s="3" t="n">
        <v>85.09999999999999</v>
      </c>
      <c r="O19" s="3" t="n">
        <v>84.15000000000001</v>
      </c>
      <c r="P19" s="3" t="n">
        <v>85.09999999999999</v>
      </c>
      <c r="Q19">
        <f>L19*N19</f>
        <v/>
      </c>
      <c r="R19">
        <f>J19*P19</f>
        <v/>
      </c>
      <c r="S19">
        <f>M19*O19</f>
        <v/>
      </c>
      <c r="T19">
        <f>Q19-R19-S19</f>
        <v/>
      </c>
      <c r="U19" t="inlineStr"/>
    </row>
    <row r="20">
      <c r="A20" t="inlineStr">
        <is>
          <t>LLY</t>
        </is>
      </c>
      <c r="B20" t="inlineStr">
        <is>
          <t>USD</t>
        </is>
      </c>
      <c r="C20" t="n">
        <v>6</v>
      </c>
      <c r="D20" s="2" t="n">
        <v>45600</v>
      </c>
      <c r="E20" s="2" t="n">
        <v>45862</v>
      </c>
      <c r="F20">
        <f>E20-D20</f>
        <v/>
      </c>
      <c r="G20">
        <f>IF(F20&gt;730,"LTCG","STCG")</f>
        <v/>
      </c>
      <c r="H20" s="3" t="n">
        <v>4847.88</v>
      </c>
      <c r="I20" s="3" t="n">
        <v>4837</v>
      </c>
      <c r="J20" s="3" t="n">
        <v>1</v>
      </c>
      <c r="K20" s="3" t="n">
        <v>1</v>
      </c>
      <c r="L20">
        <f>H20*K20</f>
        <v/>
      </c>
      <c r="M20">
        <f>I20*K20</f>
        <v/>
      </c>
      <c r="N20" s="3" t="n">
        <v>85.09999999999999</v>
      </c>
      <c r="O20" s="3" t="n">
        <v>83.68000000000001</v>
      </c>
      <c r="P20" s="3" t="n">
        <v>85.09999999999999</v>
      </c>
      <c r="Q20">
        <f>L20*N20</f>
        <v/>
      </c>
      <c r="R20">
        <f>J20*P20</f>
        <v/>
      </c>
      <c r="S20">
        <f>M20*O20</f>
        <v/>
      </c>
      <c r="T20">
        <f>Q20-R20-S20</f>
        <v/>
      </c>
      <c r="U20" t="inlineStr"/>
    </row>
    <row r="21">
      <c r="A21" t="inlineStr">
        <is>
          <t>MCHI</t>
        </is>
      </c>
      <c r="B21" t="inlineStr">
        <is>
          <t>USD</t>
        </is>
      </c>
      <c r="C21" t="n">
        <v>27</v>
      </c>
      <c r="D21" s="2" t="n">
        <v>45569</v>
      </c>
      <c r="E21" s="2" t="n">
        <v>45862</v>
      </c>
      <c r="F21">
        <f>E21-D21</f>
        <v/>
      </c>
      <c r="G21">
        <f>IF(F21&gt;730,"LTCG","STCG")</f>
        <v/>
      </c>
      <c r="H21" s="3" t="n">
        <v>1599.08</v>
      </c>
      <c r="I21" s="3" t="n">
        <v>1527.18</v>
      </c>
      <c r="J21" s="3" t="n">
        <v>1.01</v>
      </c>
      <c r="K21" s="3" t="n">
        <v>1</v>
      </c>
      <c r="L21">
        <f>H21*K21</f>
        <v/>
      </c>
      <c r="M21">
        <f>I21*K21</f>
        <v/>
      </c>
      <c r="N21" s="3" t="n">
        <v>85.09999999999999</v>
      </c>
      <c r="O21" s="3" t="n">
        <v>83.3</v>
      </c>
      <c r="P21" s="3" t="n">
        <v>85.09999999999999</v>
      </c>
      <c r="Q21">
        <f>L21*N21</f>
        <v/>
      </c>
      <c r="R21">
        <f>J21*P21</f>
        <v/>
      </c>
      <c r="S21">
        <f>M21*O21</f>
        <v/>
      </c>
      <c r="T21">
        <f>Q21-R21-S21</f>
        <v/>
      </c>
      <c r="U21" t="inlineStr"/>
    </row>
    <row r="22">
      <c r="A22" t="inlineStr">
        <is>
          <t>LRCX</t>
        </is>
      </c>
      <c r="B22" t="inlineStr">
        <is>
          <t>USD</t>
        </is>
      </c>
      <c r="C22" t="n">
        <v>10</v>
      </c>
      <c r="D22" s="2" t="n">
        <v>45544</v>
      </c>
      <c r="E22" s="2" t="n">
        <v>45862</v>
      </c>
      <c r="F22">
        <f>E22-D22</f>
        <v/>
      </c>
      <c r="G22">
        <f>IF(F22&gt;730,"LTCG","STCG")</f>
        <v/>
      </c>
      <c r="H22" s="3" t="n">
        <v>979.42</v>
      </c>
      <c r="I22" s="3" t="n">
        <v>737.2</v>
      </c>
      <c r="J22" s="3" t="n">
        <v>1</v>
      </c>
      <c r="K22" s="3" t="n">
        <v>1</v>
      </c>
      <c r="L22">
        <f>H22*K22</f>
        <v/>
      </c>
      <c r="M22">
        <f>I22*K22</f>
        <v/>
      </c>
      <c r="N22" s="3" t="n">
        <v>85.09999999999999</v>
      </c>
      <c r="O22" s="3" t="n">
        <v>83.5</v>
      </c>
      <c r="P22" s="3" t="n">
        <v>85.09999999999999</v>
      </c>
      <c r="Q22">
        <f>L22*N22</f>
        <v/>
      </c>
      <c r="R22">
        <f>J22*P22</f>
        <v/>
      </c>
      <c r="S22">
        <f>M22*O22</f>
        <v/>
      </c>
      <c r="T22">
        <f>Q22-R22-S22</f>
        <v/>
      </c>
      <c r="U22" t="inlineStr">
        <is>
          <t>LRCX 10-for-1 split on 02/03-Oct-2024 reflected in FIFO qty</t>
        </is>
      </c>
    </row>
    <row r="23">
      <c r="A23" t="inlineStr">
        <is>
          <t>MSFT</t>
        </is>
      </c>
      <c r="B23" t="inlineStr">
        <is>
          <t>USD</t>
        </is>
      </c>
      <c r="C23" t="n">
        <v>6</v>
      </c>
      <c r="D23" s="2" t="n">
        <v>45596</v>
      </c>
      <c r="E23" s="2" t="n">
        <v>45862</v>
      </c>
      <c r="F23">
        <f>E23-D23</f>
        <v/>
      </c>
      <c r="G23">
        <f>IF(F23&gt;730,"LTCG","STCG")</f>
        <v/>
      </c>
      <c r="H23" s="3" t="n">
        <v>3076.5</v>
      </c>
      <c r="I23" s="3" t="n">
        <v>2455</v>
      </c>
      <c r="J23" s="3" t="n">
        <v>1</v>
      </c>
      <c r="K23" s="3" t="n">
        <v>1</v>
      </c>
      <c r="L23">
        <f>H23*K23</f>
        <v/>
      </c>
      <c r="M23">
        <f>I23*K23</f>
        <v/>
      </c>
      <c r="N23" s="3" t="n">
        <v>85.09999999999999</v>
      </c>
      <c r="O23" s="3" t="n">
        <v>83.3</v>
      </c>
      <c r="P23" s="3" t="n">
        <v>85.09999999999999</v>
      </c>
      <c r="Q23">
        <f>L23*N23</f>
        <v/>
      </c>
      <c r="R23">
        <f>J23*P23</f>
        <v/>
      </c>
      <c r="S23">
        <f>M23*O23</f>
        <v/>
      </c>
      <c r="T23">
        <f>Q23-R23-S23</f>
        <v/>
      </c>
      <c r="U23" t="inlineStr"/>
    </row>
    <row r="24">
      <c r="A24" t="inlineStr">
        <is>
          <t>NFLX</t>
        </is>
      </c>
      <c r="B24" t="inlineStr">
        <is>
          <t>USD</t>
        </is>
      </c>
      <c r="C24" t="n">
        <v>2.4</v>
      </c>
      <c r="D24" s="2" t="n">
        <v>45638</v>
      </c>
      <c r="E24" s="2" t="n">
        <v>45862</v>
      </c>
      <c r="F24">
        <f>E24-D24</f>
        <v/>
      </c>
      <c r="G24">
        <f>IF(F24&gt;730,"LTCG","STCG")</f>
        <v/>
      </c>
      <c r="H24" s="3" t="n">
        <v>2797.76</v>
      </c>
      <c r="I24" s="3" t="n">
        <v>2226.82</v>
      </c>
      <c r="J24" s="3" t="n">
        <v>1</v>
      </c>
      <c r="K24" s="3" t="n">
        <v>1</v>
      </c>
      <c r="L24">
        <f>H24*K24</f>
        <v/>
      </c>
      <c r="M24">
        <f>I24*K24</f>
        <v/>
      </c>
      <c r="N24" s="3" t="n">
        <v>85.09999999999999</v>
      </c>
      <c r="O24" s="3" t="n">
        <v>84.15000000000001</v>
      </c>
      <c r="P24" s="3" t="n">
        <v>85.09999999999999</v>
      </c>
      <c r="Q24">
        <f>L24*N24</f>
        <v/>
      </c>
      <c r="R24">
        <f>J24*P24</f>
        <v/>
      </c>
      <c r="S24">
        <f>M24*O24</f>
        <v/>
      </c>
      <c r="T24">
        <f>Q24-R24-S24</f>
        <v/>
      </c>
      <c r="U24" t="inlineStr"/>
    </row>
    <row r="25">
      <c r="A25" t="inlineStr">
        <is>
          <t>NVDA</t>
        </is>
      </c>
      <c r="B25" t="inlineStr">
        <is>
          <t>USD</t>
        </is>
      </c>
      <c r="C25" t="n">
        <v>4.2</v>
      </c>
      <c r="D25" s="2" t="n">
        <v>45687</v>
      </c>
      <c r="E25" s="2" t="n">
        <v>45862</v>
      </c>
      <c r="F25">
        <f>E25-D25</f>
        <v/>
      </c>
      <c r="G25">
        <f>IF(F25&gt;730,"LTCG","STCG")</f>
        <v/>
      </c>
      <c r="H25" s="3" t="n">
        <v>728.9299999999999</v>
      </c>
      <c r="I25" s="3" t="n">
        <v>424.23</v>
      </c>
      <c r="J25" s="3" t="n">
        <v>0.26</v>
      </c>
      <c r="K25" s="3" t="n">
        <v>1</v>
      </c>
      <c r="L25">
        <f>H25*K25</f>
        <v/>
      </c>
      <c r="M25">
        <f>I25*K25</f>
        <v/>
      </c>
      <c r="N25" s="3" t="n">
        <v>85.09999999999999</v>
      </c>
      <c r="O25" s="3" t="n">
        <v>85.2</v>
      </c>
      <c r="P25" s="3" t="n">
        <v>85.09999999999999</v>
      </c>
      <c r="Q25">
        <f>L25*N25</f>
        <v/>
      </c>
      <c r="R25">
        <f>J25*P25</f>
        <v/>
      </c>
      <c r="S25">
        <f>M25*O25</f>
        <v/>
      </c>
      <c r="T25">
        <f>Q25-R25-S25</f>
        <v/>
      </c>
      <c r="U25" t="inlineStr"/>
    </row>
    <row r="26">
      <c r="A26" t="inlineStr">
        <is>
          <t>NVDA</t>
        </is>
      </c>
      <c r="B26" t="inlineStr">
        <is>
          <t>USD</t>
        </is>
      </c>
      <c r="C26" t="n">
        <v>12</v>
      </c>
      <c r="D26" s="2" t="n">
        <v>45754</v>
      </c>
      <c r="E26" s="2" t="n">
        <v>45862</v>
      </c>
      <c r="F26">
        <f>E26-D26</f>
        <v/>
      </c>
      <c r="G26">
        <f>IF(F26&gt;730,"LTCG","STCG")</f>
        <v/>
      </c>
      <c r="H26" s="3" t="n">
        <v>2082.66</v>
      </c>
      <c r="I26" s="3" t="n">
        <v>1212.08</v>
      </c>
      <c r="J26" s="3" t="n">
        <v>0.74</v>
      </c>
      <c r="K26" s="3" t="n">
        <v>1</v>
      </c>
      <c r="L26">
        <f>H26*K26</f>
        <v/>
      </c>
      <c r="M26">
        <f>I26*K26</f>
        <v/>
      </c>
      <c r="N26" s="3" t="n">
        <v>85.09999999999999</v>
      </c>
      <c r="O26" s="3" t="n">
        <v>85.09999999999999</v>
      </c>
      <c r="P26" s="3" t="n">
        <v>85.09999999999999</v>
      </c>
      <c r="Q26">
        <f>L26*N26</f>
        <v/>
      </c>
      <c r="R26">
        <f>J26*P26</f>
        <v/>
      </c>
      <c r="S26">
        <f>M26*O26</f>
        <v/>
      </c>
      <c r="T26">
        <f>Q26-R26-S26</f>
        <v/>
      </c>
      <c r="U26" t="inlineStr"/>
    </row>
    <row r="27">
      <c r="A27" t="inlineStr">
        <is>
          <t>RIO</t>
        </is>
      </c>
      <c r="B27" t="inlineStr">
        <is>
          <t>USD</t>
        </is>
      </c>
      <c r="C27" t="n">
        <v>9</v>
      </c>
      <c r="D27" s="2" t="n">
        <v>45544</v>
      </c>
      <c r="E27" s="2" t="n">
        <v>45862</v>
      </c>
      <c r="F27">
        <f>E27-D27</f>
        <v/>
      </c>
      <c r="G27">
        <f>IF(F27&gt;730,"LTCG","STCG")</f>
        <v/>
      </c>
      <c r="H27" s="3" t="n">
        <v>574.78</v>
      </c>
      <c r="I27" s="3" t="n">
        <v>541</v>
      </c>
      <c r="J27" s="3" t="n">
        <v>1</v>
      </c>
      <c r="K27" s="3" t="n">
        <v>1</v>
      </c>
      <c r="L27">
        <f>H27*K27</f>
        <v/>
      </c>
      <c r="M27">
        <f>I27*K27</f>
        <v/>
      </c>
      <c r="N27" s="3" t="n">
        <v>85.09999999999999</v>
      </c>
      <c r="O27" s="3" t="n">
        <v>83.5</v>
      </c>
      <c r="P27" s="3" t="n">
        <v>85.09999999999999</v>
      </c>
      <c r="Q27">
        <f>L27*N27</f>
        <v/>
      </c>
      <c r="R27">
        <f>J27*P27</f>
        <v/>
      </c>
      <c r="S27">
        <f>M27*O27</f>
        <v/>
      </c>
      <c r="T27">
        <f>Q27-R27-S27</f>
        <v/>
      </c>
      <c r="U27" t="inlineStr"/>
    </row>
    <row r="28">
      <c r="A28" t="inlineStr">
        <is>
          <t>RTX</t>
        </is>
      </c>
      <c r="B28" t="inlineStr">
        <is>
          <t>USD</t>
        </is>
      </c>
      <c r="C28" t="n">
        <v>30</v>
      </c>
      <c r="D28" s="2" t="n">
        <v>45754</v>
      </c>
      <c r="E28" s="2" t="n">
        <v>45862</v>
      </c>
      <c r="F28">
        <f>E28-D28</f>
        <v/>
      </c>
      <c r="G28">
        <f>IF(F28&gt;730,"LTCG","STCG")</f>
        <v/>
      </c>
      <c r="H28" s="3" t="n">
        <v>4676.7</v>
      </c>
      <c r="I28" s="3" t="n">
        <v>3467.2</v>
      </c>
      <c r="J28" s="3" t="n">
        <v>1.01</v>
      </c>
      <c r="K28" s="3" t="n">
        <v>1</v>
      </c>
      <c r="L28">
        <f>H28*K28</f>
        <v/>
      </c>
      <c r="M28">
        <f>I28*K28</f>
        <v/>
      </c>
      <c r="N28" s="3" t="n">
        <v>85.09999999999999</v>
      </c>
      <c r="O28" s="3" t="n">
        <v>85.09999999999999</v>
      </c>
      <c r="P28" s="3" t="n">
        <v>85.09999999999999</v>
      </c>
      <c r="Q28">
        <f>L28*N28</f>
        <v/>
      </c>
      <c r="R28">
        <f>J28*P28</f>
        <v/>
      </c>
      <c r="S28">
        <f>M28*O28</f>
        <v/>
      </c>
      <c r="T28">
        <f>Q28-R28-S28</f>
        <v/>
      </c>
      <c r="U28" t="inlineStr"/>
    </row>
    <row r="29">
      <c r="A29" t="inlineStr">
        <is>
          <t>TSM</t>
        </is>
      </c>
      <c r="B29" t="inlineStr">
        <is>
          <t>USD</t>
        </is>
      </c>
      <c r="C29" t="n">
        <v>6</v>
      </c>
      <c r="D29" s="2" t="n">
        <v>45544</v>
      </c>
      <c r="E29" s="2" t="n">
        <v>45862</v>
      </c>
      <c r="F29">
        <f>E29-D29</f>
        <v/>
      </c>
      <c r="G29">
        <f>IF(F29&gt;730,"LTCG","STCG")</f>
        <v/>
      </c>
      <c r="H29" s="3" t="n">
        <v>1446.18</v>
      </c>
      <c r="I29" s="3" t="n">
        <v>968.8</v>
      </c>
      <c r="J29" s="3" t="n">
        <v>1</v>
      </c>
      <c r="K29" s="3" t="n">
        <v>1</v>
      </c>
      <c r="L29">
        <f>H29*K29</f>
        <v/>
      </c>
      <c r="M29">
        <f>I29*K29</f>
        <v/>
      </c>
      <c r="N29" s="3" t="n">
        <v>85.09999999999999</v>
      </c>
      <c r="O29" s="3" t="n">
        <v>83.5</v>
      </c>
      <c r="P29" s="3" t="n">
        <v>85.09999999999999</v>
      </c>
      <c r="Q29">
        <f>L29*N29</f>
        <v/>
      </c>
      <c r="R29">
        <f>J29*P29</f>
        <v/>
      </c>
      <c r="S29">
        <f>M29*O29</f>
        <v/>
      </c>
      <c r="T29">
        <f>Q29-R29-S29</f>
        <v/>
      </c>
      <c r="U29" t="inlineStr"/>
    </row>
    <row r="30">
      <c r="A30" t="inlineStr">
        <is>
          <t>VKTX</t>
        </is>
      </c>
      <c r="B30" t="inlineStr">
        <is>
          <t>USD</t>
        </is>
      </c>
      <c r="C30" t="n">
        <v>33</v>
      </c>
      <c r="D30" s="2" t="n">
        <v>45685</v>
      </c>
      <c r="E30" s="2" t="n">
        <v>45862</v>
      </c>
      <c r="F30">
        <f>E30-D30</f>
        <v/>
      </c>
      <c r="G30">
        <f>IF(F30&gt;730,"LTCG","STCG")</f>
        <v/>
      </c>
      <c r="H30" s="3" t="n">
        <v>1122.49</v>
      </c>
      <c r="I30" s="3" t="n">
        <v>1114.42</v>
      </c>
      <c r="J30" s="3" t="n">
        <v>1.01</v>
      </c>
      <c r="K30" s="3" t="n">
        <v>1</v>
      </c>
      <c r="L30">
        <f>H30*K30</f>
        <v/>
      </c>
      <c r="M30">
        <f>I30*K30</f>
        <v/>
      </c>
      <c r="N30" s="3" t="n">
        <v>85.09999999999999</v>
      </c>
      <c r="O30" s="3" t="n">
        <v>85.2</v>
      </c>
      <c r="P30" s="3" t="n">
        <v>85.09999999999999</v>
      </c>
      <c r="Q30">
        <f>L30*N30</f>
        <v/>
      </c>
      <c r="R30">
        <f>J30*P30</f>
        <v/>
      </c>
      <c r="S30">
        <f>M30*O30</f>
        <v/>
      </c>
      <c r="T30">
        <f>Q30-R30-S30</f>
        <v/>
      </c>
      <c r="U30" t="inlineStr"/>
    </row>
    <row r="31">
      <c r="A31" t="inlineStr">
        <is>
          <t>AIRd</t>
        </is>
      </c>
      <c r="B31" t="inlineStr">
        <is>
          <t>EUR</t>
        </is>
      </c>
      <c r="C31" t="n">
        <v>10</v>
      </c>
      <c r="D31" s="2" t="n">
        <v>45754</v>
      </c>
      <c r="E31" s="2" t="n">
        <v>45863</v>
      </c>
      <c r="F31">
        <f>E31-D31</f>
        <v/>
      </c>
      <c r="G31">
        <f>IF(F31&gt;730,"LTCG","STCG")</f>
        <v/>
      </c>
      <c r="H31" s="3" t="n">
        <v>1804.8</v>
      </c>
      <c r="I31" s="3" t="n">
        <v>1375.6</v>
      </c>
      <c r="J31" s="3" t="n">
        <v>3</v>
      </c>
      <c r="K31" s="3" t="n">
        <v>1</v>
      </c>
      <c r="L31">
        <f>H31*K31</f>
        <v/>
      </c>
      <c r="M31">
        <f>I31*K31</f>
        <v/>
      </c>
      <c r="N31" s="3" t="n">
        <v>98.92</v>
      </c>
      <c r="O31" s="3" t="n">
        <v>91.86</v>
      </c>
      <c r="P31" s="3" t="n">
        <v>85.09999999999999</v>
      </c>
      <c r="Q31">
        <f>L31*N31</f>
        <v/>
      </c>
      <c r="R31">
        <f>J31*P31</f>
        <v/>
      </c>
      <c r="S31">
        <f>M31*O31</f>
        <v/>
      </c>
      <c r="T31">
        <f>Q31-R31-S31</f>
        <v/>
      </c>
      <c r="U31" t="inlineStr">
        <is>
          <t>EUR: FCY→USD=1; Sale/Cost FX = EUR/INR (Rule 115); Comm uses USD/INR</t>
        </is>
      </c>
    </row>
    <row r="32">
      <c r="A32" t="inlineStr">
        <is>
          <t>R6C0d</t>
        </is>
      </c>
      <c r="B32" t="inlineStr">
        <is>
          <t>EUR</t>
        </is>
      </c>
      <c r="C32" t="n">
        <v>42</v>
      </c>
      <c r="D32" s="2" t="n">
        <v>45545</v>
      </c>
      <c r="E32" s="2" t="n">
        <v>45863</v>
      </c>
      <c r="F32">
        <f>E32-D32</f>
        <v/>
      </c>
      <c r="G32">
        <f>IF(F32&gt;730,"LTCG","STCG")</f>
        <v/>
      </c>
      <c r="H32" s="3" t="n">
        <v>1287.47</v>
      </c>
      <c r="I32" s="3" t="n">
        <v>1279.38</v>
      </c>
      <c r="J32" s="3" t="n">
        <v>3</v>
      </c>
      <c r="K32" s="3" t="n">
        <v>1</v>
      </c>
      <c r="L32">
        <f>H32*K32</f>
        <v/>
      </c>
      <c r="M32">
        <f>I32*K32</f>
        <v/>
      </c>
      <c r="N32" s="3" t="n">
        <v>98.92</v>
      </c>
      <c r="O32" s="3" t="n">
        <v>91.72</v>
      </c>
      <c r="P32" s="3" t="n">
        <v>85.09999999999999</v>
      </c>
      <c r="Q32">
        <f>L32*N32</f>
        <v/>
      </c>
      <c r="R32">
        <f>J32*P32</f>
        <v/>
      </c>
      <c r="S32">
        <f>M32*O32</f>
        <v/>
      </c>
      <c r="T32">
        <f>Q32-R32-S32</f>
        <v/>
      </c>
      <c r="U32" t="inlineStr">
        <is>
          <t>EUR: FCY→USD=1; Sale/Cost FX = EUR/INR (Rule 115); Comm uses USD/INR</t>
        </is>
      </c>
    </row>
    <row r="33">
      <c r="A33" t="inlineStr">
        <is>
          <t>SIEd</t>
        </is>
      </c>
      <c r="B33" t="inlineStr">
        <is>
          <t>EUR</t>
        </is>
      </c>
      <c r="C33" t="n">
        <v>20</v>
      </c>
      <c r="D33" s="2" t="n">
        <v>45754</v>
      </c>
      <c r="E33" s="2" t="n">
        <v>45863</v>
      </c>
      <c r="F33">
        <f>E33-D33</f>
        <v/>
      </c>
      <c r="G33">
        <f>IF(F33&gt;730,"LTCG","STCG")</f>
        <v/>
      </c>
      <c r="H33" s="3" t="n">
        <v>4522</v>
      </c>
      <c r="I33" s="3" t="n">
        <v>3561.8</v>
      </c>
      <c r="J33" s="3" t="n">
        <v>3</v>
      </c>
      <c r="K33" s="3" t="n">
        <v>1</v>
      </c>
      <c r="L33">
        <f>H33*K33</f>
        <v/>
      </c>
      <c r="M33">
        <f>I33*K33</f>
        <v/>
      </c>
      <c r="N33" s="3" t="n">
        <v>98.92</v>
      </c>
      <c r="O33" s="3" t="n">
        <v>91.86</v>
      </c>
      <c r="P33" s="3" t="n">
        <v>85.09999999999999</v>
      </c>
      <c r="Q33">
        <f>L33*N33</f>
        <v/>
      </c>
      <c r="R33">
        <f>J33*P33</f>
        <v/>
      </c>
      <c r="S33">
        <f>M33*O33</f>
        <v/>
      </c>
      <c r="T33">
        <f>Q33-R33-S33</f>
        <v/>
      </c>
      <c r="U33" t="inlineStr">
        <is>
          <t>EUR: FCY→USD=1; Sale/Cost FX = EUR/INR (Rule 115); Comm uses USD/INR</t>
        </is>
      </c>
    </row>
    <row r="34">
      <c r="A34" t="inlineStr">
        <is>
          <t>HYU</t>
        </is>
      </c>
      <c r="B34" t="inlineStr">
        <is>
          <t>USD</t>
        </is>
      </c>
      <c r="C34" t="n">
        <v>24</v>
      </c>
      <c r="D34" s="2" t="n">
        <v>45587</v>
      </c>
      <c r="E34" s="2" t="n">
        <v>45868</v>
      </c>
      <c r="F34">
        <f>E34-D34</f>
        <v/>
      </c>
      <c r="G34">
        <f>IF(F34&gt;730,"LTCG","STCG")</f>
        <v/>
      </c>
      <c r="H34" s="3" t="n">
        <v>1339.02</v>
      </c>
      <c r="I34" s="3" t="n">
        <v>1339.02</v>
      </c>
      <c r="J34" s="3" t="n">
        <v>0</v>
      </c>
      <c r="K34" s="3" t="n">
        <v>1</v>
      </c>
      <c r="L34">
        <f>H34*K34</f>
        <v/>
      </c>
      <c r="M34">
        <f>I34*K34</f>
        <v/>
      </c>
      <c r="N34" s="3" t="n">
        <v>85.09999999999999</v>
      </c>
      <c r="O34" s="3" t="n">
        <v>83.3</v>
      </c>
      <c r="P34" s="3" t="n">
        <v>85.09999999999999</v>
      </c>
      <c r="Q34">
        <f>L34*N34</f>
        <v/>
      </c>
      <c r="R34">
        <f>J34*P34</f>
        <v/>
      </c>
      <c r="S34">
        <f>M34*O34</f>
        <v/>
      </c>
      <c r="T34">
        <f>Q34-R34-S34</f>
        <v/>
      </c>
      <c r="U34" t="inlineStr">
        <is>
          <t>Cash merger / redemption — cost from IBKR realized P/L</t>
        </is>
      </c>
    </row>
    <row r="35">
      <c r="A35" t="inlineStr">
        <is>
          <t>CRCL</t>
        </is>
      </c>
      <c r="B35" t="inlineStr">
        <is>
          <t>USD</t>
        </is>
      </c>
      <c r="C35" t="n">
        <v>1</v>
      </c>
      <c r="D35" s="2" t="n">
        <v>45874</v>
      </c>
      <c r="E35" s="2" t="n">
        <v>45904</v>
      </c>
      <c r="F35">
        <f>E35-D35</f>
        <v/>
      </c>
      <c r="G35">
        <f>IF(F35&gt;730,"LTCG","STCG")</f>
        <v/>
      </c>
      <c r="H35" s="3" t="n">
        <v>119.3</v>
      </c>
      <c r="I35" s="3" t="n">
        <v>161.7</v>
      </c>
      <c r="J35" s="3" t="n">
        <v>0.02</v>
      </c>
      <c r="K35" s="3" t="n">
        <v>1</v>
      </c>
      <c r="L35">
        <f>H35*K35</f>
        <v/>
      </c>
      <c r="M35">
        <f>I35*K35</f>
        <v/>
      </c>
      <c r="N35" s="3" t="n">
        <v>87.7</v>
      </c>
      <c r="O35" s="3" t="n">
        <v>87.15000000000001</v>
      </c>
      <c r="P35" s="3" t="n">
        <v>87.7</v>
      </c>
      <c r="Q35">
        <f>L35*N35</f>
        <v/>
      </c>
      <c r="R35">
        <f>J35*P35</f>
        <v/>
      </c>
      <c r="S35">
        <f>M35*O35</f>
        <v/>
      </c>
      <c r="T35">
        <f>Q35-R35-S35</f>
        <v/>
      </c>
      <c r="U35" t="inlineStr"/>
    </row>
    <row r="36">
      <c r="A36" t="inlineStr">
        <is>
          <t>CRCL</t>
        </is>
      </c>
      <c r="B36" t="inlineStr">
        <is>
          <t>USD</t>
        </is>
      </c>
      <c r="C36" t="n">
        <v>30.0554</v>
      </c>
      <c r="D36" s="2" t="n">
        <v>45874</v>
      </c>
      <c r="E36" s="2" t="n">
        <v>45904</v>
      </c>
      <c r="F36">
        <f>E36-D36</f>
        <v/>
      </c>
      <c r="G36">
        <f>IF(F36&gt;730,"LTCG","STCG")</f>
        <v/>
      </c>
      <c r="H36" s="3" t="n">
        <v>3585.61</v>
      </c>
      <c r="I36" s="3" t="n">
        <v>4860.1</v>
      </c>
      <c r="J36" s="3" t="n">
        <v>0.61</v>
      </c>
      <c r="K36" s="3" t="n">
        <v>1</v>
      </c>
      <c r="L36">
        <f>H36*K36</f>
        <v/>
      </c>
      <c r="M36">
        <f>I36*K36</f>
        <v/>
      </c>
      <c r="N36" s="3" t="n">
        <v>87.7</v>
      </c>
      <c r="O36" s="3" t="n">
        <v>87.15000000000001</v>
      </c>
      <c r="P36" s="3" t="n">
        <v>87.7</v>
      </c>
      <c r="Q36">
        <f>L36*N36</f>
        <v/>
      </c>
      <c r="R36">
        <f>J36*P36</f>
        <v/>
      </c>
      <c r="S36">
        <f>M36*O36</f>
        <v/>
      </c>
      <c r="T36">
        <f>Q36-R36-S36</f>
        <v/>
      </c>
      <c r="U36" t="inlineStr"/>
    </row>
    <row r="37">
      <c r="A37" t="inlineStr">
        <is>
          <t>CRCL</t>
        </is>
      </c>
      <c r="B37" t="inlineStr">
        <is>
          <t>USD</t>
        </is>
      </c>
      <c r="C37" t="n">
        <v>19</v>
      </c>
      <c r="D37" s="2" t="n">
        <v>45874</v>
      </c>
      <c r="E37" s="2" t="n">
        <v>45904</v>
      </c>
      <c r="F37">
        <f>E37-D37</f>
        <v/>
      </c>
      <c r="G37">
        <f>IF(F37&gt;730,"LTCG","STCG")</f>
        <v/>
      </c>
      <c r="H37" s="3" t="n">
        <v>2266.7</v>
      </c>
      <c r="I37" s="3" t="n">
        <v>3072.39</v>
      </c>
      <c r="J37" s="3" t="n">
        <v>0.38</v>
      </c>
      <c r="K37" s="3" t="n">
        <v>1</v>
      </c>
      <c r="L37">
        <f>H37*K37</f>
        <v/>
      </c>
      <c r="M37">
        <f>I37*K37</f>
        <v/>
      </c>
      <c r="N37" s="3" t="n">
        <v>87.7</v>
      </c>
      <c r="O37" s="3" t="n">
        <v>87.15000000000001</v>
      </c>
      <c r="P37" s="3" t="n">
        <v>87.7</v>
      </c>
      <c r="Q37">
        <f>L37*N37</f>
        <v/>
      </c>
      <c r="R37">
        <f>J37*P37</f>
        <v/>
      </c>
      <c r="S37">
        <f>M37*O37</f>
        <v/>
      </c>
      <c r="T37">
        <f>Q37-R37-S37</f>
        <v/>
      </c>
      <c r="U37" t="inlineStr"/>
    </row>
    <row r="38">
      <c r="A38" t="inlineStr">
        <is>
          <t>NOVd</t>
        </is>
      </c>
      <c r="B38" t="inlineStr">
        <is>
          <t>EUR</t>
        </is>
      </c>
      <c r="C38" t="n">
        <v>30</v>
      </c>
      <c r="D38" s="2" t="n">
        <v>45737</v>
      </c>
      <c r="E38" s="2" t="n">
        <v>45985</v>
      </c>
      <c r="F38">
        <f>E38-D38</f>
        <v/>
      </c>
      <c r="G38">
        <f>IF(F38&gt;730,"LTCG","STCG")</f>
        <v/>
      </c>
      <c r="H38" s="3" t="n">
        <v>1114.05</v>
      </c>
      <c r="I38" s="3" t="n">
        <v>1670.21</v>
      </c>
      <c r="J38" s="3" t="n">
        <v>0.5600000000000001</v>
      </c>
      <c r="K38" s="3" t="n">
        <v>1</v>
      </c>
      <c r="L38">
        <f>H38*K38</f>
        <v/>
      </c>
      <c r="M38">
        <f>I38*K38</f>
        <v/>
      </c>
      <c r="N38" s="3" t="n">
        <v>101.23</v>
      </c>
      <c r="O38" s="3" t="n">
        <v>89.55</v>
      </c>
      <c r="P38" s="3" t="n">
        <v>88.2</v>
      </c>
      <c r="Q38">
        <f>L38*N38</f>
        <v/>
      </c>
      <c r="R38">
        <f>J38*P38</f>
        <v/>
      </c>
      <c r="S38">
        <f>M38*O38</f>
        <v/>
      </c>
      <c r="T38">
        <f>Q38-R38-S38</f>
        <v/>
      </c>
      <c r="U38" t="inlineStr">
        <is>
          <t>EUR: FCY→USD=1; Sale/Cost FX = EUR/INR (Rule 115); Comm uses USD/INR</t>
        </is>
      </c>
    </row>
    <row r="39">
      <c r="A39" t="inlineStr">
        <is>
          <t>NOVd</t>
        </is>
      </c>
      <c r="B39" t="inlineStr">
        <is>
          <t>EUR</t>
        </is>
      </c>
      <c r="C39" t="n">
        <v>55</v>
      </c>
      <c r="D39" s="2" t="n">
        <v>45890</v>
      </c>
      <c r="E39" s="2" t="n">
        <v>45985</v>
      </c>
      <c r="F39">
        <f>E39-D39</f>
        <v/>
      </c>
      <c r="G39">
        <f>IF(F39&gt;730,"LTCG","STCG")</f>
        <v/>
      </c>
      <c r="H39" s="3" t="n">
        <v>2042.42</v>
      </c>
      <c r="I39" s="3" t="n">
        <v>3062.04</v>
      </c>
      <c r="J39" s="3" t="n">
        <v>1.02</v>
      </c>
      <c r="K39" s="3" t="n">
        <v>1</v>
      </c>
      <c r="L39">
        <f>H39*K39</f>
        <v/>
      </c>
      <c r="M39">
        <f>I39*K39</f>
        <v/>
      </c>
      <c r="N39" s="3" t="n">
        <v>101.23</v>
      </c>
      <c r="O39" s="3" t="n">
        <v>99.02</v>
      </c>
      <c r="P39" s="3" t="n">
        <v>88.2</v>
      </c>
      <c r="Q39">
        <f>L39*N39</f>
        <v/>
      </c>
      <c r="R39">
        <f>J39*P39</f>
        <v/>
      </c>
      <c r="S39">
        <f>M39*O39</f>
        <v/>
      </c>
      <c r="T39">
        <f>Q39-R39-S39</f>
        <v/>
      </c>
      <c r="U39" t="inlineStr">
        <is>
          <t>EUR: FCY→USD=1; Sale/Cost FX = EUR/INR (Rule 115); Comm uses USD/INR</t>
        </is>
      </c>
    </row>
    <row r="40">
      <c r="A40" t="inlineStr">
        <is>
          <t>ORCL</t>
        </is>
      </c>
      <c r="B40" t="inlineStr">
        <is>
          <t>USD</t>
        </is>
      </c>
      <c r="C40" t="n">
        <v>5</v>
      </c>
      <c r="D40" s="2" t="n">
        <v>45922</v>
      </c>
      <c r="E40" s="2" t="n">
        <v>45985</v>
      </c>
      <c r="F40">
        <f>E40-D40</f>
        <v/>
      </c>
      <c r="G40">
        <f>IF(F40&gt;730,"LTCG","STCG")</f>
        <v/>
      </c>
      <c r="H40" s="3" t="n">
        <v>980</v>
      </c>
      <c r="I40" s="3" t="n">
        <v>1555.5</v>
      </c>
      <c r="J40" s="3" t="n">
        <v>1</v>
      </c>
      <c r="K40" s="3" t="n">
        <v>1</v>
      </c>
      <c r="L40">
        <f>H40*K40</f>
        <v/>
      </c>
      <c r="M40">
        <f>I40*K40</f>
        <v/>
      </c>
      <c r="N40" s="3" t="n">
        <v>88.2</v>
      </c>
      <c r="O40" s="3" t="n">
        <v>87.7</v>
      </c>
      <c r="P40" s="3" t="n">
        <v>88.2</v>
      </c>
      <c r="Q40">
        <f>L40*N40</f>
        <v/>
      </c>
      <c r="R40">
        <f>J40*P40</f>
        <v/>
      </c>
      <c r="S40">
        <f>M40*O40</f>
        <v/>
      </c>
      <c r="T40">
        <f>Q40-R40-S40</f>
        <v/>
      </c>
      <c r="U40" t="inlineStr"/>
    </row>
    <row r="41">
      <c r="A41" t="inlineStr">
        <is>
          <t>1810</t>
        </is>
      </c>
      <c r="B41" t="inlineStr">
        <is>
          <t>HKD</t>
        </is>
      </c>
      <c r="C41" t="n">
        <v>200</v>
      </c>
      <c r="D41" s="2" t="n">
        <v>45889</v>
      </c>
      <c r="E41" s="2" t="n">
        <v>46012</v>
      </c>
      <c r="F41">
        <f>E41-D41</f>
        <v/>
      </c>
      <c r="G41">
        <f>IF(F41&gt;730,"LTCG","STCG")</f>
        <v/>
      </c>
      <c r="H41" s="3" t="n">
        <v>8040</v>
      </c>
      <c r="I41" s="3" t="n">
        <v>10299.29</v>
      </c>
      <c r="J41" s="3" t="n">
        <v>14.78</v>
      </c>
      <c r="K41" s="3" t="n">
        <v>0.12849</v>
      </c>
      <c r="L41">
        <f>H41*K41</f>
        <v/>
      </c>
      <c r="M41">
        <f>I41*K41</f>
        <v/>
      </c>
      <c r="N41" s="3" t="n">
        <v>88.95</v>
      </c>
      <c r="O41" s="3" t="n">
        <v>87.15000000000001</v>
      </c>
      <c r="P41" s="3" t="n">
        <v>88.95</v>
      </c>
      <c r="Q41">
        <f>L41*N41</f>
        <v/>
      </c>
      <c r="R41">
        <f>J41*P41</f>
        <v/>
      </c>
      <c r="S41">
        <f>M41*O41</f>
        <v/>
      </c>
      <c r="T41">
        <f>Q41-R41-S41</f>
        <v/>
      </c>
      <c r="U41" t="inlineStr">
        <is>
          <t>HKD: FCY→USD editable; Sale/Cost FX = USD/INR (Rule 115)</t>
        </is>
      </c>
    </row>
    <row r="42">
      <c r="A42" t="inlineStr">
        <is>
          <t>WCBR</t>
        </is>
      </c>
      <c r="B42" t="inlineStr">
        <is>
          <t>EUR</t>
        </is>
      </c>
      <c r="C42" t="n">
        <v>30</v>
      </c>
      <c r="D42" s="2" t="n">
        <v>45890</v>
      </c>
      <c r="E42" s="2" t="n">
        <v>46077</v>
      </c>
      <c r="F42">
        <f>E42-D42</f>
        <v/>
      </c>
      <c r="G42">
        <f>IF(F42&gt;730,"LTCG","STCG")</f>
        <v/>
      </c>
      <c r="H42" s="3" t="n">
        <v>580.8</v>
      </c>
      <c r="I42" s="3" t="n">
        <v>752.8200000000001</v>
      </c>
      <c r="J42" s="3" t="n">
        <v>3</v>
      </c>
      <c r="K42" s="3" t="n">
        <v>1</v>
      </c>
      <c r="L42">
        <f>H42*K42</f>
        <v/>
      </c>
      <c r="M42">
        <f>I42*K42</f>
        <v/>
      </c>
      <c r="N42" s="3" t="n">
        <v>105</v>
      </c>
      <c r="O42" s="3" t="n">
        <v>99.02</v>
      </c>
      <c r="P42" s="3" t="n">
        <v>91.34999999999999</v>
      </c>
      <c r="Q42">
        <f>L42*N42</f>
        <v/>
      </c>
      <c r="R42">
        <f>J42*P42</f>
        <v/>
      </c>
      <c r="S42">
        <f>M42*O42</f>
        <v/>
      </c>
      <c r="T42">
        <f>Q42-R42-S42</f>
        <v/>
      </c>
      <c r="U42" t="inlineStr">
        <is>
          <t>EUR: FCY→USD=1; Sale/Cost FX = EUR/INR (Rule 115); Comm uses USD/INR</t>
        </is>
      </c>
    </row>
    <row r="43">
      <c r="A43" t="inlineStr">
        <is>
          <t>TGT</t>
        </is>
      </c>
      <c r="B43" t="inlineStr">
        <is>
          <t>USD</t>
        </is>
      </c>
      <c r="C43" t="n">
        <v>6</v>
      </c>
      <c r="D43" s="2" t="n">
        <v>45544</v>
      </c>
      <c r="E43" s="2" t="n">
        <v>46077</v>
      </c>
      <c r="F43">
        <f>E43-D43</f>
        <v/>
      </c>
      <c r="G43">
        <f>IF(F43&gt;730,"LTCG","STCG")</f>
        <v/>
      </c>
      <c r="H43" s="3" t="n">
        <v>680.4</v>
      </c>
      <c r="I43" s="3" t="n">
        <v>645.9</v>
      </c>
      <c r="J43" s="3" t="n">
        <v>0.23</v>
      </c>
      <c r="K43" s="3" t="n">
        <v>1</v>
      </c>
      <c r="L43">
        <f>H43*K43</f>
        <v/>
      </c>
      <c r="M43">
        <f>I43*K43</f>
        <v/>
      </c>
      <c r="N43" s="3" t="n">
        <v>91.34999999999999</v>
      </c>
      <c r="O43" s="3" t="n">
        <v>83.5</v>
      </c>
      <c r="P43" s="3" t="n">
        <v>91.34999999999999</v>
      </c>
      <c r="Q43">
        <f>L43*N43</f>
        <v/>
      </c>
      <c r="R43">
        <f>J43*P43</f>
        <v/>
      </c>
      <c r="S43">
        <f>M43*O43</f>
        <v/>
      </c>
      <c r="T43">
        <f>Q43-R43-S43</f>
        <v/>
      </c>
      <c r="U43" t="inlineStr"/>
    </row>
    <row r="44">
      <c r="A44" t="inlineStr">
        <is>
          <t>TGT</t>
        </is>
      </c>
      <c r="B44" t="inlineStr">
        <is>
          <t>USD</t>
        </is>
      </c>
      <c r="C44" t="n">
        <v>20</v>
      </c>
      <c r="D44" s="2" t="n">
        <v>45754</v>
      </c>
      <c r="E44" s="2" t="n">
        <v>46077</v>
      </c>
      <c r="F44">
        <f>E44-D44</f>
        <v/>
      </c>
      <c r="G44">
        <f>IF(F44&gt;730,"LTCG","STCG")</f>
        <v/>
      </c>
      <c r="H44" s="3" t="n">
        <v>2268</v>
      </c>
      <c r="I44" s="3" t="n">
        <v>2153</v>
      </c>
      <c r="J44" s="3" t="n">
        <v>0.77</v>
      </c>
      <c r="K44" s="3" t="n">
        <v>1</v>
      </c>
      <c r="L44">
        <f>H44*K44</f>
        <v/>
      </c>
      <c r="M44">
        <f>I44*K44</f>
        <v/>
      </c>
      <c r="N44" s="3" t="n">
        <v>91.34999999999999</v>
      </c>
      <c r="O44" s="3" t="n">
        <v>85.09999999999999</v>
      </c>
      <c r="P44" s="3" t="n">
        <v>91.34999999999999</v>
      </c>
      <c r="Q44">
        <f>L44*N44</f>
        <v/>
      </c>
      <c r="R44">
        <f>J44*P44</f>
        <v/>
      </c>
      <c r="S44">
        <f>M44*O44</f>
        <v/>
      </c>
      <c r="T44">
        <f>Q44-R44-S44</f>
        <v/>
      </c>
      <c r="U44" t="inlineStr"/>
    </row>
    <row r="45">
      <c r="A45" t="inlineStr">
        <is>
          <t>INTC</t>
        </is>
      </c>
      <c r="B45" t="inlineStr">
        <is>
          <t>USD</t>
        </is>
      </c>
      <c r="C45" t="n">
        <v>30</v>
      </c>
      <c r="D45" s="2" t="n">
        <v>45890</v>
      </c>
      <c r="E45" s="2" t="n">
        <v>46077</v>
      </c>
      <c r="F45">
        <f>E45-D45</f>
        <v/>
      </c>
      <c r="G45">
        <f>IF(F45&gt;730,"LTCG","STCG")</f>
        <v/>
      </c>
      <c r="H45" s="3" t="n">
        <v>1350</v>
      </c>
      <c r="I45" s="3" t="n">
        <v>693.87</v>
      </c>
      <c r="J45" s="3" t="n">
        <v>1.01</v>
      </c>
      <c r="K45" s="3" t="n">
        <v>1</v>
      </c>
      <c r="L45">
        <f>H45*K45</f>
        <v/>
      </c>
      <c r="M45">
        <f>I45*K45</f>
        <v/>
      </c>
      <c r="N45" s="3" t="n">
        <v>91.34999999999999</v>
      </c>
      <c r="O45" s="3" t="n">
        <v>87.15000000000001</v>
      </c>
      <c r="P45" s="3" t="n">
        <v>91.34999999999999</v>
      </c>
      <c r="Q45">
        <f>L45*N45</f>
        <v/>
      </c>
      <c r="R45">
        <f>J45*P45</f>
        <v/>
      </c>
      <c r="S45">
        <f>M45*O45</f>
        <v/>
      </c>
      <c r="T45">
        <f>Q45-R45-S45</f>
        <v/>
      </c>
      <c r="U45" t="inlineStr"/>
    </row>
    <row r="46">
      <c r="A46" t="inlineStr">
        <is>
          <t>TSLA</t>
        </is>
      </c>
      <c r="B46" t="inlineStr">
        <is>
          <t>USD</t>
        </is>
      </c>
      <c r="C46" t="n">
        <v>5</v>
      </c>
      <c r="D46" s="2" t="n">
        <v>46029</v>
      </c>
      <c r="E46" s="2" t="n">
        <v>46087</v>
      </c>
      <c r="F46">
        <f>E46-D46</f>
        <v/>
      </c>
      <c r="G46">
        <f>IF(F46&gt;730,"LTCG","STCG")</f>
        <v/>
      </c>
      <c r="H46" s="3" t="n">
        <v>1997.5</v>
      </c>
      <c r="I46" s="3" t="n">
        <v>2185.47</v>
      </c>
      <c r="J46" s="3" t="n">
        <v>1</v>
      </c>
      <c r="K46" s="3" t="n">
        <v>1</v>
      </c>
      <c r="L46">
        <f>H46*K46</f>
        <v/>
      </c>
      <c r="M46">
        <f>I46*K46</f>
        <v/>
      </c>
      <c r="N46" s="3" t="n">
        <v>90.56</v>
      </c>
      <c r="O46" s="3" t="n">
        <v>89.47</v>
      </c>
      <c r="P46" s="3" t="n">
        <v>90.56</v>
      </c>
      <c r="Q46">
        <f>L46*N46</f>
        <v/>
      </c>
      <c r="R46">
        <f>J46*P46</f>
        <v/>
      </c>
      <c r="S46">
        <f>M46*O46</f>
        <v/>
      </c>
      <c r="T46">
        <f>Q46-R46-S46</f>
        <v/>
      </c>
      <c r="U46" t="inlineStr"/>
    </row>
    <row r="47">
      <c r="A47" t="inlineStr">
        <is>
          <t>CPNG</t>
        </is>
      </c>
      <c r="B47" t="inlineStr">
        <is>
          <t>USD</t>
        </is>
      </c>
      <c r="C47" t="n">
        <v>50</v>
      </c>
      <c r="D47" s="2" t="n">
        <v>45890</v>
      </c>
      <c r="E47" s="2" t="n">
        <v>46087</v>
      </c>
      <c r="F47">
        <f>E47-D47</f>
        <v/>
      </c>
      <c r="G47">
        <f>IF(F47&gt;730,"LTCG","STCG")</f>
        <v/>
      </c>
      <c r="H47" s="3" t="n">
        <v>953.5</v>
      </c>
      <c r="I47" s="3" t="n">
        <v>1409.25</v>
      </c>
      <c r="J47" s="3" t="n">
        <v>1.01</v>
      </c>
      <c r="K47" s="3" t="n">
        <v>1</v>
      </c>
      <c r="L47">
        <f>H47*K47</f>
        <v/>
      </c>
      <c r="M47">
        <f>I47*K47</f>
        <v/>
      </c>
      <c r="N47" s="3" t="n">
        <v>90.56</v>
      </c>
      <c r="O47" s="3" t="n">
        <v>87.15000000000001</v>
      </c>
      <c r="P47" s="3" t="n">
        <v>90.56</v>
      </c>
      <c r="Q47">
        <f>L47*N47</f>
        <v/>
      </c>
      <c r="R47">
        <f>J47*P47</f>
        <v/>
      </c>
      <c r="S47">
        <f>M47*O47</f>
        <v/>
      </c>
      <c r="T47">
        <f>Q47-R47-S47</f>
        <v/>
      </c>
      <c r="U47" t="inlineStr"/>
    </row>
    <row r="48">
      <c r="A48" t="inlineStr">
        <is>
          <t>DUOL</t>
        </is>
      </c>
      <c r="B48" t="inlineStr">
        <is>
          <t>USD</t>
        </is>
      </c>
      <c r="C48" t="n">
        <v>3</v>
      </c>
      <c r="D48" s="2" t="n">
        <v>45936</v>
      </c>
      <c r="E48" s="2" t="n">
        <v>46087</v>
      </c>
      <c r="F48">
        <f>E48-D48</f>
        <v/>
      </c>
      <c r="G48">
        <f>IF(F48&gt;730,"LTCG","STCG")</f>
        <v/>
      </c>
      <c r="H48" s="3" t="n">
        <v>302.7</v>
      </c>
      <c r="I48" s="3" t="n">
        <v>688.6799999999999</v>
      </c>
      <c r="J48" s="3" t="n">
        <v>0.33</v>
      </c>
      <c r="K48" s="3" t="n">
        <v>1</v>
      </c>
      <c r="L48">
        <f>H48*K48</f>
        <v/>
      </c>
      <c r="M48">
        <f>I48*K48</f>
        <v/>
      </c>
      <c r="N48" s="3" t="n">
        <v>90.56</v>
      </c>
      <c r="O48" s="3" t="n">
        <v>88.34999999999999</v>
      </c>
      <c r="P48" s="3" t="n">
        <v>90.56</v>
      </c>
      <c r="Q48">
        <f>L48*N48</f>
        <v/>
      </c>
      <c r="R48">
        <f>J48*P48</f>
        <v/>
      </c>
      <c r="S48">
        <f>M48*O48</f>
        <v/>
      </c>
      <c r="T48">
        <f>Q48-R48-S48</f>
        <v/>
      </c>
      <c r="U48" t="inlineStr"/>
    </row>
    <row r="49">
      <c r="A49" t="inlineStr">
        <is>
          <t>DUOL</t>
        </is>
      </c>
      <c r="B49" t="inlineStr">
        <is>
          <t>USD</t>
        </is>
      </c>
      <c r="C49" t="n">
        <v>6</v>
      </c>
      <c r="D49" s="2" t="n">
        <v>45967</v>
      </c>
      <c r="E49" s="2" t="n">
        <v>46087</v>
      </c>
      <c r="F49">
        <f>E49-D49</f>
        <v/>
      </c>
      <c r="G49">
        <f>IF(F49&gt;730,"LTCG","STCG")</f>
        <v/>
      </c>
      <c r="H49" s="3" t="n">
        <v>605.4</v>
      </c>
      <c r="I49" s="3" t="n">
        <v>1377.36</v>
      </c>
      <c r="J49" s="3" t="n">
        <v>0.67</v>
      </c>
      <c r="K49" s="3" t="n">
        <v>1</v>
      </c>
      <c r="L49">
        <f>H49*K49</f>
        <v/>
      </c>
      <c r="M49">
        <f>I49*K49</f>
        <v/>
      </c>
      <c r="N49" s="3" t="n">
        <v>90.56</v>
      </c>
      <c r="O49" s="3" t="n">
        <v>88.2</v>
      </c>
      <c r="P49" s="3" t="n">
        <v>90.56</v>
      </c>
      <c r="Q49">
        <f>L49*N49</f>
        <v/>
      </c>
      <c r="R49">
        <f>J49*P49</f>
        <v/>
      </c>
      <c r="S49">
        <f>M49*O49</f>
        <v/>
      </c>
      <c r="T49">
        <f>Q49-R49-S49</f>
        <v/>
      </c>
      <c r="U49" t="inlineStr"/>
    </row>
    <row r="50">
      <c r="A50" t="inlineStr">
        <is>
          <t>RBRK</t>
        </is>
      </c>
      <c r="B50" t="inlineStr">
        <is>
          <t>USD</t>
        </is>
      </c>
      <c r="C50" t="n">
        <v>17</v>
      </c>
      <c r="D50" s="2" t="n">
        <v>45890</v>
      </c>
      <c r="E50" s="2" t="n">
        <v>46087</v>
      </c>
      <c r="F50">
        <f>E50-D50</f>
        <v/>
      </c>
      <c r="G50">
        <f>IF(F50&gt;730,"LTCG","STCG")</f>
        <v/>
      </c>
      <c r="H50" s="3" t="n">
        <v>975.12</v>
      </c>
      <c r="I50" s="3" t="n">
        <v>1460.11</v>
      </c>
      <c r="J50" s="3" t="n">
        <v>1</v>
      </c>
      <c r="K50" s="3" t="n">
        <v>1</v>
      </c>
      <c r="L50">
        <f>H50*K50</f>
        <v/>
      </c>
      <c r="M50">
        <f>I50*K50</f>
        <v/>
      </c>
      <c r="N50" s="3" t="n">
        <v>90.56</v>
      </c>
      <c r="O50" s="3" t="n">
        <v>87.15000000000001</v>
      </c>
      <c r="P50" s="3" t="n">
        <v>90.56</v>
      </c>
      <c r="Q50">
        <f>L50*N50</f>
        <v/>
      </c>
      <c r="R50">
        <f>J50*P50</f>
        <v/>
      </c>
      <c r="S50">
        <f>M50*O50</f>
        <v/>
      </c>
      <c r="T50">
        <f>Q50-R50-S50</f>
        <v/>
      </c>
      <c r="U50" t="inlineStr"/>
    </row>
    <row r="51">
      <c r="A51" t="inlineStr">
        <is>
          <t>CLPT</t>
        </is>
      </c>
      <c r="B51" t="inlineStr">
        <is>
          <t>USD</t>
        </is>
      </c>
      <c r="C51" t="n">
        <v>42</v>
      </c>
      <c r="D51" s="2" t="n">
        <v>45936</v>
      </c>
      <c r="E51" s="2" t="n">
        <v>46087</v>
      </c>
      <c r="F51">
        <f>E51-D51</f>
        <v/>
      </c>
      <c r="G51">
        <f>IF(F51&gt;730,"LTCG","STCG")</f>
        <v/>
      </c>
      <c r="H51" s="3" t="n">
        <v>425.04</v>
      </c>
      <c r="I51" s="3" t="n">
        <v>1160.2</v>
      </c>
      <c r="J51" s="3" t="n">
        <v>1.01</v>
      </c>
      <c r="K51" s="3" t="n">
        <v>1</v>
      </c>
      <c r="L51">
        <f>H51*K51</f>
        <v/>
      </c>
      <c r="M51">
        <f>I51*K51</f>
        <v/>
      </c>
      <c r="N51" s="3" t="n">
        <v>90.56</v>
      </c>
      <c r="O51" s="3" t="n">
        <v>88.34999999999999</v>
      </c>
      <c r="P51" s="3" t="n">
        <v>90.56</v>
      </c>
      <c r="Q51">
        <f>L51*N51</f>
        <v/>
      </c>
      <c r="R51">
        <f>J51*P51</f>
        <v/>
      </c>
      <c r="S51">
        <f>M51*O51</f>
        <v/>
      </c>
      <c r="T51">
        <f>Q51-R51-S51</f>
        <v/>
      </c>
      <c r="U51" t="inlineStr"/>
    </row>
    <row r="52">
      <c r="A52" t="inlineStr">
        <is>
          <t>CRCL</t>
        </is>
      </c>
      <c r="B52" t="inlineStr">
        <is>
          <t>USD</t>
        </is>
      </c>
      <c r="C52" t="n">
        <v>10</v>
      </c>
      <c r="D52" s="2" t="n">
        <v>45936</v>
      </c>
      <c r="E52" s="2" t="n">
        <v>46087</v>
      </c>
      <c r="F52">
        <f>E52-D52</f>
        <v/>
      </c>
      <c r="G52">
        <f>IF(F52&gt;730,"LTCG","STCG")</f>
        <v/>
      </c>
      <c r="H52" s="3" t="n">
        <v>1020.8</v>
      </c>
      <c r="I52" s="3" t="n">
        <v>1518.2</v>
      </c>
      <c r="J52" s="3" t="n">
        <v>1</v>
      </c>
      <c r="K52" s="3" t="n">
        <v>1</v>
      </c>
      <c r="L52">
        <f>H52*K52</f>
        <v/>
      </c>
      <c r="M52">
        <f>I52*K52</f>
        <v/>
      </c>
      <c r="N52" s="3" t="n">
        <v>90.56</v>
      </c>
      <c r="O52" s="3" t="n">
        <v>88.34999999999999</v>
      </c>
      <c r="P52" s="3" t="n">
        <v>90.56</v>
      </c>
      <c r="Q52">
        <f>L52*N52</f>
        <v/>
      </c>
      <c r="R52">
        <f>J52*P52</f>
        <v/>
      </c>
      <c r="S52">
        <f>M52*O52</f>
        <v/>
      </c>
      <c r="T52">
        <f>Q52-R52-S52</f>
        <v/>
      </c>
      <c r="U52" t="inlineStr"/>
    </row>
    <row r="53">
      <c r="A53" t="inlineStr">
        <is>
          <t>WCBR</t>
        </is>
      </c>
      <c r="B53" t="inlineStr">
        <is>
          <t>EUR</t>
        </is>
      </c>
      <c r="C53" t="n">
        <v>45</v>
      </c>
      <c r="D53" s="2" t="n">
        <v>45890</v>
      </c>
      <c r="E53" s="2" t="n">
        <v>46092</v>
      </c>
      <c r="F53">
        <f>E53-D53</f>
        <v/>
      </c>
      <c r="G53">
        <f>IF(F53&gt;730,"LTCG","STCG")</f>
        <v/>
      </c>
      <c r="H53" s="3" t="n">
        <v>1000.35</v>
      </c>
      <c r="I53" s="3" t="n">
        <v>1128.93</v>
      </c>
      <c r="J53" s="3" t="n">
        <v>3</v>
      </c>
      <c r="K53" s="3" t="n">
        <v>1</v>
      </c>
      <c r="L53">
        <f>H53*K53</f>
        <v/>
      </c>
      <c r="M53">
        <f>I53*K53</f>
        <v/>
      </c>
      <c r="N53" s="3" t="n">
        <v>104.5</v>
      </c>
      <c r="O53" s="3" t="n">
        <v>99.02</v>
      </c>
      <c r="P53" s="3" t="n">
        <v>90.56</v>
      </c>
      <c r="Q53">
        <f>L53*N53</f>
        <v/>
      </c>
      <c r="R53">
        <f>J53*P53</f>
        <v/>
      </c>
      <c r="S53">
        <f>M53*O53</f>
        <v/>
      </c>
      <c r="T53">
        <f>Q53-R53-S53</f>
        <v/>
      </c>
      <c r="U53" t="inlineStr">
        <is>
          <t>EUR: FCY→USD=1; Sale/Cost FX = EUR/INR (Rule 115); Comm uses USD/INR</t>
        </is>
      </c>
    </row>
    <row r="54">
      <c r="A54" t="inlineStr">
        <is>
          <t>NFLX</t>
        </is>
      </c>
      <c r="B54" t="inlineStr">
        <is>
          <t>USD</t>
        </is>
      </c>
      <c r="C54" t="n">
        <v>10</v>
      </c>
      <c r="D54" s="2" t="n">
        <v>45936</v>
      </c>
      <c r="E54" s="2" t="n">
        <v>46092</v>
      </c>
      <c r="F54">
        <f>E54-D54</f>
        <v/>
      </c>
      <c r="G54">
        <f>IF(F54&gt;730,"LTCG","STCG")</f>
        <v/>
      </c>
      <c r="H54" s="3" t="n">
        <v>975</v>
      </c>
      <c r="I54" s="3" t="n">
        <v>1161.36</v>
      </c>
      <c r="J54" s="3" t="n">
        <v>1</v>
      </c>
      <c r="K54" s="3" t="n">
        <v>1</v>
      </c>
      <c r="L54">
        <f>H54*K54</f>
        <v/>
      </c>
      <c r="M54">
        <f>I54*K54</f>
        <v/>
      </c>
      <c r="N54" s="3" t="n">
        <v>90.56</v>
      </c>
      <c r="O54" s="3" t="n">
        <v>88.34999999999999</v>
      </c>
      <c r="P54" s="3" t="n">
        <v>90.56</v>
      </c>
      <c r="Q54">
        <f>L54*N54</f>
        <v/>
      </c>
      <c r="R54">
        <f>J54*P54</f>
        <v/>
      </c>
      <c r="S54">
        <f>M54*O54</f>
        <v/>
      </c>
      <c r="T54">
        <f>Q54-R54-S54</f>
        <v/>
      </c>
      <c r="U54" t="inlineStr"/>
    </row>
    <row r="55">
      <c r="A55" t="inlineStr">
        <is>
          <t>SNOW</t>
        </is>
      </c>
      <c r="B55" t="inlineStr">
        <is>
          <t>USD</t>
        </is>
      </c>
      <c r="C55" t="n">
        <v>8</v>
      </c>
      <c r="D55" s="2" t="n">
        <v>45890</v>
      </c>
      <c r="E55" s="2" t="n">
        <v>46092</v>
      </c>
      <c r="F55">
        <f>E55-D55</f>
        <v/>
      </c>
      <c r="G55">
        <f>IF(F55&gt;730,"LTCG","STCG")</f>
        <v/>
      </c>
      <c r="H55" s="3" t="n">
        <v>1421.2</v>
      </c>
      <c r="I55" s="3" t="n">
        <v>1549.24</v>
      </c>
      <c r="J55" s="3" t="n">
        <v>1</v>
      </c>
      <c r="K55" s="3" t="n">
        <v>1</v>
      </c>
      <c r="L55">
        <f>H55*K55</f>
        <v/>
      </c>
      <c r="M55">
        <f>I55*K55</f>
        <v/>
      </c>
      <c r="N55" s="3" t="n">
        <v>90.56</v>
      </c>
      <c r="O55" s="3" t="n">
        <v>87.15000000000001</v>
      </c>
      <c r="P55" s="3" t="n">
        <v>90.56</v>
      </c>
      <c r="Q55">
        <f>L55*N55</f>
        <v/>
      </c>
      <c r="R55">
        <f>J55*P55</f>
        <v/>
      </c>
      <c r="S55">
        <f>M55*O55</f>
        <v/>
      </c>
      <c r="T55">
        <f>Q55-R55-S55</f>
        <v/>
      </c>
      <c r="U55" t="inlineStr"/>
    </row>
    <row r="56">
      <c r="A56" t="inlineStr">
        <is>
          <t>9984.T</t>
        </is>
      </c>
      <c r="B56" t="inlineStr">
        <is>
          <t>JPY</t>
        </is>
      </c>
      <c r="C56" t="n">
        <v>100</v>
      </c>
      <c r="D56" s="2" t="n">
        <v>46028</v>
      </c>
      <c r="E56" s="2" t="n">
        <v>46092</v>
      </c>
      <c r="F56">
        <f>E56-D56</f>
        <v/>
      </c>
      <c r="G56">
        <f>IF(F56&gt;730,"LTCG","STCG")</f>
        <v/>
      </c>
      <c r="H56" s="3" t="n">
        <v>378300</v>
      </c>
      <c r="I56" s="3" t="n">
        <v>473278.32</v>
      </c>
      <c r="J56" s="3" t="n">
        <v>302.64</v>
      </c>
      <c r="K56" s="3" t="n">
        <v>0.0063827</v>
      </c>
      <c r="L56">
        <f>H56*K56</f>
        <v/>
      </c>
      <c r="M56">
        <f>I56*K56</f>
        <v/>
      </c>
      <c r="N56" s="3" t="n">
        <v>90.56</v>
      </c>
      <c r="O56" s="3" t="n">
        <v>89.47</v>
      </c>
      <c r="P56" s="3" t="n">
        <v>90.56</v>
      </c>
      <c r="Q56">
        <f>L56*N56</f>
        <v/>
      </c>
      <c r="R56">
        <f>J56*P56</f>
        <v/>
      </c>
      <c r="S56">
        <f>M56*O56</f>
        <v/>
      </c>
      <c r="T56">
        <f>Q56-R56-S56</f>
        <v/>
      </c>
      <c r="U56" t="inlineStr">
        <is>
          <t>JPY: FCY→USD editable; Sale/Cost FX = USD/INR (Rule 115)</t>
        </is>
      </c>
    </row>
    <row r="57">
      <c r="A57" t="inlineStr">
        <is>
          <t>3416</t>
        </is>
      </c>
      <c r="B57" t="inlineStr">
        <is>
          <t>HKD</t>
        </is>
      </c>
      <c r="C57" t="n">
        <v>500</v>
      </c>
      <c r="D57" s="2" t="n">
        <v>45889</v>
      </c>
      <c r="E57" s="2" t="n">
        <v>46092</v>
      </c>
      <c r="F57">
        <f>E57-D57</f>
        <v/>
      </c>
      <c r="G57">
        <f>IF(F57&gt;730,"LTCG","STCG")</f>
        <v/>
      </c>
      <c r="H57" s="3" t="n">
        <v>4870</v>
      </c>
      <c r="I57" s="3" t="n">
        <v>5364.15</v>
      </c>
      <c r="J57" s="3" t="n">
        <v>18.14</v>
      </c>
      <c r="K57" s="3" t="n">
        <v>0.12849</v>
      </c>
      <c r="L57">
        <f>H57*K57</f>
        <v/>
      </c>
      <c r="M57">
        <f>I57*K57</f>
        <v/>
      </c>
      <c r="N57" s="3" t="n">
        <v>90.56</v>
      </c>
      <c r="O57" s="3" t="n">
        <v>87.15000000000001</v>
      </c>
      <c r="P57" s="3" t="n">
        <v>90.56</v>
      </c>
      <c r="Q57">
        <f>L57*N57</f>
        <v/>
      </c>
      <c r="R57">
        <f>J57*P57</f>
        <v/>
      </c>
      <c r="S57">
        <f>M57*O57</f>
        <v/>
      </c>
      <c r="T57">
        <f>Q57-R57-S57</f>
        <v/>
      </c>
      <c r="U57" t="inlineStr">
        <is>
          <t>HKD: FCY→USD editable; Sale/Cost FX = USD/INR (Rule 115)</t>
        </is>
      </c>
    </row>
    <row r="58">
      <c r="A58" t="inlineStr">
        <is>
          <t>3069</t>
        </is>
      </c>
      <c r="B58" t="inlineStr">
        <is>
          <t>HKD</t>
        </is>
      </c>
      <c r="C58" t="n">
        <v>500</v>
      </c>
      <c r="D58" s="2" t="n">
        <v>45889</v>
      </c>
      <c r="E58" s="2" t="n">
        <v>46092</v>
      </c>
      <c r="F58">
        <f>E58-D58</f>
        <v/>
      </c>
      <c r="G58">
        <f>IF(F58&gt;730,"LTCG","STCG")</f>
        <v/>
      </c>
      <c r="H58" s="3" t="n">
        <v>7345</v>
      </c>
      <c r="I58" s="3" t="n">
        <v>8550.24</v>
      </c>
      <c r="J58" s="3" t="n">
        <v>18.21</v>
      </c>
      <c r="K58" s="3" t="n">
        <v>0.12849</v>
      </c>
      <c r="L58">
        <f>H58*K58</f>
        <v/>
      </c>
      <c r="M58">
        <f>I58*K58</f>
        <v/>
      </c>
      <c r="N58" s="3" t="n">
        <v>90.56</v>
      </c>
      <c r="O58" s="3" t="n">
        <v>87.15000000000001</v>
      </c>
      <c r="P58" s="3" t="n">
        <v>90.56</v>
      </c>
      <c r="Q58">
        <f>L58*N58</f>
        <v/>
      </c>
      <c r="R58">
        <f>J58*P58</f>
        <v/>
      </c>
      <c r="S58">
        <f>M58*O58</f>
        <v/>
      </c>
      <c r="T58">
        <f>Q58-R58-S58</f>
        <v/>
      </c>
      <c r="U58" t="inlineStr">
        <is>
          <t>HKD: FCY→USD editable; Sale/Cost FX = USD/INR (Rule 115)</t>
        </is>
      </c>
    </row>
    <row r="59">
      <c r="A59" t="inlineStr">
        <is>
          <t>4568.T</t>
        </is>
      </c>
      <c r="B59" t="inlineStr">
        <is>
          <t>JPY</t>
        </is>
      </c>
      <c r="C59" t="n">
        <v>100</v>
      </c>
      <c r="D59" s="2" t="n">
        <v>45736</v>
      </c>
      <c r="E59" s="2" t="n">
        <v>46092</v>
      </c>
      <c r="F59">
        <f>E59-D59</f>
        <v/>
      </c>
      <c r="G59">
        <f>IF(F59&gt;730,"LTCG","STCG")</f>
        <v/>
      </c>
      <c r="H59" s="3" t="n">
        <v>284100</v>
      </c>
      <c r="I59" s="3" t="n">
        <v>372297.6</v>
      </c>
      <c r="J59" s="3" t="n">
        <v>227.28</v>
      </c>
      <c r="K59" s="3" t="n">
        <v>0.0063827</v>
      </c>
      <c r="L59">
        <f>H59*K59</f>
        <v/>
      </c>
      <c r="M59">
        <f>I59*K59</f>
        <v/>
      </c>
      <c r="N59" s="3" t="n">
        <v>90.56</v>
      </c>
      <c r="O59" s="3" t="n">
        <v>86.95</v>
      </c>
      <c r="P59" s="3" t="n">
        <v>90.56</v>
      </c>
      <c r="Q59">
        <f>L59*N59</f>
        <v/>
      </c>
      <c r="R59">
        <f>J59*P59</f>
        <v/>
      </c>
      <c r="S59">
        <f>M59*O59</f>
        <v/>
      </c>
      <c r="T59">
        <f>Q59-R59-S59</f>
        <v/>
      </c>
      <c r="U59" t="inlineStr">
        <is>
          <t>JPY: FCY→USD editable; Sale/Cost FX = USD/INR (Rule 115)</t>
        </is>
      </c>
    </row>
    <row r="60">
      <c r="A60" t="inlineStr">
        <is>
          <t>3690</t>
        </is>
      </c>
      <c r="B60" t="inlineStr">
        <is>
          <t>HKD</t>
        </is>
      </c>
      <c r="C60" t="n">
        <v>100</v>
      </c>
      <c r="D60" s="2" t="n">
        <v>46028</v>
      </c>
      <c r="E60" s="2" t="n">
        <v>46092</v>
      </c>
      <c r="F60">
        <f>E60-D60</f>
        <v/>
      </c>
      <c r="G60">
        <f>IF(F60&gt;730,"LTCG","STCG")</f>
        <v/>
      </c>
      <c r="H60" s="3" t="n">
        <v>7600</v>
      </c>
      <c r="I60" s="3" t="n">
        <v>10719.3</v>
      </c>
      <c r="J60" s="3" t="n">
        <v>26.22</v>
      </c>
      <c r="K60" s="3" t="n">
        <v>0.12849</v>
      </c>
      <c r="L60">
        <f>H60*K60</f>
        <v/>
      </c>
      <c r="M60">
        <f>I60*K60</f>
        <v/>
      </c>
      <c r="N60" s="3" t="n">
        <v>90.56</v>
      </c>
      <c r="O60" s="3" t="n">
        <v>89.47</v>
      </c>
      <c r="P60" s="3" t="n">
        <v>90.56</v>
      </c>
      <c r="Q60">
        <f>L60*N60</f>
        <v/>
      </c>
      <c r="R60">
        <f>J60*P60</f>
        <v/>
      </c>
      <c r="S60">
        <f>M60*O60</f>
        <v/>
      </c>
      <c r="T60">
        <f>Q60-R60-S60</f>
        <v/>
      </c>
      <c r="U60" t="inlineStr">
        <is>
          <t>HKD: FCY→USD editable; Sale/Cost FX = USD/INR (Rule 115)</t>
        </is>
      </c>
    </row>
    <row r="61"/>
    <row r="62">
      <c r="G62" s="4" t="inlineStr">
        <is>
          <t>TOTAL STCG (INR)</t>
        </is>
      </c>
      <c r="T62" s="4">
        <f>SUMIF(G5:G60,"STCG",T5:T60)</f>
        <v/>
      </c>
    </row>
    <row r="63">
      <c r="G63" s="4" t="inlineStr">
        <is>
          <t>TOTAL LTCG (INR)</t>
        </is>
      </c>
      <c r="T63" s="4">
        <f>SUMIF(G5:G60,"LTCG",T5:T60)</f>
        <v/>
      </c>
    </row>
    <row r="64">
      <c r="G64" s="4" t="inlineStr">
        <is>
          <t>TOTAL CG (INR)</t>
        </is>
      </c>
      <c r="T64" s="4">
        <f>T62+T63</f>
        <v/>
      </c>
    </row>
    <row r="65"/>
    <row r="66">
      <c r="A66" t="inlineStr">
        <is>
          <t>How to reconcile before filing:</t>
        </is>
      </c>
    </row>
    <row r="67">
      <c r="A67" t="inlineStr">
        <is>
          <t>1. Check Sale Proceeds (FCY) / Cost Basis (FCY) vs IBKR trade Proceeds &amp; Basis.</t>
        </is>
      </c>
    </row>
    <row r="68">
      <c r="A68" t="inlineStr">
        <is>
          <t>2. Edit yellow FX cells (N Sale FX, O Cost FX, P Comm USD/INR) to exact SBI TT Buy card rates.</t>
        </is>
      </c>
    </row>
    <row r="69">
      <c r="A69" t="inlineStr">
        <is>
          <t>3. For HKD/JPY, edit FCY→USD (K) if using trade-date FX instead of 31-Dec-2025 IBKR close.</t>
        </is>
      </c>
    </row>
    <row r="70">
      <c r="A70" t="inlineStr">
        <is>
          <t>4. Gain/(Loss) cell formula: =Q-R-S i.e. Sale INR − Comm INR − Cost INR.</t>
        </is>
      </c>
    </row>
    <row r="71">
      <c r="A71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TSLA</t>
        </is>
      </c>
      <c r="B5" t="inlineStr">
        <is>
          <t>USD</t>
        </is>
      </c>
      <c r="C5" t="n">
        <v>10</v>
      </c>
      <c r="D5" s="2" t="n">
        <v>45632</v>
      </c>
      <c r="E5" s="2" t="n">
        <v>45726</v>
      </c>
      <c r="F5">
        <f>E5-D5</f>
        <v/>
      </c>
      <c r="G5">
        <f>IF(F5&gt;730,"LTCG","STCG")</f>
        <v/>
      </c>
      <c r="H5" s="3" t="n">
        <v>2465.3</v>
      </c>
      <c r="I5" s="3" t="n">
        <v>3762.8</v>
      </c>
      <c r="J5" s="3" t="n">
        <v>1.07</v>
      </c>
      <c r="K5" s="3" t="n">
        <v>1</v>
      </c>
      <c r="L5">
        <f>H5*K5</f>
        <v/>
      </c>
      <c r="M5">
        <f>I5*K5</f>
        <v/>
      </c>
      <c r="N5" s="3" t="n">
        <v>86.95</v>
      </c>
      <c r="O5" s="3" t="n">
        <v>84.15000000000001</v>
      </c>
      <c r="P5" s="3" t="n">
        <v>86.95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BLBD</t>
        </is>
      </c>
      <c r="B6" t="inlineStr">
        <is>
          <t>USD</t>
        </is>
      </c>
      <c r="C6" t="n">
        <v>60</v>
      </c>
      <c r="D6" s="2" t="n">
        <v>45587</v>
      </c>
      <c r="E6" s="2" t="n">
        <v>45726</v>
      </c>
      <c r="F6">
        <f>E6-D6</f>
        <v/>
      </c>
      <c r="G6">
        <f>IF(F6&gt;730,"LTCG","STCG")</f>
        <v/>
      </c>
      <c r="H6" s="3" t="n">
        <v>2060.1</v>
      </c>
      <c r="I6" s="3" t="n">
        <v>2588.8</v>
      </c>
      <c r="J6" s="3" t="n">
        <v>1.07</v>
      </c>
      <c r="K6" s="3" t="n">
        <v>1</v>
      </c>
      <c r="L6">
        <f>H6*K6</f>
        <v/>
      </c>
      <c r="M6">
        <f>I6*K6</f>
        <v/>
      </c>
      <c r="N6" s="3" t="n">
        <v>86.95</v>
      </c>
      <c r="O6" s="3" t="n">
        <v>83.3</v>
      </c>
      <c r="P6" s="3" t="n">
        <v>86.95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/>
    <row r="8">
      <c r="G8" s="4" t="inlineStr">
        <is>
          <t>TOTAL STCG (INR)</t>
        </is>
      </c>
      <c r="T8" s="4">
        <f>SUMIF(G5:G6,"STCG",T5:T6)</f>
        <v/>
      </c>
    </row>
    <row r="9">
      <c r="G9" s="4" t="inlineStr">
        <is>
          <t>TOTAL LTCG (INR)</t>
        </is>
      </c>
      <c r="T9" s="4">
        <f>SUMIF(G5:G6,"LTCG",T5:T6)</f>
        <v/>
      </c>
    </row>
    <row r="10">
      <c r="G10" s="4" t="inlineStr">
        <is>
          <t>TOTAL CG (INR)</t>
        </is>
      </c>
      <c r="T10" s="4">
        <f>T8+T9</f>
        <v/>
      </c>
    </row>
    <row r="11"/>
    <row r="12">
      <c r="A12" t="inlineStr">
        <is>
          <t>How to reconcile before filing:</t>
        </is>
      </c>
    </row>
    <row r="13">
      <c r="A13" t="inlineStr">
        <is>
          <t>1. Check Sale Proceeds (FCY) / Cost Basis (FCY) vs IBKR trade Proceeds &amp; Basis.</t>
        </is>
      </c>
    </row>
    <row r="14">
      <c r="A14" t="inlineStr">
        <is>
          <t>2. Edit yellow FX cells (N Sale FX, O Cost FX, P Comm USD/INR) to exact SBI TT Buy card rates.</t>
        </is>
      </c>
    </row>
    <row r="15">
      <c r="A15" t="inlineStr">
        <is>
          <t>3. For HKD/JPY, edit FCY→USD (K) if using trade-date FX instead of 31-Dec-2025 IBKR close.</t>
        </is>
      </c>
    </row>
    <row r="16">
      <c r="A16" t="inlineStr">
        <is>
          <t>4. Gain/(Loss) cell formula: =Q-R-S i.e. Sale INR − Comm INR − Cost INR.</t>
        </is>
      </c>
    </row>
    <row r="17">
      <c r="A17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AIQ</t>
        </is>
      </c>
      <c r="C3" t="n">
        <v>36</v>
      </c>
      <c r="D3" s="2" t="n">
        <v>45638</v>
      </c>
      <c r="E3" t="n">
        <v>1446.7626</v>
      </c>
      <c r="F3" t="inlineStr">
        <is>
          <t>USD</t>
        </is>
      </c>
      <c r="G3" t="inlineStr">
        <is>
          <t>buy</t>
        </is>
      </c>
    </row>
    <row r="4">
      <c r="A4" t="inlineStr">
        <is>
          <t>31-Dec-2024 (CY2025 open)</t>
        </is>
      </c>
      <c r="B4" t="inlineStr">
        <is>
          <t>AMZN</t>
        </is>
      </c>
      <c r="C4" t="n">
        <v>6</v>
      </c>
      <c r="D4" s="2" t="n">
        <v>45544</v>
      </c>
      <c r="E4" t="n">
        <v>1045.0003</v>
      </c>
      <c r="F4" t="inlineStr">
        <is>
          <t>USD</t>
        </is>
      </c>
      <c r="G4" t="inlineStr">
        <is>
          <t>buy</t>
        </is>
      </c>
    </row>
    <row r="5">
      <c r="A5" t="inlineStr">
        <is>
          <t>31-Dec-2024 (CY2025 open)</t>
        </is>
      </c>
      <c r="B5" t="inlineStr">
        <is>
          <t>ASML</t>
        </is>
      </c>
      <c r="C5" t="n">
        <v>6</v>
      </c>
      <c r="D5" s="2" t="n">
        <v>45587</v>
      </c>
      <c r="E5" t="n">
        <v>4328.7104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31-Dec-2024 (CY2025 open)</t>
        </is>
      </c>
      <c r="B6" t="inlineStr">
        <is>
          <t>AVGO</t>
        </is>
      </c>
      <c r="C6" t="n">
        <v>9</v>
      </c>
      <c r="D6" s="2" t="n">
        <v>45544</v>
      </c>
      <c r="E6" t="n">
        <v>1242.1005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31-Dec-2024 (CY2025 open)</t>
        </is>
      </c>
      <c r="B7" t="inlineStr">
        <is>
          <t>BLBD</t>
        </is>
      </c>
      <c r="C7" t="n">
        <v>60</v>
      </c>
      <c r="D7" s="2" t="n">
        <v>45587</v>
      </c>
      <c r="E7" t="n">
        <v>2588.8043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31-Dec-2024 (CY2025 open)</t>
        </is>
      </c>
      <c r="B8" t="inlineStr">
        <is>
          <t>BTI</t>
        </is>
      </c>
      <c r="C8" t="n">
        <v>33</v>
      </c>
      <c r="D8" s="2" t="n">
        <v>45569</v>
      </c>
      <c r="E8" t="n">
        <v>1162.7674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31-Dec-2024 (CY2025 open)</t>
        </is>
      </c>
      <c r="B9" t="inlineStr">
        <is>
          <t>BX</t>
        </is>
      </c>
      <c r="C9" t="n">
        <v>12</v>
      </c>
      <c r="D9" s="2" t="n">
        <v>45569</v>
      </c>
      <c r="E9" t="n">
        <v>1808.2609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31-Dec-2024 (CY2025 open)</t>
        </is>
      </c>
      <c r="B10" t="inlineStr">
        <is>
          <t>CAT</t>
        </is>
      </c>
      <c r="C10" t="n">
        <v>3</v>
      </c>
      <c r="D10" s="2" t="n">
        <v>45544</v>
      </c>
      <c r="E10" t="n">
        <v>1004.5002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31-Dec-2024 (CY2025 open)</t>
        </is>
      </c>
      <c r="B11" t="inlineStr">
        <is>
          <t>DXJ</t>
        </is>
      </c>
      <c r="C11" t="n">
        <v>6</v>
      </c>
      <c r="D11" s="2" t="n">
        <v>45544</v>
      </c>
      <c r="E11" t="n">
        <v>610.9003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31-Dec-2024 (CY2025 open)</t>
        </is>
      </c>
      <c r="B12" t="inlineStr">
        <is>
          <t>EMXC</t>
        </is>
      </c>
      <c r="C12" t="n">
        <v>9</v>
      </c>
      <c r="D12" s="2" t="n">
        <v>45544</v>
      </c>
      <c r="E12" t="n">
        <v>532.0005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31-Dec-2024 (CY2025 open)</t>
        </is>
      </c>
      <c r="B13" t="inlineStr">
        <is>
          <t>GE</t>
        </is>
      </c>
      <c r="C13" t="n">
        <v>3</v>
      </c>
      <c r="D13" s="2" t="n">
        <v>45544</v>
      </c>
      <c r="E13" t="n">
        <v>493.0002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31-Dec-2024 (CY2025 open)</t>
        </is>
      </c>
      <c r="B14" t="inlineStr">
        <is>
          <t>HYU</t>
        </is>
      </c>
      <c r="C14" t="n">
        <v>24</v>
      </c>
      <c r="D14" s="2" t="n">
        <v>45587</v>
      </c>
      <c r="E14" t="n">
        <v>1375.8</v>
      </c>
      <c r="F14" t="inlineStr">
        <is>
          <t>EUR</t>
        </is>
      </c>
      <c r="G14" t="inlineStr">
        <is>
          <t>buy</t>
        </is>
      </c>
    </row>
    <row r="15">
      <c r="A15" t="inlineStr">
        <is>
          <t>31-Dec-2024 (CY2025 open)</t>
        </is>
      </c>
      <c r="B15" t="inlineStr">
        <is>
          <t>IGPT</t>
        </is>
      </c>
      <c r="C15" t="n">
        <v>33</v>
      </c>
      <c r="D15" s="2" t="n">
        <v>45638</v>
      </c>
      <c r="E15" t="n">
        <v>1587.9724</v>
      </c>
      <c r="F15" t="inlineStr">
        <is>
          <t>USD</t>
        </is>
      </c>
      <c r="G15" t="inlineStr">
        <is>
          <t>buy</t>
        </is>
      </c>
    </row>
    <row r="16">
      <c r="A16" t="inlineStr">
        <is>
          <t>31-Dec-2024 (CY2025 open)</t>
        </is>
      </c>
      <c r="B16" t="inlineStr">
        <is>
          <t>LLY</t>
        </is>
      </c>
      <c r="C16" t="n">
        <v>6</v>
      </c>
      <c r="D16" s="2" t="n">
        <v>45600</v>
      </c>
      <c r="E16" t="n">
        <v>4837.0003</v>
      </c>
      <c r="F16" t="inlineStr">
        <is>
          <t>USD</t>
        </is>
      </c>
      <c r="G16" t="inlineStr">
        <is>
          <t>buy</t>
        </is>
      </c>
    </row>
    <row r="17">
      <c r="A17" t="inlineStr">
        <is>
          <t>31-Dec-2024 (CY2025 open)</t>
        </is>
      </c>
      <c r="B17" t="inlineStr">
        <is>
          <t>LRCX</t>
        </is>
      </c>
      <c r="C17" t="n">
        <v>10</v>
      </c>
      <c r="D17" s="2" t="n">
        <v>45544</v>
      </c>
      <c r="E17" t="n">
        <v>737.2001</v>
      </c>
      <c r="F17" t="inlineStr">
        <is>
          <t>USD</t>
        </is>
      </c>
      <c r="G17" t="inlineStr">
        <is>
          <t>buy</t>
        </is>
      </c>
    </row>
    <row r="18">
      <c r="A18" t="inlineStr">
        <is>
          <t>31-Dec-2024 (CY2025 open)</t>
        </is>
      </c>
      <c r="B18" t="inlineStr">
        <is>
          <t>MCHI</t>
        </is>
      </c>
      <c r="C18" t="n">
        <v>27</v>
      </c>
      <c r="D18" s="2" t="n">
        <v>45569</v>
      </c>
      <c r="E18" t="n">
        <v>1527.1769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31-Dec-2024 (CY2025 open)</t>
        </is>
      </c>
      <c r="B19" t="inlineStr">
        <is>
          <t>MSFT</t>
        </is>
      </c>
      <c r="C19" t="n">
        <v>6</v>
      </c>
      <c r="D19" s="2" t="n">
        <v>45596</v>
      </c>
      <c r="E19" t="n">
        <v>2455.0003</v>
      </c>
      <c r="F19" t="inlineStr">
        <is>
          <t>USD</t>
        </is>
      </c>
      <c r="G19" t="inlineStr">
        <is>
          <t>buy</t>
        </is>
      </c>
    </row>
    <row r="20">
      <c r="A20" t="inlineStr">
        <is>
          <t>31-Dec-2024 (CY2025 open)</t>
        </is>
      </c>
      <c r="B20" t="inlineStr">
        <is>
          <t>NFLX</t>
        </is>
      </c>
      <c r="C20" t="n">
        <v>2.4</v>
      </c>
      <c r="D20" s="2" t="n">
        <v>45638</v>
      </c>
      <c r="E20" t="n">
        <v>2226.8242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31-Dec-2024 (CY2025 open)</t>
        </is>
      </c>
      <c r="B21" t="inlineStr">
        <is>
          <t>R6C0d</t>
        </is>
      </c>
      <c r="C21" t="n">
        <v>42</v>
      </c>
      <c r="D21" s="2" t="n">
        <v>45545</v>
      </c>
      <c r="E21" t="n">
        <v>1279.38</v>
      </c>
      <c r="F21" t="inlineStr">
        <is>
          <t>EUR</t>
        </is>
      </c>
      <c r="G21" t="inlineStr">
        <is>
          <t>buy</t>
        </is>
      </c>
    </row>
    <row r="22">
      <c r="A22" t="inlineStr">
        <is>
          <t>31-Dec-2024 (CY2025 open)</t>
        </is>
      </c>
      <c r="B22" t="inlineStr">
        <is>
          <t>RIO</t>
        </is>
      </c>
      <c r="C22" t="n">
        <v>9</v>
      </c>
      <c r="D22" s="2" t="n">
        <v>45544</v>
      </c>
      <c r="E22" t="n">
        <v>541.0005</v>
      </c>
      <c r="F22" t="inlineStr">
        <is>
          <t>USD</t>
        </is>
      </c>
      <c r="G22" t="inlineStr">
        <is>
          <t>buy</t>
        </is>
      </c>
    </row>
    <row r="23">
      <c r="A23" t="inlineStr">
        <is>
          <t>31-Dec-2024 (CY2025 open)</t>
        </is>
      </c>
      <c r="B23" t="inlineStr">
        <is>
          <t>SAUS</t>
        </is>
      </c>
      <c r="C23" t="n">
        <v>6</v>
      </c>
      <c r="D23" s="2" t="n">
        <v>45544</v>
      </c>
      <c r="E23" t="n">
        <v>286.7052</v>
      </c>
      <c r="F23" t="inlineStr">
        <is>
          <t>EUR</t>
        </is>
      </c>
      <c r="G23" t="inlineStr">
        <is>
          <t>buy</t>
        </is>
      </c>
    </row>
    <row r="24">
      <c r="A24" t="inlineStr">
        <is>
          <t>31-Dec-2024 (CY2025 open)</t>
        </is>
      </c>
      <c r="B24" t="inlineStr">
        <is>
          <t>TGT</t>
        </is>
      </c>
      <c r="C24" t="n">
        <v>6</v>
      </c>
      <c r="D24" s="2" t="n">
        <v>45544</v>
      </c>
      <c r="E24" t="n">
        <v>916.0003</v>
      </c>
      <c r="F24" t="inlineStr">
        <is>
          <t>USD</t>
        </is>
      </c>
      <c r="G24" t="inlineStr">
        <is>
          <t>buy</t>
        </is>
      </c>
    </row>
    <row r="25">
      <c r="A25" t="inlineStr">
        <is>
          <t>31-Dec-2024 (CY2025 open)</t>
        </is>
      </c>
      <c r="B25" t="inlineStr">
        <is>
          <t>TIP</t>
        </is>
      </c>
      <c r="C25" t="n">
        <v>60</v>
      </c>
      <c r="D25" s="2" t="n">
        <v>45569</v>
      </c>
      <c r="E25" t="n">
        <v>6571.3043</v>
      </c>
      <c r="F25" t="inlineStr">
        <is>
          <t>USD</t>
        </is>
      </c>
      <c r="G25" t="inlineStr">
        <is>
          <t>buy</t>
        </is>
      </c>
    </row>
    <row r="26">
      <c r="A26" t="inlineStr">
        <is>
          <t>31-Dec-2024 (CY2025 open)</t>
        </is>
      </c>
      <c r="B26" t="inlineStr">
        <is>
          <t>TSLA</t>
        </is>
      </c>
      <c r="C26" t="n">
        <v>10</v>
      </c>
      <c r="D26" s="2" t="n">
        <v>45632</v>
      </c>
      <c r="E26" t="n">
        <v>3762.7976</v>
      </c>
      <c r="F26" t="inlineStr">
        <is>
          <t>USD</t>
        </is>
      </c>
      <c r="G26" t="inlineStr">
        <is>
          <t>buy</t>
        </is>
      </c>
    </row>
    <row r="27">
      <c r="A27" t="inlineStr">
        <is>
          <t>31-Dec-2024 (CY2025 open)</t>
        </is>
      </c>
      <c r="B27" t="inlineStr">
        <is>
          <t>TSM</t>
        </is>
      </c>
      <c r="C27" t="n">
        <v>6</v>
      </c>
      <c r="D27" s="2" t="n">
        <v>45544</v>
      </c>
      <c r="E27" t="n">
        <v>968.8003</v>
      </c>
      <c r="F27" t="inlineStr">
        <is>
          <t>USD</t>
        </is>
      </c>
      <c r="G27" t="inlineStr">
        <is>
          <t>buy</t>
        </is>
      </c>
    </row>
    <row r="28">
      <c r="A28" t="inlineStr">
        <is>
          <t>31-Mar-2025 (FY2025-26 open)</t>
        </is>
      </c>
      <c r="B28" t="inlineStr">
        <is>
          <t>4568.T</t>
        </is>
      </c>
      <c r="C28" t="n">
        <v>100</v>
      </c>
      <c r="D28" s="2" t="n">
        <v>45736</v>
      </c>
      <c r="E28" t="n">
        <v>372297.6</v>
      </c>
      <c r="F28" t="inlineStr">
        <is>
          <t>JPY</t>
        </is>
      </c>
      <c r="G28" t="inlineStr">
        <is>
          <t>buy</t>
        </is>
      </c>
    </row>
    <row r="29">
      <c r="A29" t="inlineStr">
        <is>
          <t>31-Mar-2025 (FY2025-26 open)</t>
        </is>
      </c>
      <c r="B29" t="inlineStr">
        <is>
          <t>AIQ</t>
        </is>
      </c>
      <c r="C29" t="n">
        <v>36</v>
      </c>
      <c r="D29" s="2" t="n">
        <v>45638</v>
      </c>
      <c r="E29" t="n">
        <v>1446.7626</v>
      </c>
      <c r="F29" t="inlineStr">
        <is>
          <t>USD</t>
        </is>
      </c>
      <c r="G29" t="inlineStr">
        <is>
          <t>buy</t>
        </is>
      </c>
    </row>
    <row r="30">
      <c r="A30" t="inlineStr">
        <is>
          <t>31-Mar-2025 (FY2025-26 open)</t>
        </is>
      </c>
      <c r="B30" t="inlineStr">
        <is>
          <t>AMD</t>
        </is>
      </c>
      <c r="C30" t="n">
        <v>1.2</v>
      </c>
      <c r="D30" s="2" t="n">
        <v>45687</v>
      </c>
      <c r="E30" t="n">
        <v>142.7341</v>
      </c>
      <c r="F30" t="inlineStr">
        <is>
          <t>USD</t>
        </is>
      </c>
      <c r="G30" t="inlineStr">
        <is>
          <t>buy</t>
        </is>
      </c>
    </row>
    <row r="31">
      <c r="A31" t="inlineStr">
        <is>
          <t>31-Mar-2025 (FY2025-26 open)</t>
        </is>
      </c>
      <c r="B31" t="inlineStr">
        <is>
          <t>AMZN</t>
        </is>
      </c>
      <c r="C31" t="n">
        <v>6</v>
      </c>
      <c r="D31" s="2" t="n">
        <v>45544</v>
      </c>
      <c r="E31" t="n">
        <v>1045.0003</v>
      </c>
      <c r="F31" t="inlineStr">
        <is>
          <t>USD</t>
        </is>
      </c>
      <c r="G31" t="inlineStr">
        <is>
          <t>buy</t>
        </is>
      </c>
    </row>
    <row r="32">
      <c r="A32" t="inlineStr">
        <is>
          <t>31-Mar-2025 (FY2025-26 open)</t>
        </is>
      </c>
      <c r="B32" t="inlineStr">
        <is>
          <t>ASML</t>
        </is>
      </c>
      <c r="C32" t="n">
        <v>6</v>
      </c>
      <c r="D32" s="2" t="n">
        <v>45587</v>
      </c>
      <c r="E32" t="n">
        <v>4328.7104</v>
      </c>
      <c r="F32" t="inlineStr">
        <is>
          <t>USD</t>
        </is>
      </c>
      <c r="G32" t="inlineStr">
        <is>
          <t>buy</t>
        </is>
      </c>
    </row>
    <row r="33">
      <c r="A33" t="inlineStr">
        <is>
          <t>31-Mar-2025 (FY2025-26 open)</t>
        </is>
      </c>
      <c r="B33" t="inlineStr">
        <is>
          <t>AVGO</t>
        </is>
      </c>
      <c r="C33" t="n">
        <v>9</v>
      </c>
      <c r="D33" s="2" t="n">
        <v>45544</v>
      </c>
      <c r="E33" t="n">
        <v>1242.1005</v>
      </c>
      <c r="F33" t="inlineStr">
        <is>
          <t>USD</t>
        </is>
      </c>
      <c r="G33" t="inlineStr">
        <is>
          <t>buy</t>
        </is>
      </c>
    </row>
    <row r="34">
      <c r="A34" t="inlineStr">
        <is>
          <t>31-Mar-2025 (FY2025-26 open)</t>
        </is>
      </c>
      <c r="B34" t="inlineStr">
        <is>
          <t>BTI</t>
        </is>
      </c>
      <c r="C34" t="n">
        <v>33</v>
      </c>
      <c r="D34" s="2" t="n">
        <v>45569</v>
      </c>
      <c r="E34" t="n">
        <v>1162.7674</v>
      </c>
      <c r="F34" t="inlineStr">
        <is>
          <t>USD</t>
        </is>
      </c>
      <c r="G34" t="inlineStr">
        <is>
          <t>buy</t>
        </is>
      </c>
    </row>
    <row r="35">
      <c r="A35" t="inlineStr">
        <is>
          <t>31-Mar-2025 (FY2025-26 open)</t>
        </is>
      </c>
      <c r="B35" t="inlineStr">
        <is>
          <t>BX</t>
        </is>
      </c>
      <c r="C35" t="n">
        <v>12</v>
      </c>
      <c r="D35" s="2" t="n">
        <v>45569</v>
      </c>
      <c r="E35" t="n">
        <v>1808.2609</v>
      </c>
      <c r="F35" t="inlineStr">
        <is>
          <t>USD</t>
        </is>
      </c>
      <c r="G35" t="inlineStr">
        <is>
          <t>buy</t>
        </is>
      </c>
    </row>
    <row r="36">
      <c r="A36" t="inlineStr">
        <is>
          <t>31-Mar-2025 (FY2025-26 open)</t>
        </is>
      </c>
      <c r="B36" t="inlineStr">
        <is>
          <t>CAT</t>
        </is>
      </c>
      <c r="C36" t="n">
        <v>3</v>
      </c>
      <c r="D36" s="2" t="n">
        <v>45544</v>
      </c>
      <c r="E36" t="n">
        <v>1004.5002</v>
      </c>
      <c r="F36" t="inlineStr">
        <is>
          <t>USD</t>
        </is>
      </c>
      <c r="G36" t="inlineStr">
        <is>
          <t>buy</t>
        </is>
      </c>
    </row>
    <row r="37">
      <c r="A37" t="inlineStr">
        <is>
          <t>31-Mar-2025 (FY2025-26 open)</t>
        </is>
      </c>
      <c r="B37" t="inlineStr">
        <is>
          <t>DXJ</t>
        </is>
      </c>
      <c r="C37" t="n">
        <v>6</v>
      </c>
      <c r="D37" s="2" t="n">
        <v>45544</v>
      </c>
      <c r="E37" t="n">
        <v>610.9003</v>
      </c>
      <c r="F37" t="inlineStr">
        <is>
          <t>USD</t>
        </is>
      </c>
      <c r="G37" t="inlineStr">
        <is>
          <t>buy</t>
        </is>
      </c>
    </row>
    <row r="38">
      <c r="A38" t="inlineStr">
        <is>
          <t>31-Mar-2025 (FY2025-26 open)</t>
        </is>
      </c>
      <c r="B38" t="inlineStr">
        <is>
          <t>EMXC</t>
        </is>
      </c>
      <c r="C38" t="n">
        <v>9</v>
      </c>
      <c r="D38" s="2" t="n">
        <v>45544</v>
      </c>
      <c r="E38" t="n">
        <v>532.0005</v>
      </c>
      <c r="F38" t="inlineStr">
        <is>
          <t>USD</t>
        </is>
      </c>
      <c r="G38" t="inlineStr">
        <is>
          <t>buy</t>
        </is>
      </c>
    </row>
    <row r="39">
      <c r="A39" t="inlineStr">
        <is>
          <t>31-Mar-2025 (FY2025-26 open)</t>
        </is>
      </c>
      <c r="B39" t="inlineStr">
        <is>
          <t>GD</t>
        </is>
      </c>
      <c r="C39" t="n">
        <v>6</v>
      </c>
      <c r="D39" s="2" t="n">
        <v>45685</v>
      </c>
      <c r="E39" t="n">
        <v>1590.5203</v>
      </c>
      <c r="F39" t="inlineStr">
        <is>
          <t>USD</t>
        </is>
      </c>
      <c r="G39" t="inlineStr">
        <is>
          <t>buy</t>
        </is>
      </c>
    </row>
    <row r="40">
      <c r="A40" t="inlineStr">
        <is>
          <t>31-Mar-2025 (FY2025-26 open)</t>
        </is>
      </c>
      <c r="B40" t="inlineStr">
        <is>
          <t>GE</t>
        </is>
      </c>
      <c r="C40" t="n">
        <v>3</v>
      </c>
      <c r="D40" s="2" t="n">
        <v>45544</v>
      </c>
      <c r="E40" t="n">
        <v>493.0002</v>
      </c>
      <c r="F40" t="inlineStr">
        <is>
          <t>USD</t>
        </is>
      </c>
      <c r="G40" t="inlineStr">
        <is>
          <t>buy</t>
        </is>
      </c>
    </row>
    <row r="41">
      <c r="A41" t="inlineStr">
        <is>
          <t>31-Mar-2025 (FY2025-26 open)</t>
        </is>
      </c>
      <c r="B41" t="inlineStr">
        <is>
          <t>HYU</t>
        </is>
      </c>
      <c r="C41" t="n">
        <v>24</v>
      </c>
      <c r="D41" s="2" t="n">
        <v>45587</v>
      </c>
      <c r="E41" t="n">
        <v>1375.8</v>
      </c>
      <c r="F41" t="inlineStr">
        <is>
          <t>EUR</t>
        </is>
      </c>
      <c r="G41" t="inlineStr">
        <is>
          <t>buy</t>
        </is>
      </c>
    </row>
    <row r="42">
      <c r="A42" t="inlineStr">
        <is>
          <t>31-Mar-2025 (FY2025-26 open)</t>
        </is>
      </c>
      <c r="B42" t="inlineStr">
        <is>
          <t>IGPT</t>
        </is>
      </c>
      <c r="C42" t="n">
        <v>33</v>
      </c>
      <c r="D42" s="2" t="n">
        <v>45638</v>
      </c>
      <c r="E42" t="n">
        <v>1587.9724</v>
      </c>
      <c r="F42" t="inlineStr">
        <is>
          <t>USD</t>
        </is>
      </c>
      <c r="G42" t="inlineStr">
        <is>
          <t>buy</t>
        </is>
      </c>
    </row>
    <row r="43">
      <c r="A43" t="inlineStr">
        <is>
          <t>31-Mar-2025 (FY2025-26 open)</t>
        </is>
      </c>
      <c r="B43" t="inlineStr">
        <is>
          <t>LLY</t>
        </is>
      </c>
      <c r="C43" t="n">
        <v>6</v>
      </c>
      <c r="D43" s="2" t="n">
        <v>45600</v>
      </c>
      <c r="E43" t="n">
        <v>4837.0003</v>
      </c>
      <c r="F43" t="inlineStr">
        <is>
          <t>USD</t>
        </is>
      </c>
      <c r="G43" t="inlineStr">
        <is>
          <t>buy</t>
        </is>
      </c>
    </row>
    <row r="44">
      <c r="A44" t="inlineStr">
        <is>
          <t>31-Mar-2025 (FY2025-26 open)</t>
        </is>
      </c>
      <c r="B44" t="inlineStr">
        <is>
          <t>LRCX</t>
        </is>
      </c>
      <c r="C44" t="n">
        <v>10</v>
      </c>
      <c r="D44" s="2" t="n">
        <v>45544</v>
      </c>
      <c r="E44" t="n">
        <v>737.2001</v>
      </c>
      <c r="F44" t="inlineStr">
        <is>
          <t>USD</t>
        </is>
      </c>
      <c r="G44" t="inlineStr">
        <is>
          <t>buy</t>
        </is>
      </c>
    </row>
    <row r="45">
      <c r="A45" t="inlineStr">
        <is>
          <t>31-Mar-2025 (FY2025-26 open)</t>
        </is>
      </c>
      <c r="B45" t="inlineStr">
        <is>
          <t>MCHI</t>
        </is>
      </c>
      <c r="C45" t="n">
        <v>27</v>
      </c>
      <c r="D45" s="2" t="n">
        <v>45569</v>
      </c>
      <c r="E45" t="n">
        <v>1527.1769</v>
      </c>
      <c r="F45" t="inlineStr">
        <is>
          <t>USD</t>
        </is>
      </c>
      <c r="G45" t="inlineStr">
        <is>
          <t>buy</t>
        </is>
      </c>
    </row>
    <row r="46">
      <c r="A46" t="inlineStr">
        <is>
          <t>31-Mar-2025 (FY2025-26 open)</t>
        </is>
      </c>
      <c r="B46" t="inlineStr">
        <is>
          <t>MSFT</t>
        </is>
      </c>
      <c r="C46" t="n">
        <v>6</v>
      </c>
      <c r="D46" s="2" t="n">
        <v>45596</v>
      </c>
      <c r="E46" t="n">
        <v>2455.0003</v>
      </c>
      <c r="F46" t="inlineStr">
        <is>
          <t>USD</t>
        </is>
      </c>
      <c r="G46" t="inlineStr">
        <is>
          <t>buy</t>
        </is>
      </c>
    </row>
    <row r="47">
      <c r="A47" t="inlineStr">
        <is>
          <t>31-Mar-2025 (FY2025-26 open)</t>
        </is>
      </c>
      <c r="B47" t="inlineStr">
        <is>
          <t>NFLX</t>
        </is>
      </c>
      <c r="C47" t="n">
        <v>2.4</v>
      </c>
      <c r="D47" s="2" t="n">
        <v>45638</v>
      </c>
      <c r="E47" t="n">
        <v>2226.8242</v>
      </c>
      <c r="F47" t="inlineStr">
        <is>
          <t>USD</t>
        </is>
      </c>
      <c r="G47" t="inlineStr">
        <is>
          <t>buy</t>
        </is>
      </c>
    </row>
    <row r="48">
      <c r="A48" t="inlineStr">
        <is>
          <t>31-Mar-2025 (FY2025-26 open)</t>
        </is>
      </c>
      <c r="B48" t="inlineStr">
        <is>
          <t>NOVd</t>
        </is>
      </c>
      <c r="C48" t="n">
        <v>30</v>
      </c>
      <c r="D48" s="2" t="n">
        <v>45737</v>
      </c>
      <c r="E48" t="n">
        <v>2103</v>
      </c>
      <c r="F48" t="inlineStr">
        <is>
          <t>EUR</t>
        </is>
      </c>
      <c r="G48" t="inlineStr">
        <is>
          <t>buy</t>
        </is>
      </c>
    </row>
    <row r="49">
      <c r="A49" t="inlineStr">
        <is>
          <t>31-Mar-2025 (FY2025-26 open)</t>
        </is>
      </c>
      <c r="B49" t="inlineStr">
        <is>
          <t>NVDA</t>
        </is>
      </c>
      <c r="C49" t="n">
        <v>4.2</v>
      </c>
      <c r="D49" s="2" t="n">
        <v>45687</v>
      </c>
      <c r="E49" t="n">
        <v>504.0742</v>
      </c>
      <c r="F49" t="inlineStr">
        <is>
          <t>USD</t>
        </is>
      </c>
      <c r="G49" t="inlineStr">
        <is>
          <t>buy</t>
        </is>
      </c>
    </row>
    <row r="50">
      <c r="A50" t="inlineStr">
        <is>
          <t>31-Mar-2025 (FY2025-26 open)</t>
        </is>
      </c>
      <c r="B50" t="inlineStr">
        <is>
          <t>R6C0d</t>
        </is>
      </c>
      <c r="C50" t="n">
        <v>42</v>
      </c>
      <c r="D50" s="2" t="n">
        <v>45545</v>
      </c>
      <c r="E50" t="n">
        <v>1279.38</v>
      </c>
      <c r="F50" t="inlineStr">
        <is>
          <t>EUR</t>
        </is>
      </c>
      <c r="G50" t="inlineStr">
        <is>
          <t>buy</t>
        </is>
      </c>
    </row>
    <row r="51">
      <c r="A51" t="inlineStr">
        <is>
          <t>31-Mar-2025 (FY2025-26 open)</t>
        </is>
      </c>
      <c r="B51" t="inlineStr">
        <is>
          <t>RIO</t>
        </is>
      </c>
      <c r="C51" t="n">
        <v>9</v>
      </c>
      <c r="D51" s="2" t="n">
        <v>45544</v>
      </c>
      <c r="E51" t="n">
        <v>541.0005</v>
      </c>
      <c r="F51" t="inlineStr">
        <is>
          <t>USD</t>
        </is>
      </c>
      <c r="G51" t="inlineStr">
        <is>
          <t>buy</t>
        </is>
      </c>
    </row>
    <row r="52">
      <c r="A52" t="inlineStr">
        <is>
          <t>31-Mar-2025 (FY2025-26 open)</t>
        </is>
      </c>
      <c r="B52" t="inlineStr">
        <is>
          <t>SAUS</t>
        </is>
      </c>
      <c r="C52" t="n">
        <v>6</v>
      </c>
      <c r="D52" s="2" t="n">
        <v>45544</v>
      </c>
      <c r="E52" t="n">
        <v>286.7052</v>
      </c>
      <c r="F52" t="inlineStr">
        <is>
          <t>EUR</t>
        </is>
      </c>
      <c r="G52" t="inlineStr">
        <is>
          <t>buy</t>
        </is>
      </c>
    </row>
    <row r="53">
      <c r="A53" t="inlineStr">
        <is>
          <t>31-Mar-2025 (FY2025-26 open)</t>
        </is>
      </c>
      <c r="B53" t="inlineStr">
        <is>
          <t>TGT</t>
        </is>
      </c>
      <c r="C53" t="n">
        <v>6</v>
      </c>
      <c r="D53" s="2" t="n">
        <v>45544</v>
      </c>
      <c r="E53" t="n">
        <v>916.0003</v>
      </c>
      <c r="F53" t="inlineStr">
        <is>
          <t>USD</t>
        </is>
      </c>
      <c r="G53" t="inlineStr">
        <is>
          <t>buy</t>
        </is>
      </c>
    </row>
    <row r="54">
      <c r="A54" t="inlineStr">
        <is>
          <t>31-Mar-2025 (FY2025-26 open)</t>
        </is>
      </c>
      <c r="B54" t="inlineStr">
        <is>
          <t>TIP</t>
        </is>
      </c>
      <c r="C54" t="n">
        <v>60</v>
      </c>
      <c r="D54" s="2" t="n">
        <v>45569</v>
      </c>
      <c r="E54" t="n">
        <v>6571.3043</v>
      </c>
      <c r="F54" t="inlineStr">
        <is>
          <t>USD</t>
        </is>
      </c>
      <c r="G54" t="inlineStr">
        <is>
          <t>buy</t>
        </is>
      </c>
    </row>
    <row r="55">
      <c r="A55" t="inlineStr">
        <is>
          <t>31-Mar-2025 (FY2025-26 open)</t>
        </is>
      </c>
      <c r="B55" t="inlineStr">
        <is>
          <t>TSM</t>
        </is>
      </c>
      <c r="C55" t="n">
        <v>6</v>
      </c>
      <c r="D55" s="2" t="n">
        <v>45544</v>
      </c>
      <c r="E55" t="n">
        <v>968.8003</v>
      </c>
      <c r="F55" t="inlineStr">
        <is>
          <t>USD</t>
        </is>
      </c>
      <c r="G55" t="inlineStr">
        <is>
          <t>buy</t>
        </is>
      </c>
    </row>
    <row r="56">
      <c r="A56" t="inlineStr">
        <is>
          <t>31-Mar-2025 (FY2025-26 open)</t>
        </is>
      </c>
      <c r="B56" t="inlineStr">
        <is>
          <t>VKTX</t>
        </is>
      </c>
      <c r="C56" t="n">
        <v>33</v>
      </c>
      <c r="D56" s="2" t="n">
        <v>45685</v>
      </c>
      <c r="E56" t="n">
        <v>1114.4215</v>
      </c>
      <c r="F56" t="inlineStr">
        <is>
          <t>USD</t>
        </is>
      </c>
      <c r="G56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1810</t>
        </is>
      </c>
      <c r="B2" t="n">
        <v>-24754</v>
      </c>
      <c r="C2" t="n">
        <v>0</v>
      </c>
      <c r="D2" t="n">
        <v>-24754</v>
      </c>
      <c r="E2" t="n">
        <v>1033.06</v>
      </c>
      <c r="F2" t="n">
        <v>1323.36</v>
      </c>
    </row>
    <row r="3">
      <c r="A3" t="inlineStr">
        <is>
          <t>3069</t>
        </is>
      </c>
      <c r="B3" t="n">
        <v>-11927</v>
      </c>
      <c r="C3" t="n">
        <v>0</v>
      </c>
      <c r="D3" t="n">
        <v>-11927</v>
      </c>
      <c r="E3" t="n">
        <v>943.76</v>
      </c>
      <c r="F3" t="n">
        <v>1098.62</v>
      </c>
    </row>
    <row r="4">
      <c r="A4" t="inlineStr">
        <is>
          <t>3416</t>
        </is>
      </c>
      <c r="B4" t="n">
        <v>-5042</v>
      </c>
      <c r="C4" t="n">
        <v>0</v>
      </c>
      <c r="D4" t="n">
        <v>-5042</v>
      </c>
      <c r="E4" t="n">
        <v>625.75</v>
      </c>
      <c r="F4" t="n">
        <v>689.24</v>
      </c>
    </row>
    <row r="5">
      <c r="A5" t="inlineStr">
        <is>
          <t>3690</t>
        </is>
      </c>
      <c r="B5" t="n">
        <v>-37169</v>
      </c>
      <c r="C5" t="n">
        <v>0</v>
      </c>
      <c r="D5" t="n">
        <v>-37169</v>
      </c>
      <c r="E5" t="n">
        <v>976.52</v>
      </c>
      <c r="F5" t="n">
        <v>1377.32</v>
      </c>
    </row>
    <row r="6">
      <c r="A6" t="inlineStr">
        <is>
          <t>4568.T</t>
        </is>
      </c>
      <c r="B6" t="n">
        <v>-62984</v>
      </c>
      <c r="C6" t="n">
        <v>0</v>
      </c>
      <c r="D6" t="n">
        <v>-62984</v>
      </c>
      <c r="E6" t="n">
        <v>1813.33</v>
      </c>
      <c r="F6" t="n">
        <v>2376.26</v>
      </c>
    </row>
    <row r="7">
      <c r="A7" t="inlineStr">
        <is>
          <t>9984.T</t>
        </is>
      </c>
      <c r="B7" t="n">
        <v>-79014</v>
      </c>
      <c r="C7" t="n">
        <v>0</v>
      </c>
      <c r="D7" t="n">
        <v>-79014</v>
      </c>
      <c r="E7" t="n">
        <v>2414.58</v>
      </c>
      <c r="F7" t="n">
        <v>3020.79</v>
      </c>
    </row>
    <row r="8">
      <c r="A8" t="inlineStr">
        <is>
          <t>AIRd</t>
        </is>
      </c>
      <c r="B8" t="n">
        <v>51913</v>
      </c>
      <c r="C8" t="n">
        <v>0</v>
      </c>
      <c r="D8" t="n">
        <v>51913</v>
      </c>
      <c r="E8" t="n">
        <v>2119.92</v>
      </c>
      <c r="F8" t="n">
        <v>1615.78</v>
      </c>
    </row>
    <row r="9">
      <c r="A9" t="inlineStr">
        <is>
          <t>AMD</t>
        </is>
      </c>
      <c r="B9" t="n">
        <v>4318</v>
      </c>
      <c r="C9" t="n">
        <v>0</v>
      </c>
      <c r="D9" t="n">
        <v>4318</v>
      </c>
      <c r="E9" t="n">
        <v>194.64</v>
      </c>
      <c r="F9" t="n">
        <v>142.73</v>
      </c>
    </row>
    <row r="10">
      <c r="A10" t="inlineStr">
        <is>
          <t>AMZN</t>
        </is>
      </c>
      <c r="B10" t="n">
        <v>31127</v>
      </c>
      <c r="C10" t="n">
        <v>0</v>
      </c>
      <c r="D10" t="n">
        <v>31127</v>
      </c>
      <c r="E10" t="n">
        <v>1392.12</v>
      </c>
      <c r="F10" t="n">
        <v>1045</v>
      </c>
    </row>
    <row r="11">
      <c r="A11" t="inlineStr">
        <is>
          <t>ASML</t>
        </is>
      </c>
      <c r="B11" t="n">
        <v>8543</v>
      </c>
      <c r="C11" t="n">
        <v>0</v>
      </c>
      <c r="D11" t="n">
        <v>8543</v>
      </c>
      <c r="E11" t="n">
        <v>4338.54</v>
      </c>
      <c r="F11" t="n">
        <v>4328.71</v>
      </c>
    </row>
    <row r="12">
      <c r="A12" t="inlineStr">
        <is>
          <t>AVGO</t>
        </is>
      </c>
      <c r="B12" t="n">
        <v>117514</v>
      </c>
      <c r="C12" t="n">
        <v>0</v>
      </c>
      <c r="D12" t="n">
        <v>117514</v>
      </c>
      <c r="E12" t="n">
        <v>2600.64</v>
      </c>
      <c r="F12" t="n">
        <v>1242.1</v>
      </c>
    </row>
    <row r="13">
      <c r="A13" t="inlineStr">
        <is>
          <t>BAC</t>
        </is>
      </c>
      <c r="B13" t="n">
        <v>70904</v>
      </c>
      <c r="C13" t="n">
        <v>0</v>
      </c>
      <c r="D13" t="n">
        <v>70904</v>
      </c>
      <c r="E13" t="n">
        <v>2930.1</v>
      </c>
      <c r="F13" t="n">
        <v>2095.9</v>
      </c>
    </row>
    <row r="14">
      <c r="A14" t="inlineStr">
        <is>
          <t>BTI</t>
        </is>
      </c>
      <c r="B14" t="n">
        <v>50815</v>
      </c>
      <c r="C14" t="n">
        <v>0</v>
      </c>
      <c r="D14" t="n">
        <v>50815</v>
      </c>
      <c r="E14" t="n">
        <v>1736.3</v>
      </c>
      <c r="F14" t="n">
        <v>1162.77</v>
      </c>
    </row>
    <row r="15">
      <c r="A15" t="inlineStr">
        <is>
          <t>BX</t>
        </is>
      </c>
      <c r="B15" t="n">
        <v>34263</v>
      </c>
      <c r="C15" t="n">
        <v>0</v>
      </c>
      <c r="D15" t="n">
        <v>34263</v>
      </c>
      <c r="E15" t="n">
        <v>2154.36</v>
      </c>
      <c r="F15" t="n">
        <v>1788.57</v>
      </c>
    </row>
    <row r="16">
      <c r="A16" t="inlineStr">
        <is>
          <t>BYDDY</t>
        </is>
      </c>
      <c r="B16" t="n">
        <v>57588</v>
      </c>
      <c r="C16" t="n">
        <v>0</v>
      </c>
      <c r="D16" t="n">
        <v>57588</v>
      </c>
      <c r="E16" t="n">
        <v>4199.58</v>
      </c>
      <c r="F16" t="n">
        <v>3521.86</v>
      </c>
    </row>
    <row r="17">
      <c r="A17" t="inlineStr">
        <is>
          <t>CAT</t>
        </is>
      </c>
      <c r="B17" t="n">
        <v>102511</v>
      </c>
      <c r="C17" t="n">
        <v>0</v>
      </c>
      <c r="D17" t="n">
        <v>102511</v>
      </c>
      <c r="E17" t="n">
        <v>3856.14</v>
      </c>
      <c r="F17" t="n">
        <v>2667.26</v>
      </c>
    </row>
    <row r="18">
      <c r="A18" t="inlineStr">
        <is>
          <t>CLPT</t>
        </is>
      </c>
      <c r="B18" t="n">
        <v>-64103</v>
      </c>
      <c r="C18" t="n">
        <v>0</v>
      </c>
      <c r="D18" t="n">
        <v>-64103</v>
      </c>
      <c r="E18" t="n">
        <v>425.04</v>
      </c>
      <c r="F18" t="n">
        <v>1160.2</v>
      </c>
    </row>
    <row r="19">
      <c r="A19" t="inlineStr">
        <is>
          <t>CPNG</t>
        </is>
      </c>
      <c r="B19" t="n">
        <v>-36559</v>
      </c>
      <c r="C19" t="n">
        <v>0</v>
      </c>
      <c r="D19" t="n">
        <v>-36559</v>
      </c>
      <c r="E19" t="n">
        <v>953.5</v>
      </c>
      <c r="F19" t="n">
        <v>1409.25</v>
      </c>
    </row>
    <row r="20">
      <c r="A20" t="inlineStr">
        <is>
          <t>CRCL</t>
        </is>
      </c>
      <c r="B20" t="n">
        <v>-223568</v>
      </c>
      <c r="C20" t="n">
        <v>0</v>
      </c>
      <c r="D20" t="n">
        <v>-223568</v>
      </c>
      <c r="E20" t="n">
        <v>6992.41</v>
      </c>
      <c r="F20" t="n">
        <v>9612.389999999999</v>
      </c>
    </row>
    <row r="21">
      <c r="A21" t="inlineStr">
        <is>
          <t>DUOL</t>
        </is>
      </c>
      <c r="B21" t="n">
        <v>-100182</v>
      </c>
      <c r="C21" t="n">
        <v>0</v>
      </c>
      <c r="D21" t="n">
        <v>-100182</v>
      </c>
      <c r="E21" t="n">
        <v>908.1</v>
      </c>
      <c r="F21" t="n">
        <v>2066.04</v>
      </c>
    </row>
    <row r="22">
      <c r="A22" t="inlineStr">
        <is>
          <t>DXJ</t>
        </is>
      </c>
      <c r="B22" t="n">
        <v>10781</v>
      </c>
      <c r="C22" t="n">
        <v>0</v>
      </c>
      <c r="D22" t="n">
        <v>10781</v>
      </c>
      <c r="E22" t="n">
        <v>726.12</v>
      </c>
      <c r="F22" t="n">
        <v>609.9</v>
      </c>
    </row>
    <row r="23">
      <c r="A23" t="inlineStr">
        <is>
          <t>EMXC</t>
        </is>
      </c>
      <c r="B23" t="n">
        <v>4568</v>
      </c>
      <c r="C23" t="n">
        <v>0</v>
      </c>
      <c r="D23" t="n">
        <v>4568</v>
      </c>
      <c r="E23" t="n">
        <v>576.67</v>
      </c>
      <c r="F23" t="n">
        <v>532</v>
      </c>
    </row>
    <row r="24">
      <c r="A24" t="inlineStr">
        <is>
          <t>GD</t>
        </is>
      </c>
      <c r="B24" t="n">
        <v>25954</v>
      </c>
      <c r="C24" t="n">
        <v>0</v>
      </c>
      <c r="D24" t="n">
        <v>25954</v>
      </c>
      <c r="E24" t="n">
        <v>1898.37</v>
      </c>
      <c r="F24" t="n">
        <v>1590.52</v>
      </c>
    </row>
    <row r="25">
      <c r="A25" t="inlineStr">
        <is>
          <t>GE</t>
        </is>
      </c>
      <c r="B25" t="n">
        <v>27449</v>
      </c>
      <c r="C25" t="n">
        <v>0</v>
      </c>
      <c r="D25" t="n">
        <v>27449</v>
      </c>
      <c r="E25" t="n">
        <v>807.28</v>
      </c>
      <c r="F25" t="n">
        <v>493</v>
      </c>
    </row>
    <row r="26">
      <c r="A26" t="inlineStr">
        <is>
          <t>HYU</t>
        </is>
      </c>
      <c r="B26" t="n">
        <v>2410</v>
      </c>
      <c r="C26" t="n">
        <v>0</v>
      </c>
      <c r="D26" t="n">
        <v>2410</v>
      </c>
      <c r="E26" t="n">
        <v>1339.02</v>
      </c>
      <c r="F26" t="n">
        <v>1339.02</v>
      </c>
    </row>
    <row r="27">
      <c r="A27" t="inlineStr">
        <is>
          <t>IGPT</t>
        </is>
      </c>
      <c r="B27" t="n">
        <v>7951</v>
      </c>
      <c r="C27" t="n">
        <v>0</v>
      </c>
      <c r="D27" t="n">
        <v>7951</v>
      </c>
      <c r="E27" t="n">
        <v>1664.68</v>
      </c>
      <c r="F27" t="n">
        <v>1587.97</v>
      </c>
    </row>
    <row r="28">
      <c r="A28" t="inlineStr">
        <is>
          <t>INTC</t>
        </is>
      </c>
      <c r="B28" t="n">
        <v>62760</v>
      </c>
      <c r="C28" t="n">
        <v>0</v>
      </c>
      <c r="D28" t="n">
        <v>62760</v>
      </c>
      <c r="E28" t="n">
        <v>1350</v>
      </c>
      <c r="F28" t="n">
        <v>693.87</v>
      </c>
    </row>
    <row r="29">
      <c r="A29" t="inlineStr">
        <is>
          <t>LLY</t>
        </is>
      </c>
      <c r="B29" t="n">
        <v>7709</v>
      </c>
      <c r="C29" t="n">
        <v>0</v>
      </c>
      <c r="D29" t="n">
        <v>7709</v>
      </c>
      <c r="E29" t="n">
        <v>4847.88</v>
      </c>
      <c r="F29" t="n">
        <v>4837</v>
      </c>
    </row>
    <row r="30">
      <c r="A30" t="inlineStr">
        <is>
          <t>LRCX</t>
        </is>
      </c>
      <c r="B30" t="n">
        <v>21707</v>
      </c>
      <c r="C30" t="n">
        <v>0</v>
      </c>
      <c r="D30" t="n">
        <v>21707</v>
      </c>
      <c r="E30" t="n">
        <v>979.42</v>
      </c>
      <c r="F30" t="n">
        <v>737.2</v>
      </c>
    </row>
    <row r="31">
      <c r="A31" t="inlineStr">
        <is>
          <t>MCHI</t>
        </is>
      </c>
      <c r="B31" t="n">
        <v>8782</v>
      </c>
      <c r="C31" t="n">
        <v>0</v>
      </c>
      <c r="D31" t="n">
        <v>8782</v>
      </c>
      <c r="E31" t="n">
        <v>1599.08</v>
      </c>
      <c r="F31" t="n">
        <v>1527.18</v>
      </c>
    </row>
    <row r="32">
      <c r="A32" t="inlineStr">
        <is>
          <t>MSFT</t>
        </is>
      </c>
      <c r="B32" t="n">
        <v>57223</v>
      </c>
      <c r="C32" t="n">
        <v>0</v>
      </c>
      <c r="D32" t="n">
        <v>57223</v>
      </c>
      <c r="E32" t="n">
        <v>3076.5</v>
      </c>
      <c r="F32" t="n">
        <v>2455</v>
      </c>
    </row>
    <row r="33">
      <c r="A33" t="inlineStr">
        <is>
          <t>NFLX</t>
        </is>
      </c>
      <c r="B33" t="n">
        <v>36216</v>
      </c>
      <c r="C33" t="n">
        <v>0</v>
      </c>
      <c r="D33" t="n">
        <v>36216</v>
      </c>
      <c r="E33" t="n">
        <v>3772.76</v>
      </c>
      <c r="F33" t="n">
        <v>3388.18</v>
      </c>
    </row>
    <row r="34">
      <c r="A34" t="inlineStr">
        <is>
          <t>NOVd</t>
        </is>
      </c>
      <c r="B34" t="n">
        <v>-133380</v>
      </c>
      <c r="C34" t="n">
        <v>0</v>
      </c>
      <c r="D34" t="n">
        <v>-133380</v>
      </c>
      <c r="E34" t="n">
        <v>3707.59</v>
      </c>
      <c r="F34" t="n">
        <v>5558.5</v>
      </c>
    </row>
    <row r="35">
      <c r="A35" t="inlineStr">
        <is>
          <t>NVDA</t>
        </is>
      </c>
      <c r="B35" t="n">
        <v>99889</v>
      </c>
      <c r="C35" t="n">
        <v>0</v>
      </c>
      <c r="D35" t="n">
        <v>99889</v>
      </c>
      <c r="E35" t="n">
        <v>2811.59</v>
      </c>
      <c r="F35" t="n">
        <v>1636.31</v>
      </c>
    </row>
    <row r="36">
      <c r="A36" t="inlineStr">
        <is>
          <t>ORCL</t>
        </is>
      </c>
      <c r="B36" t="n">
        <v>-50070</v>
      </c>
      <c r="C36" t="n">
        <v>0</v>
      </c>
      <c r="D36" t="n">
        <v>-50070</v>
      </c>
      <c r="E36" t="n">
        <v>980</v>
      </c>
      <c r="F36" t="n">
        <v>1555.5</v>
      </c>
    </row>
    <row r="37">
      <c r="A37" t="inlineStr">
        <is>
          <t>R6C0d</t>
        </is>
      </c>
      <c r="B37" t="n">
        <v>9756</v>
      </c>
      <c r="C37" t="n">
        <v>0</v>
      </c>
      <c r="D37" t="n">
        <v>9756</v>
      </c>
      <c r="E37" t="n">
        <v>1512.26</v>
      </c>
      <c r="F37" t="n">
        <v>1502.76</v>
      </c>
    </row>
    <row r="38">
      <c r="A38" t="inlineStr">
        <is>
          <t>RBRK</t>
        </is>
      </c>
      <c r="B38" t="n">
        <v>-39033</v>
      </c>
      <c r="C38" t="n">
        <v>0</v>
      </c>
      <c r="D38" t="n">
        <v>-39033</v>
      </c>
      <c r="E38" t="n">
        <v>975.12</v>
      </c>
      <c r="F38" t="n">
        <v>1460.11</v>
      </c>
    </row>
    <row r="39">
      <c r="A39" t="inlineStr">
        <is>
          <t>RIO</t>
        </is>
      </c>
      <c r="B39" t="n">
        <v>3655</v>
      </c>
      <c r="C39" t="n">
        <v>0</v>
      </c>
      <c r="D39" t="n">
        <v>3655</v>
      </c>
      <c r="E39" t="n">
        <v>574.78</v>
      </c>
      <c r="F39" t="n">
        <v>541</v>
      </c>
    </row>
    <row r="40">
      <c r="A40" t="inlineStr">
        <is>
          <t>RTX</t>
        </is>
      </c>
      <c r="B40" t="n">
        <v>102843</v>
      </c>
      <c r="C40" t="n">
        <v>0</v>
      </c>
      <c r="D40" t="n">
        <v>102843</v>
      </c>
      <c r="E40" t="n">
        <v>4676.7</v>
      </c>
      <c r="F40" t="n">
        <v>3467.2</v>
      </c>
    </row>
    <row r="41">
      <c r="A41" t="inlineStr">
        <is>
          <t>SIEd</t>
        </is>
      </c>
      <c r="B41" t="n">
        <v>119874</v>
      </c>
      <c r="C41" t="n">
        <v>0</v>
      </c>
      <c r="D41" t="n">
        <v>119874</v>
      </c>
      <c r="E41" t="n">
        <v>5311.54</v>
      </c>
      <c r="F41" t="n">
        <v>4183.69</v>
      </c>
    </row>
    <row r="42">
      <c r="A42" t="inlineStr">
        <is>
          <t>SNOW</t>
        </is>
      </c>
      <c r="B42" t="n">
        <v>-6403</v>
      </c>
      <c r="C42" t="n">
        <v>0</v>
      </c>
      <c r="D42" t="n">
        <v>-6403</v>
      </c>
      <c r="E42" t="n">
        <v>1421.2</v>
      </c>
      <c r="F42" t="n">
        <v>1549.24</v>
      </c>
    </row>
    <row r="43">
      <c r="A43" t="inlineStr">
        <is>
          <t>TGT</t>
        </is>
      </c>
      <c r="B43" t="n">
        <v>32092</v>
      </c>
      <c r="C43" t="n">
        <v>0</v>
      </c>
      <c r="D43" t="n">
        <v>32092</v>
      </c>
      <c r="E43" t="n">
        <v>2948.4</v>
      </c>
      <c r="F43" t="n">
        <v>2798.9</v>
      </c>
    </row>
    <row r="44">
      <c r="A44" t="inlineStr">
        <is>
          <t>TSLA</t>
        </is>
      </c>
      <c r="B44" t="n">
        <v>-14731</v>
      </c>
      <c r="C44" t="n">
        <v>0</v>
      </c>
      <c r="D44" t="n">
        <v>-14731</v>
      </c>
      <c r="E44" t="n">
        <v>1997.5</v>
      </c>
      <c r="F44" t="n">
        <v>2185.47</v>
      </c>
    </row>
    <row r="45">
      <c r="A45" t="inlineStr">
        <is>
          <t>TSM</t>
        </is>
      </c>
      <c r="B45" t="n">
        <v>42090</v>
      </c>
      <c r="C45" t="n">
        <v>0</v>
      </c>
      <c r="D45" t="n">
        <v>42090</v>
      </c>
      <c r="E45" t="n">
        <v>1446.18</v>
      </c>
      <c r="F45" t="n">
        <v>968.8</v>
      </c>
    </row>
    <row r="46">
      <c r="A46" t="inlineStr">
        <is>
          <t>VKTX</t>
        </is>
      </c>
      <c r="B46" t="n">
        <v>490</v>
      </c>
      <c r="C46" t="n">
        <v>0</v>
      </c>
      <c r="D46" t="n">
        <v>490</v>
      </c>
      <c r="E46" t="n">
        <v>1122.49</v>
      </c>
      <c r="F46" t="n">
        <v>1114.42</v>
      </c>
    </row>
    <row r="47">
      <c r="A47" t="inlineStr">
        <is>
          <t>WCBR</t>
        </is>
      </c>
      <c r="B47" t="n">
        <v>-21356</v>
      </c>
      <c r="C47" t="n">
        <v>0</v>
      </c>
      <c r="D47" t="n">
        <v>-21356</v>
      </c>
      <c r="E47" t="n">
        <v>1857.22</v>
      </c>
      <c r="F47" t="n">
        <v>2210.31</v>
      </c>
    </row>
    <row r="48"/>
    <row r="49">
      <c r="A49" t="inlineStr">
        <is>
          <t>Note</t>
        </is>
      </c>
      <c r="B49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Ray G Stephanos</t>
        </is>
      </c>
    </row>
    <row r="2">
      <c r="A2" t="inlineStr">
        <is>
          <t>Assessee</t>
        </is>
      </c>
      <c r="B2" t="inlineStr">
        <is>
          <t>Ray G Stephanos</t>
        </is>
      </c>
    </row>
    <row r="3">
      <c r="A3" t="inlineStr">
        <is>
          <t>Account</t>
        </is>
      </c>
      <c r="B3" t="inlineStr">
        <is>
          <t>U15124027 — Interactive Brokers LLC (Advisor Client; Advisor: Financial Hospital Advisory LLP)</t>
        </is>
      </c>
    </row>
    <row r="4">
      <c r="A4" t="inlineStr">
        <is>
          <t>Customer type</t>
        </is>
      </c>
      <c r="B4" t="inlineStr">
        <is>
          <t>Individual</t>
        </is>
      </c>
    </row>
    <row r="5">
      <c r="A5" t="inlineStr">
        <is>
          <t>Base currency</t>
        </is>
      </c>
      <c r="B5" t="inlineStr">
        <is>
          <t>USD</t>
        </is>
      </c>
    </row>
    <row r="6">
      <c r="A6" t="inlineStr">
        <is>
          <t>Account funded</t>
        </is>
      </c>
      <c r="B6" t="inlineStr">
        <is>
          <t>First deposit 2024-09-06 (inception statement)</t>
        </is>
      </c>
    </row>
    <row r="7">
      <c r="A7" t="inlineStr">
        <is>
          <t>Schedule FA period</t>
        </is>
      </c>
      <c r="B7" t="inlineStr">
        <is>
          <t>Calendar Year 2025 (01-Jan-2025 to 31-Dec-2025) — for ITR AY 2026-27</t>
        </is>
      </c>
    </row>
    <row r="8">
      <c r="A8" t="inlineStr">
        <is>
          <t>Income / CG period</t>
        </is>
      </c>
      <c r="B8" t="inlineStr">
        <is>
          <t>FY 2025-26 (01-Apr-2025 to 31-Mar-2026); also FY 2024-25 sheet for prior year</t>
        </is>
      </c>
    </row>
    <row r="9">
      <c r="A9" t="inlineStr">
        <is>
          <t>Source data</t>
        </is>
      </c>
      <c r="B9" t="inlineStr">
        <is>
          <t>IBKR Activity Statements: Inception FY2024-25 + Annual CY2025 + Fiscal FY2025-26</t>
        </is>
      </c>
    </row>
    <row r="10">
      <c r="A10" t="inlineStr">
        <is>
          <t>FIFO method</t>
        </is>
      </c>
      <c r="B10" t="inlineStr">
        <is>
          <t>Actual buy dates &amp; IBKR Basis from inception replay; splits (LRCX 10:1, NFLX 10:1) applied</t>
        </is>
      </c>
    </row>
    <row r="11">
      <c r="A11" t="inlineStr">
        <is>
          <t>Starting NAV CY2025</t>
        </is>
      </c>
      <c r="B11" t="inlineStr">
        <is>
          <t>USD 58,595.36</t>
        </is>
      </c>
    </row>
    <row r="12">
      <c r="A12" t="inlineStr">
        <is>
          <t>Ending NAV CY2025</t>
        </is>
      </c>
      <c r="B12" t="inlineStr">
        <is>
          <t>USD 88,426.07</t>
        </is>
      </c>
    </row>
    <row r="13">
      <c r="A13" t="inlineStr">
        <is>
          <t>Deposits CY2025</t>
        </is>
      </c>
      <c r="B13" t="inlineStr">
        <is>
          <t>USD 20,150.00</t>
        </is>
      </c>
    </row>
    <row r="14">
      <c r="A14" t="inlineStr">
        <is>
          <t>Deposits since inception (to 31-Mar-2025)</t>
        </is>
      </c>
      <c r="B14" t="inlineStr">
        <is>
          <t>USD 69,730.01</t>
        </is>
      </c>
    </row>
    <row r="15">
      <c r="A15" t="inlineStr">
        <is>
          <t>Dividends CY2025</t>
        </is>
      </c>
      <c r="B15" t="inlineStr">
        <is>
          <t>USD 1,157.41 / INR 100,191 (Rule 115)</t>
        </is>
      </c>
    </row>
    <row r="16">
      <c r="A16" t="inlineStr">
        <is>
          <t>Interest CY2025</t>
        </is>
      </c>
      <c r="B16" t="inlineStr">
        <is>
          <t>USD 167.80 / INR 14,620 (Rule 115)</t>
        </is>
      </c>
    </row>
    <row r="17">
      <c r="A17" t="inlineStr">
        <is>
          <t>Dividends FY2025-26</t>
        </is>
      </c>
      <c r="B17" t="inlineStr">
        <is>
          <t>USD 1,211.95 / INR 105,546</t>
        </is>
      </c>
    </row>
    <row r="18">
      <c r="A18" t="inlineStr">
        <is>
          <t>Interest FY2025-26</t>
        </is>
      </c>
      <c r="B18" t="inlineStr">
        <is>
          <t>USD 165.81 / INR 14,519</t>
        </is>
      </c>
    </row>
    <row r="19">
      <c r="A19" t="inlineStr">
        <is>
          <t>STCG FY2025-26 (INR)</t>
        </is>
      </c>
      <c r="B19" t="inlineStr">
        <is>
          <t>303,420</t>
        </is>
      </c>
    </row>
    <row r="20">
      <c r="A20" t="inlineStr">
        <is>
          <t>LTCG FY2025-26 (INR)</t>
        </is>
      </c>
      <c r="B20" t="inlineStr">
        <is>
          <t>0</t>
        </is>
      </c>
    </row>
    <row r="21">
      <c r="A21" t="inlineStr">
        <is>
          <t>STCG FY2024-25 (INR)</t>
        </is>
      </c>
      <c r="B21" t="inlineStr">
        <is>
          <t>-138,990</t>
        </is>
      </c>
    </row>
    <row r="22">
      <c r="A22" t="inlineStr">
        <is>
          <t>LTCG FY2024-25 (INR)</t>
        </is>
      </c>
      <c r="B22" t="inlineStr">
        <is>
          <t>0</t>
        </is>
      </c>
    </row>
    <row r="23">
      <c r="A23" t="inlineStr">
        <is>
          <t>A1 Foreign Bank/Depository</t>
        </is>
      </c>
      <c r="B23" t="inlineStr">
        <is>
          <t>Generally N/A separately — multi-currency cash sits inside IBKR custodial account (A2)</t>
        </is>
      </c>
    </row>
    <row r="24">
      <c r="A24" t="inlineStr">
        <is>
          <t>A2 Custodial Account</t>
        </is>
      </c>
      <c r="B24" t="inlineStr">
        <is>
          <t>Applicable — see sheet; opening date 06-Sep-2024 (first funding)</t>
        </is>
      </c>
    </row>
    <row r="25">
      <c r="A25" t="inlineStr">
        <is>
          <t>A3 Equity &amp; Debt Interest</t>
        </is>
      </c>
      <c r="B25" t="inlineStr">
        <is>
          <t>Applicable — 69 securities lines (held at any time in CY2025)</t>
        </is>
      </c>
    </row>
    <row r="26">
      <c r="A26" t="inlineStr">
        <is>
          <t>ADR country practice</t>
        </is>
      </c>
      <c r="B26" t="inlineStr">
        <is>
          <t>Underlying issuer country used for ADRs/GDRs (ASML NL, BTI UK, TSM TW, BYDDY CN, HYU KR, RIO UK)</t>
        </is>
      </c>
    </row>
    <row r="27">
      <c r="A27" t="inlineStr">
        <is>
          <t>CPNG</t>
        </is>
      </c>
      <c r="B27" t="inlineStr">
        <is>
          <t>USA (Delaware corporation, NYSE) despite Korea operations</t>
        </is>
      </c>
    </row>
    <row r="28">
      <c r="A28" t="inlineStr">
        <is>
          <t>NFLX split</t>
        </is>
      </c>
      <c r="B28" t="inlineStr">
        <is>
          <t>10-for-1 split on 14/17-Nov-2025 reflected in FIFO</t>
        </is>
      </c>
    </row>
    <row r="29">
      <c r="A29" t="inlineStr">
        <is>
          <t>LRCX split</t>
        </is>
      </c>
      <c r="B29" t="inlineStr">
        <is>
          <t>10-for-1 split on 02/03-Oct-2024 reflected in FIFO (bought 1 pre-split → 10)</t>
        </is>
      </c>
    </row>
    <row r="30">
      <c r="A30" t="inlineStr">
        <is>
          <t>HYU</t>
        </is>
      </c>
      <c r="B30" t="inlineStr">
        <is>
          <t>Cash merger acquisition Jul-2025 — sale proceeds USD 1,339.02 reported as redemption proceeds</t>
        </is>
      </c>
    </row>
    <row r="31">
      <c r="A31" t="inlineStr">
        <is>
          <t>Action required</t>
        </is>
      </c>
      <c r="B31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2026-08-18T11:10:04Z</dcterms:created>
  <dcterms:modified xsi:type="dcterms:W3CDTF">2026-08-18T11:10:04Z</dcterms:modified>
</cp:coreProperties>
</file>