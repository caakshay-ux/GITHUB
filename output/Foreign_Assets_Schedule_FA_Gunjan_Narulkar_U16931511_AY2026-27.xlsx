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Cayman Islands</t>
        </is>
      </c>
      <c r="B5" t="n">
        <v>40</v>
      </c>
      <c r="C5" t="inlineStr">
        <is>
          <t>1810</t>
        </is>
      </c>
      <c r="D5" t="inlineStr">
        <is>
          <t>Xiaomi Corporation, Cayman Islands / Beijing ops</t>
        </is>
      </c>
      <c r="E5" t="inlineStr"/>
      <c r="F5" t="inlineStr">
        <is>
          <t>Listed Foreign Equity Share (Company)</t>
        </is>
      </c>
      <c r="G5" t="inlineStr">
        <is>
          <t>2025-05-28</t>
        </is>
      </c>
      <c r="H5" t="n">
        <v>112196</v>
      </c>
      <c r="I5" t="n">
        <v>119148</v>
      </c>
      <c r="J5" t="n">
        <v>0</v>
      </c>
      <c r="K5" t="n">
        <v>0</v>
      </c>
      <c r="L5" t="n">
        <v>91891</v>
      </c>
    </row>
    <row r="6">
      <c r="A6" t="inlineStr">
        <is>
          <t>Cayman Islands</t>
        </is>
      </c>
      <c r="B6" t="n">
        <v>40</v>
      </c>
      <c r="C6" t="inlineStr">
        <is>
          <t>1810</t>
        </is>
      </c>
      <c r="D6" t="inlineStr">
        <is>
          <t>Xiaomi Corporation, Cayman Islands / Beijing ops</t>
        </is>
      </c>
      <c r="E6" t="inlineStr"/>
      <c r="F6" t="inlineStr">
        <is>
          <t>Listed Foreign Equity Share (Company)</t>
        </is>
      </c>
      <c r="G6" t="inlineStr">
        <is>
          <t>2025-08-19</t>
        </is>
      </c>
      <c r="H6" t="n">
        <v>116058</v>
      </c>
      <c r="I6" t="n">
        <v>119148</v>
      </c>
      <c r="J6" t="n">
        <v>0</v>
      </c>
      <c r="K6" t="n">
        <v>0</v>
      </c>
      <c r="L6" t="n">
        <v>91891</v>
      </c>
    </row>
    <row r="7">
      <c r="A7" t="inlineStr">
        <is>
          <t>China</t>
        </is>
      </c>
      <c r="B7" t="n">
        <v>44</v>
      </c>
      <c r="C7" t="inlineStr">
        <is>
          <t>1919</t>
        </is>
      </c>
      <c r="D7" t="inlineStr">
        <is>
          <t>COSCO SHIPPING Holdings Co Ltd, Shanghai</t>
        </is>
      </c>
      <c r="E7" t="inlineStr"/>
      <c r="F7" t="inlineStr">
        <is>
          <t>Listed Foreign Equity Share (Company)</t>
        </is>
      </c>
      <c r="G7" t="inlineStr">
        <is>
          <t>2025-08-19</t>
        </is>
      </c>
      <c r="H7" t="n">
        <v>80694</v>
      </c>
      <c r="I7" t="n">
        <v>82843</v>
      </c>
      <c r="J7" t="n">
        <v>82843</v>
      </c>
      <c r="K7" t="n">
        <v>3485</v>
      </c>
      <c r="L7" t="n">
        <v>0</v>
      </c>
    </row>
    <row r="8">
      <c r="A8" t="inlineStr">
        <is>
          <t>Hong Kong</t>
        </is>
      </c>
      <c r="B8" t="n">
        <v>94</v>
      </c>
      <c r="C8" t="inlineStr">
        <is>
          <t>3069</t>
        </is>
      </c>
      <c r="D8" t="inlineStr">
        <is>
          <t>ChinaAMC, Hong Kong</t>
        </is>
      </c>
      <c r="E8" t="inlineStr"/>
      <c r="F8" t="inlineStr">
        <is>
          <t>Exchange Traded Fund (Investment Trust)</t>
        </is>
      </c>
      <c r="G8" t="inlineStr">
        <is>
          <t>2025-07-17</t>
        </is>
      </c>
      <c r="H8" t="n">
        <v>86691</v>
      </c>
      <c r="I8" t="n">
        <v>91143</v>
      </c>
      <c r="J8" t="n">
        <v>91143</v>
      </c>
      <c r="K8" t="n">
        <v>286</v>
      </c>
      <c r="L8" t="n">
        <v>0</v>
      </c>
    </row>
    <row r="9">
      <c r="A9" t="inlineStr">
        <is>
          <t>Hong Kong</t>
        </is>
      </c>
      <c r="B9" t="n">
        <v>94</v>
      </c>
      <c r="C9" t="inlineStr">
        <is>
          <t>3088</t>
        </is>
      </c>
      <c r="D9" t="inlineStr">
        <is>
          <t>ChinaAMC, Hong Kong</t>
        </is>
      </c>
      <c r="E9" t="inlineStr"/>
      <c r="F9" t="inlineStr">
        <is>
          <t>Exchange Traded Fund (Investment Trust)</t>
        </is>
      </c>
      <c r="G9" t="inlineStr">
        <is>
          <t>2025-05-28</t>
        </is>
      </c>
      <c r="H9" t="n">
        <v>86973</v>
      </c>
      <c r="I9" t="n">
        <v>92361</v>
      </c>
      <c r="J9" t="n">
        <v>92361</v>
      </c>
      <c r="K9" t="n">
        <v>274</v>
      </c>
      <c r="L9" t="n">
        <v>0</v>
      </c>
    </row>
    <row r="10">
      <c r="A10" t="inlineStr">
        <is>
          <t>Hong Kong</t>
        </is>
      </c>
      <c r="B10" t="n">
        <v>94</v>
      </c>
      <c r="C10" t="inlineStr">
        <is>
          <t>3188</t>
        </is>
      </c>
      <c r="D10" t="inlineStr">
        <is>
          <t>ChinaAMC, Hong Kong</t>
        </is>
      </c>
      <c r="E10" t="inlineStr"/>
      <c r="F10" t="inlineStr">
        <is>
          <t>Exchange Traded Fund (Investment Trust)</t>
        </is>
      </c>
      <c r="G10" t="inlineStr">
        <is>
          <t>2025-05-28</t>
        </is>
      </c>
      <c r="H10" t="n">
        <v>94507</v>
      </c>
      <c r="I10" t="n">
        <v>100363</v>
      </c>
      <c r="J10" t="n">
        <v>100363</v>
      </c>
      <c r="K10" t="n">
        <v>9021</v>
      </c>
      <c r="L10" t="n">
        <v>0</v>
      </c>
    </row>
    <row r="11">
      <c r="A11" t="inlineStr">
        <is>
          <t>Japan</t>
        </is>
      </c>
      <c r="B11" t="n">
        <v>111</v>
      </c>
      <c r="C11" t="inlineStr">
        <is>
          <t>4568.T</t>
        </is>
      </c>
      <c r="D11" t="inlineStr">
        <is>
          <t>3-5-1 Nihonbashi Honcho, Chuo-ku, Tokyo</t>
        </is>
      </c>
      <c r="E11" t="inlineStr">
        <is>
          <t>103-8426</t>
        </is>
      </c>
      <c r="F11" t="inlineStr">
        <is>
          <t>Listed Foreign Equity Share (Company)</t>
        </is>
      </c>
      <c r="G11" t="inlineStr">
        <is>
          <t>2025-05-28</t>
        </is>
      </c>
      <c r="H11" t="n">
        <v>210635</v>
      </c>
      <c r="I11" t="n">
        <v>223686</v>
      </c>
      <c r="J11" t="n">
        <v>223686</v>
      </c>
      <c r="K11" t="n">
        <v>2214</v>
      </c>
      <c r="L11" t="n">
        <v>0</v>
      </c>
    </row>
    <row r="12">
      <c r="A12" t="inlineStr">
        <is>
          <t>United States of America</t>
        </is>
      </c>
      <c r="B12" t="n">
        <v>2</v>
      </c>
      <c r="C12" t="inlineStr">
        <is>
          <t>AAPL</t>
        </is>
      </c>
      <c r="D12" t="inlineStr">
        <is>
          <t>One Apple Park Way, Cupertino, CA</t>
        </is>
      </c>
      <c r="E12" t="inlineStr">
        <is>
          <t>95014</t>
        </is>
      </c>
      <c r="F12" t="inlineStr">
        <is>
          <t>Listed Foreign Equity Share (Company)</t>
        </is>
      </c>
      <c r="G12" t="inlineStr">
        <is>
          <t>2025-08-19</t>
        </is>
      </c>
      <c r="H12" t="n">
        <v>80493</v>
      </c>
      <c r="I12" t="n">
        <v>82636</v>
      </c>
      <c r="J12" t="n">
        <v>82636</v>
      </c>
      <c r="K12" t="n">
        <v>92</v>
      </c>
      <c r="L12" t="n">
        <v>0</v>
      </c>
    </row>
    <row r="13">
      <c r="A13" t="inlineStr">
        <is>
          <t>United States of America</t>
        </is>
      </c>
      <c r="B13" t="n">
        <v>2</v>
      </c>
      <c r="C13" t="inlineStr">
        <is>
          <t>AAXJ</t>
        </is>
      </c>
      <c r="D13" t="inlineStr">
        <is>
          <t>c/o BlackRock Fund Advisors, 400 Howard Street, San Francisco, CA</t>
        </is>
      </c>
      <c r="E13" t="inlineStr">
        <is>
          <t>94105</t>
        </is>
      </c>
      <c r="F13" t="inlineStr">
        <is>
          <t>Exchange Traded Fund (Investment Trust)</t>
        </is>
      </c>
      <c r="G13" t="inlineStr">
        <is>
          <t>2025-08-19</t>
        </is>
      </c>
      <c r="H13" t="n">
        <v>44981</v>
      </c>
      <c r="I13" t="n">
        <v>46178</v>
      </c>
      <c r="J13" t="n">
        <v>46178</v>
      </c>
      <c r="K13" t="n">
        <v>600</v>
      </c>
      <c r="L13" t="n">
        <v>0</v>
      </c>
    </row>
    <row r="14">
      <c r="A14" t="inlineStr">
        <is>
          <t>Ireland</t>
        </is>
      </c>
      <c r="B14" t="n">
        <v>101</v>
      </c>
      <c r="C14" t="inlineStr">
        <is>
          <t>ACN</t>
        </is>
      </c>
      <c r="D14" t="inlineStr">
        <is>
          <t>1 Grand Canal Square, Grand Canal Harbour, Dublin</t>
        </is>
      </c>
      <c r="E14" t="inlineStr">
        <is>
          <t>D02 P820</t>
        </is>
      </c>
      <c r="F14" t="inlineStr">
        <is>
          <t>Listed Foreign Equity Share (Company)</t>
        </is>
      </c>
      <c r="G14" t="inlineStr">
        <is>
          <t>2025-01-28</t>
        </is>
      </c>
      <c r="H14" t="n">
        <v>74859</v>
      </c>
      <c r="I14" t="n">
        <v>78610</v>
      </c>
      <c r="J14" t="n">
        <v>64770</v>
      </c>
      <c r="K14" t="n">
        <v>2908</v>
      </c>
      <c r="L14" t="n">
        <v>0</v>
      </c>
    </row>
    <row r="15">
      <c r="A15" t="inlineStr">
        <is>
          <t>Ireland</t>
        </is>
      </c>
      <c r="B15" t="n">
        <v>101</v>
      </c>
      <c r="C15" t="inlineStr">
        <is>
          <t>ACN</t>
        </is>
      </c>
      <c r="D15" t="inlineStr">
        <is>
          <t>1 Grand Canal Square, Grand Canal Harbour, Dublin</t>
        </is>
      </c>
      <c r="E15" t="inlineStr">
        <is>
          <t>D02 P820</t>
        </is>
      </c>
      <c r="F15" t="inlineStr">
        <is>
          <t>Listed Foreign Equity Share (Company)</t>
        </is>
      </c>
      <c r="G15" t="inlineStr">
        <is>
          <t>2025-04-07</t>
        </is>
      </c>
      <c r="H15" t="n">
        <v>119366</v>
      </c>
      <c r="I15" t="n">
        <v>139591</v>
      </c>
      <c r="J15" t="n">
        <v>139591</v>
      </c>
      <c r="K15" t="n">
        <v>0</v>
      </c>
      <c r="L15" t="n">
        <v>0</v>
      </c>
    </row>
    <row r="16">
      <c r="A16" t="inlineStr">
        <is>
          <t>United States of America</t>
        </is>
      </c>
      <c r="B16" t="n">
        <v>2</v>
      </c>
      <c r="C16" t="inlineStr">
        <is>
          <t>AEP</t>
        </is>
      </c>
      <c r="D16" t="inlineStr">
        <is>
          <t>1 Riverside Plaza, Columbus, OH</t>
        </is>
      </c>
      <c r="E16" t="inlineStr">
        <is>
          <t>43215</t>
        </is>
      </c>
      <c r="F16" t="inlineStr">
        <is>
          <t>Listed Foreign Equity Share (Company)</t>
        </is>
      </c>
      <c r="G16" t="inlineStr">
        <is>
          <t>2025-12-12</t>
        </is>
      </c>
      <c r="H16" t="n">
        <v>184328</v>
      </c>
      <c r="I16" t="n">
        <v>185405</v>
      </c>
      <c r="J16" t="n">
        <v>185405</v>
      </c>
      <c r="K16" t="n">
        <v>0</v>
      </c>
      <c r="L16" t="n">
        <v>0</v>
      </c>
    </row>
    <row r="17">
      <c r="A17" t="inlineStr">
        <is>
          <t>United States of America</t>
        </is>
      </c>
      <c r="B17" t="n">
        <v>2</v>
      </c>
      <c r="C17" t="inlineStr">
        <is>
          <t>AMD</t>
        </is>
      </c>
      <c r="D17" t="inlineStr">
        <is>
          <t>2485 Augustine Drive, Santa Clara, CA</t>
        </is>
      </c>
      <c r="E17" t="inlineStr">
        <is>
          <t>95054</t>
        </is>
      </c>
      <c r="F17" t="inlineStr">
        <is>
          <t>Listed Foreign Equity Share (Company)</t>
        </is>
      </c>
      <c r="G17" t="inlineStr">
        <is>
          <t>2025-08-19</t>
        </is>
      </c>
      <c r="H17" t="n">
        <v>87291</v>
      </c>
      <c r="I17" t="n">
        <v>89615</v>
      </c>
      <c r="J17" t="n">
        <v>89615</v>
      </c>
      <c r="K17" t="n">
        <v>0</v>
      </c>
      <c r="L17" t="n">
        <v>0</v>
      </c>
    </row>
    <row r="18">
      <c r="A18" t="inlineStr">
        <is>
          <t>United States of America</t>
        </is>
      </c>
      <c r="B18" t="n">
        <v>2</v>
      </c>
      <c r="C18" t="inlineStr">
        <is>
          <t>AMZN</t>
        </is>
      </c>
      <c r="D18" t="inlineStr">
        <is>
          <t>410 Terry Avenue North, Seattle, WA</t>
        </is>
      </c>
      <c r="E18" t="inlineStr">
        <is>
          <t>98109</t>
        </is>
      </c>
      <c r="F18" t="inlineStr">
        <is>
          <t>Listed Foreign Equity Share (Company)</t>
        </is>
      </c>
      <c r="G18" t="inlineStr">
        <is>
          <t>2025-01-28</t>
        </is>
      </c>
      <c r="H18" t="n">
        <v>57895</v>
      </c>
      <c r="I18" t="n">
        <v>73994</v>
      </c>
      <c r="J18" t="n">
        <v>0</v>
      </c>
      <c r="K18" t="n">
        <v>0</v>
      </c>
      <c r="L18" t="n">
        <v>70380</v>
      </c>
    </row>
    <row r="19">
      <c r="A19" t="inlineStr">
        <is>
          <t>United States of America</t>
        </is>
      </c>
      <c r="B19" t="n">
        <v>2</v>
      </c>
      <c r="C19" t="inlineStr">
        <is>
          <t>AMZN</t>
        </is>
      </c>
      <c r="D19" t="inlineStr">
        <is>
          <t>410 Terry Avenue North, Seattle, WA</t>
        </is>
      </c>
      <c r="E19" t="inlineStr">
        <is>
          <t>98109</t>
        </is>
      </c>
      <c r="F19" t="inlineStr">
        <is>
          <t>Listed Foreign Equity Share (Company)</t>
        </is>
      </c>
      <c r="G19" t="inlineStr">
        <is>
          <t>2025-04-07</t>
        </is>
      </c>
      <c r="H19" t="n">
        <v>161981</v>
      </c>
      <c r="I19" t="n">
        <v>207266</v>
      </c>
      <c r="J19" t="n">
        <v>0</v>
      </c>
      <c r="K19" t="n">
        <v>0</v>
      </c>
      <c r="L19" t="n">
        <v>197142</v>
      </c>
    </row>
    <row r="20">
      <c r="A20" t="inlineStr">
        <is>
          <t>Netherlands</t>
        </is>
      </c>
      <c r="B20" t="n">
        <v>156</v>
      </c>
      <c r="C20" t="inlineStr">
        <is>
          <t>ASML</t>
        </is>
      </c>
      <c r="D20" t="inlineStr">
        <is>
          <t>De Run 6501, 5504 DR Veldhoven</t>
        </is>
      </c>
      <c r="E20" t="inlineStr">
        <is>
          <t>5504 DR</t>
        </is>
      </c>
      <c r="F20" t="inlineStr">
        <is>
          <t>American Depository Receipt of Listed Foreign Company</t>
        </is>
      </c>
      <c r="G20" t="inlineStr">
        <is>
          <t>2025-08-20</t>
        </is>
      </c>
      <c r="H20" t="n">
        <v>95193</v>
      </c>
      <c r="I20" t="n">
        <v>101030</v>
      </c>
      <c r="J20" t="n">
        <v>101030</v>
      </c>
      <c r="K20" t="n">
        <v>249</v>
      </c>
      <c r="L20" t="n">
        <v>0</v>
      </c>
    </row>
    <row r="21">
      <c r="A21" t="inlineStr">
        <is>
          <t>United States of America</t>
        </is>
      </c>
      <c r="B21" t="n">
        <v>2</v>
      </c>
      <c r="C21" t="inlineStr">
        <is>
          <t>BAC</t>
        </is>
      </c>
      <c r="D21" t="inlineStr">
        <is>
          <t>100 North Tryon Street, Charlotte, NC</t>
        </is>
      </c>
      <c r="E21" t="inlineStr">
        <is>
          <t>28255</t>
        </is>
      </c>
      <c r="F21" t="inlineStr">
        <is>
          <t>Listed Foreign Equity Share (Company)</t>
        </is>
      </c>
      <c r="G21" t="inlineStr">
        <is>
          <t>2025-01-28</t>
        </is>
      </c>
      <c r="H21" t="n">
        <v>59495</v>
      </c>
      <c r="I21" t="n">
        <v>76752</v>
      </c>
      <c r="J21" t="n">
        <v>0</v>
      </c>
      <c r="K21" t="n">
        <v>1552</v>
      </c>
      <c r="L21" t="n">
        <v>73003</v>
      </c>
    </row>
    <row r="22">
      <c r="A22" t="inlineStr">
        <is>
          <t>United States of America</t>
        </is>
      </c>
      <c r="B22" t="n">
        <v>2</v>
      </c>
      <c r="C22" t="inlineStr">
        <is>
          <t>BAC</t>
        </is>
      </c>
      <c r="D22" t="inlineStr">
        <is>
          <t>100 North Tryon Street, Charlotte, NC</t>
        </is>
      </c>
      <c r="E22" t="inlineStr">
        <is>
          <t>28255</t>
        </is>
      </c>
      <c r="F22" t="inlineStr">
        <is>
          <t>Listed Foreign Equity Share (Company)</t>
        </is>
      </c>
      <c r="G22" t="inlineStr">
        <is>
          <t>2025-04-07</t>
        </is>
      </c>
      <c r="H22" t="n">
        <v>113064</v>
      </c>
      <c r="I22" t="n">
        <v>146030</v>
      </c>
      <c r="J22" t="n">
        <v>0</v>
      </c>
      <c r="K22" t="n">
        <v>0</v>
      </c>
      <c r="L22" t="n">
        <v>138897</v>
      </c>
    </row>
    <row r="23">
      <c r="A23" t="inlineStr">
        <is>
          <t>United States of America</t>
        </is>
      </c>
      <c r="B23" t="n">
        <v>2</v>
      </c>
      <c r="C23" t="inlineStr">
        <is>
          <t>BLBD</t>
        </is>
      </c>
      <c r="D23" t="inlineStr">
        <is>
          <t>3920 Arkwright Road, Macon, GA</t>
        </is>
      </c>
      <c r="E23" t="inlineStr">
        <is>
          <t>31210</t>
        </is>
      </c>
      <c r="F23" t="inlineStr">
        <is>
          <t>Listed Foreign Equity Share (Company)</t>
        </is>
      </c>
      <c r="G23" t="inlineStr">
        <is>
          <t>2025-01-28</t>
        </is>
      </c>
      <c r="H23" t="n">
        <v>62493</v>
      </c>
      <c r="I23" t="n">
        <v>86137</v>
      </c>
      <c r="J23" t="n">
        <v>0</v>
      </c>
      <c r="K23" t="n">
        <v>0</v>
      </c>
      <c r="L23" t="n">
        <v>81930</v>
      </c>
    </row>
    <row r="24">
      <c r="A24" t="inlineStr">
        <is>
          <t>United States of America</t>
        </is>
      </c>
      <c r="B24" t="n">
        <v>2</v>
      </c>
      <c r="C24" t="inlineStr">
        <is>
          <t>BLBD</t>
        </is>
      </c>
      <c r="D24" t="inlineStr">
        <is>
          <t>3920 Arkwright Road, Macon, GA</t>
        </is>
      </c>
      <c r="E24" t="inlineStr">
        <is>
          <t>31210</t>
        </is>
      </c>
      <c r="F24" t="inlineStr">
        <is>
          <t>Listed Foreign Equity Share (Company)</t>
        </is>
      </c>
      <c r="G24" t="inlineStr">
        <is>
          <t>2025-04-07</t>
        </is>
      </c>
      <c r="H24" t="n">
        <v>62419</v>
      </c>
      <c r="I24" t="n">
        <v>86137</v>
      </c>
      <c r="J24" t="n">
        <v>0</v>
      </c>
      <c r="K24" t="n">
        <v>0</v>
      </c>
      <c r="L24" t="n">
        <v>81930</v>
      </c>
    </row>
    <row r="25">
      <c r="A25" t="inlineStr">
        <is>
          <t>United States of America</t>
        </is>
      </c>
      <c r="B25" t="n">
        <v>2</v>
      </c>
      <c r="C25" t="inlineStr">
        <is>
          <t>BOTZ</t>
        </is>
      </c>
      <c r="D25" t="inlineStr">
        <is>
          <t>c/o Global X Management Company LLC, 605 Third Avenue, New York, NY</t>
        </is>
      </c>
      <c r="E25" t="inlineStr">
        <is>
          <t>10158</t>
        </is>
      </c>
      <c r="F25" t="inlineStr">
        <is>
          <t>Exchange Traded Fund (Investment Trust)</t>
        </is>
      </c>
      <c r="G25" t="inlineStr">
        <is>
          <t>2025-08-19</t>
        </is>
      </c>
      <c r="H25" t="n">
        <v>55500</v>
      </c>
      <c r="I25" t="n">
        <v>56978</v>
      </c>
      <c r="J25" t="n">
        <v>56978</v>
      </c>
      <c r="K25" t="n">
        <v>0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BX</t>
        </is>
      </c>
      <c r="D26" t="inlineStr">
        <is>
          <t>345 Park Avenue, New York, NY</t>
        </is>
      </c>
      <c r="E26" t="inlineStr">
        <is>
          <t>10154</t>
        </is>
      </c>
      <c r="F26" t="inlineStr">
        <is>
          <t>Listed Foreign Equity Share (Company)</t>
        </is>
      </c>
      <c r="G26" t="inlineStr">
        <is>
          <t>2025-01-28</t>
        </is>
      </c>
      <c r="H26" t="n">
        <v>84420</v>
      </c>
      <c r="I26" t="n">
        <v>110586</v>
      </c>
      <c r="J26" t="n">
        <v>0</v>
      </c>
      <c r="K26" t="n">
        <v>2420</v>
      </c>
      <c r="L26" t="n">
        <v>105185</v>
      </c>
    </row>
    <row r="27">
      <c r="A27" t="inlineStr">
        <is>
          <t>United States of America</t>
        </is>
      </c>
      <c r="B27" t="n">
        <v>2</v>
      </c>
      <c r="C27" t="inlineStr">
        <is>
          <t>BX</t>
        </is>
      </c>
      <c r="D27" t="inlineStr">
        <is>
          <t>345 Park Avenue, New York, NY</t>
        </is>
      </c>
      <c r="E27" t="inlineStr">
        <is>
          <t>10154</t>
        </is>
      </c>
      <c r="F27" t="inlineStr">
        <is>
          <t>Listed Foreign Equity Share (Company)</t>
        </is>
      </c>
      <c r="G27" t="inlineStr">
        <is>
          <t>2025-04-07</t>
        </is>
      </c>
      <c r="H27" t="n">
        <v>158407</v>
      </c>
      <c r="I27" t="n">
        <v>207748</v>
      </c>
      <c r="J27" t="n">
        <v>0</v>
      </c>
      <c r="K27" t="n">
        <v>0</v>
      </c>
      <c r="L27" t="n">
        <v>197601</v>
      </c>
    </row>
    <row r="28">
      <c r="A28" t="inlineStr">
        <is>
          <t>United States of America</t>
        </is>
      </c>
      <c r="B28" t="n">
        <v>2</v>
      </c>
      <c r="C28" t="inlineStr">
        <is>
          <t>CAT</t>
        </is>
      </c>
      <c r="D28" t="inlineStr">
        <is>
          <t>5205 N O'Connor Boulevard, Irving, TX</t>
        </is>
      </c>
      <c r="E28" t="inlineStr">
        <is>
          <t>75039</t>
        </is>
      </c>
      <c r="F28" t="inlineStr">
        <is>
          <t>Listed Foreign Equity Share (Company)</t>
        </is>
      </c>
      <c r="G28" t="inlineStr">
        <is>
          <t>2025-01-28</t>
        </is>
      </c>
      <c r="H28" t="n">
        <v>57857</v>
      </c>
      <c r="I28" t="n">
        <v>82709</v>
      </c>
      <c r="J28" t="n">
        <v>0</v>
      </c>
      <c r="K28" t="n">
        <v>1540</v>
      </c>
      <c r="L28" t="n">
        <v>78670</v>
      </c>
    </row>
    <row r="29">
      <c r="A29" t="inlineStr">
        <is>
          <t>United States of America</t>
        </is>
      </c>
      <c r="B29" t="n">
        <v>2</v>
      </c>
      <c r="C29" t="inlineStr">
        <is>
          <t>CAT</t>
        </is>
      </c>
      <c r="D29" t="inlineStr">
        <is>
          <t>5205 N O'Connor Boulevard, Irving, TX</t>
        </is>
      </c>
      <c r="E29" t="inlineStr">
        <is>
          <t>75039</t>
        </is>
      </c>
      <c r="F29" t="inlineStr">
        <is>
          <t>Listed Foreign Equity Share (Company)</t>
        </is>
      </c>
      <c r="G29" t="inlineStr">
        <is>
          <t>2025-04-07</t>
        </is>
      </c>
      <c r="H29" t="n">
        <v>107514</v>
      </c>
      <c r="I29" t="n">
        <v>153878</v>
      </c>
      <c r="J29" t="n">
        <v>0</v>
      </c>
      <c r="K29" t="n">
        <v>0</v>
      </c>
      <c r="L29" t="n">
        <v>146362</v>
      </c>
    </row>
    <row r="30">
      <c r="A30" t="inlineStr">
        <is>
          <t>United States of America</t>
        </is>
      </c>
      <c r="B30" t="n">
        <v>2</v>
      </c>
      <c r="C30" t="inlineStr">
        <is>
          <t>COPX</t>
        </is>
      </c>
      <c r="D30" t="inlineStr">
        <is>
          <t>c/o Global X Management Company LLC, 605 Third Avenue, New York, NY</t>
        </is>
      </c>
      <c r="E30" t="inlineStr">
        <is>
          <t>10158</t>
        </is>
      </c>
      <c r="F30" t="inlineStr">
        <is>
          <t>Exchange Traded Fund (Investment Trust)</t>
        </is>
      </c>
      <c r="G30" t="inlineStr">
        <is>
          <t>2025-12-12</t>
        </is>
      </c>
      <c r="H30" t="n">
        <v>130752</v>
      </c>
      <c r="I30" t="n">
        <v>131516</v>
      </c>
      <c r="J30" t="n">
        <v>131516</v>
      </c>
      <c r="K30" t="n">
        <v>0</v>
      </c>
      <c r="L30" t="n">
        <v>0</v>
      </c>
    </row>
    <row r="31">
      <c r="A31" t="inlineStr">
        <is>
          <t>United States of America</t>
        </is>
      </c>
      <c r="B31" t="n">
        <v>2</v>
      </c>
      <c r="C31" t="inlineStr">
        <is>
          <t>CPNG</t>
        </is>
      </c>
      <c r="D31" t="inlineStr">
        <is>
          <t>720 Olive Way, Suite 600, Seattle, WA</t>
        </is>
      </c>
      <c r="E31" t="inlineStr">
        <is>
          <t>98101</t>
        </is>
      </c>
      <c r="F31" t="inlineStr">
        <is>
          <t>Listed Foreign Equity Share (Company)</t>
        </is>
      </c>
      <c r="G31" t="inlineStr">
        <is>
          <t>2025-08-19</t>
        </is>
      </c>
      <c r="H31" t="n">
        <v>83401</v>
      </c>
      <c r="I31" t="n">
        <v>85622</v>
      </c>
      <c r="J31" t="n">
        <v>85622</v>
      </c>
      <c r="K31" t="n">
        <v>0</v>
      </c>
      <c r="L31" t="n">
        <v>0</v>
      </c>
    </row>
    <row r="32">
      <c r="A32" t="inlineStr">
        <is>
          <t>United States of America</t>
        </is>
      </c>
      <c r="B32" t="n">
        <v>2</v>
      </c>
      <c r="C32" t="inlineStr">
        <is>
          <t>GD</t>
        </is>
      </c>
      <c r="D32" t="inlineStr">
        <is>
          <t>11011 Sunset Hills Road, Reston, VA</t>
        </is>
      </c>
      <c r="E32" t="inlineStr">
        <is>
          <t>20190</t>
        </is>
      </c>
      <c r="F32" t="inlineStr">
        <is>
          <t>Listed Foreign Equity Share (Company)</t>
        </is>
      </c>
      <c r="G32" t="inlineStr">
        <is>
          <t>2025-01-28</t>
        </is>
      </c>
      <c r="H32" t="n">
        <v>54209</v>
      </c>
      <c r="I32" t="n">
        <v>67134</v>
      </c>
      <c r="J32" t="n">
        <v>0</v>
      </c>
      <c r="K32" t="n">
        <v>617</v>
      </c>
      <c r="L32" t="n">
        <v>63855</v>
      </c>
    </row>
    <row r="33">
      <c r="A33" t="inlineStr">
        <is>
          <t>United States of America</t>
        </is>
      </c>
      <c r="B33" t="n">
        <v>2</v>
      </c>
      <c r="C33" t="inlineStr">
        <is>
          <t>GE</t>
        </is>
      </c>
      <c r="D33" t="inlineStr">
        <is>
          <t>1 Neumann Way, Cincinnati, OH</t>
        </is>
      </c>
      <c r="E33" t="inlineStr">
        <is>
          <t>45215</t>
        </is>
      </c>
      <c r="F33" t="inlineStr">
        <is>
          <t>Listed Foreign Equity Share (Company)</t>
        </is>
      </c>
      <c r="G33" t="inlineStr">
        <is>
          <t>2025-01-28</t>
        </is>
      </c>
      <c r="H33" t="n">
        <v>63777</v>
      </c>
      <c r="I33" t="n">
        <v>105037</v>
      </c>
      <c r="J33" t="n">
        <v>0</v>
      </c>
      <c r="K33" t="n">
        <v>572</v>
      </c>
      <c r="L33" t="n">
        <v>99907</v>
      </c>
    </row>
    <row r="34">
      <c r="A34" t="inlineStr">
        <is>
          <t>United States of America</t>
        </is>
      </c>
      <c r="B34" t="n">
        <v>2</v>
      </c>
      <c r="C34" t="inlineStr">
        <is>
          <t>GE</t>
        </is>
      </c>
      <c r="D34" t="inlineStr">
        <is>
          <t>1 Neumann Way, Cincinnati, OH</t>
        </is>
      </c>
      <c r="E34" t="inlineStr">
        <is>
          <t>45215</t>
        </is>
      </c>
      <c r="F34" t="inlineStr">
        <is>
          <t>Listed Foreign Equity Share (Company)</t>
        </is>
      </c>
      <c r="G34" t="inlineStr">
        <is>
          <t>2025-04-07</t>
        </is>
      </c>
      <c r="H34" t="n">
        <v>147459</v>
      </c>
      <c r="I34" t="n">
        <v>243141</v>
      </c>
      <c r="J34" t="n">
        <v>0</v>
      </c>
      <c r="K34" t="n">
        <v>0</v>
      </c>
      <c r="L34" t="n">
        <v>231265</v>
      </c>
    </row>
    <row r="35">
      <c r="A35" t="inlineStr">
        <is>
          <t>United States of America</t>
        </is>
      </c>
      <c r="B35" t="n">
        <v>2</v>
      </c>
      <c r="C35" t="inlineStr">
        <is>
          <t>GOOG</t>
        </is>
      </c>
      <c r="D35" t="inlineStr">
        <is>
          <t>1600 Amphitheatre Parkway, Mountain View, CA</t>
        </is>
      </c>
      <c r="E35" t="inlineStr">
        <is>
          <t>94043</t>
        </is>
      </c>
      <c r="F35" t="inlineStr">
        <is>
          <t>Listed Foreign Equity Share (Company)</t>
        </is>
      </c>
      <c r="G35" t="inlineStr">
        <is>
          <t>2024-12-31</t>
        </is>
      </c>
      <c r="H35" t="n">
        <v>7558</v>
      </c>
      <c r="I35" t="n">
        <v>17745</v>
      </c>
      <c r="J35" t="n">
        <v>0</v>
      </c>
      <c r="K35" t="n">
        <v>1861</v>
      </c>
      <c r="L35" t="n">
        <v>16898</v>
      </c>
    </row>
    <row r="36">
      <c r="A36" t="inlineStr">
        <is>
          <t>United States of America</t>
        </is>
      </c>
      <c r="B36" t="n">
        <v>2</v>
      </c>
      <c r="C36" t="inlineStr">
        <is>
          <t>GOOG</t>
        </is>
      </c>
      <c r="D36" t="inlineStr">
        <is>
          <t>1600 Amphitheatre Parkway, Mountain View, CA</t>
        </is>
      </c>
      <c r="E36" t="inlineStr">
        <is>
          <t>94043</t>
        </is>
      </c>
      <c r="F36" t="inlineStr">
        <is>
          <t>Listed Foreign Equity Share (Company)</t>
        </is>
      </c>
      <c r="G36" t="inlineStr">
        <is>
          <t>2024-12-31</t>
        </is>
      </c>
      <c r="H36" t="n">
        <v>311932</v>
      </c>
      <c r="I36" t="n">
        <v>439986</v>
      </c>
      <c r="J36" t="n">
        <v>0</v>
      </c>
      <c r="K36" t="n">
        <v>0</v>
      </c>
      <c r="L36" t="n">
        <v>414316</v>
      </c>
    </row>
    <row r="37">
      <c r="A37" t="inlineStr">
        <is>
          <t>United States of America</t>
        </is>
      </c>
      <c r="B37" t="n">
        <v>2</v>
      </c>
      <c r="C37" t="inlineStr">
        <is>
          <t>GOOG</t>
        </is>
      </c>
      <c r="D37" t="inlineStr">
        <is>
          <t>1600 Amphitheatre Parkway, Mountain View, CA</t>
        </is>
      </c>
      <c r="E37" t="inlineStr">
        <is>
          <t>94043</t>
        </is>
      </c>
      <c r="F37" t="inlineStr">
        <is>
          <t>Listed Foreign Equity Share (Company)</t>
        </is>
      </c>
      <c r="G37" t="inlineStr">
        <is>
          <t>2024-12-31</t>
        </is>
      </c>
      <c r="H37" t="n">
        <v>631848</v>
      </c>
      <c r="I37" t="n">
        <v>1037743</v>
      </c>
      <c r="J37" t="n">
        <v>0</v>
      </c>
      <c r="K37" t="n">
        <v>0</v>
      </c>
      <c r="L37" t="n">
        <v>987056</v>
      </c>
    </row>
    <row r="38">
      <c r="A38" t="inlineStr">
        <is>
          <t>United States of America</t>
        </is>
      </c>
      <c r="B38" t="n">
        <v>2</v>
      </c>
      <c r="C38" t="inlineStr">
        <is>
          <t>GOOG</t>
        </is>
      </c>
      <c r="D38" t="inlineStr">
        <is>
          <t>1600 Amphitheatre Parkway, Mountain View, CA</t>
        </is>
      </c>
      <c r="E38" t="inlineStr">
        <is>
          <t>94043</t>
        </is>
      </c>
      <c r="F38" t="inlineStr">
        <is>
          <t>Listed Foreign Equity Share (Company)</t>
        </is>
      </c>
      <c r="G38" t="inlineStr">
        <is>
          <t>2024-12-31</t>
        </is>
      </c>
      <c r="H38" t="n">
        <v>816211</v>
      </c>
      <c r="I38" t="n">
        <v>1869937</v>
      </c>
      <c r="J38" t="n">
        <v>0</v>
      </c>
      <c r="K38" t="n">
        <v>0</v>
      </c>
      <c r="L38" t="n">
        <v>1780694</v>
      </c>
    </row>
    <row r="39">
      <c r="A39" t="inlineStr">
        <is>
          <t>United States of America</t>
        </is>
      </c>
      <c r="B39" t="n">
        <v>2</v>
      </c>
      <c r="C39" t="inlineStr">
        <is>
          <t>GOOG</t>
        </is>
      </c>
      <c r="D39" t="inlineStr">
        <is>
          <t>1600 Amphitheatre Parkway, Mountain View, CA</t>
        </is>
      </c>
      <c r="E39" t="inlineStr">
        <is>
          <t>94043</t>
        </is>
      </c>
      <c r="F39" t="inlineStr">
        <is>
          <t>Listed Foreign Equity Share (Company)</t>
        </is>
      </c>
      <c r="G39" t="inlineStr">
        <is>
          <t>2025-03-31</t>
        </is>
      </c>
      <c r="H39" t="n">
        <v>828799</v>
      </c>
      <c r="I39" t="n">
        <v>1131394</v>
      </c>
      <c r="J39" t="n">
        <v>0</v>
      </c>
      <c r="K39" t="n">
        <v>0</v>
      </c>
      <c r="L39" t="n">
        <v>1065384</v>
      </c>
    </row>
    <row r="40">
      <c r="A40" t="inlineStr">
        <is>
          <t>United States of America</t>
        </is>
      </c>
      <c r="B40" t="n">
        <v>2</v>
      </c>
      <c r="C40" t="inlineStr">
        <is>
          <t>GOOG</t>
        </is>
      </c>
      <c r="D40" t="inlineStr">
        <is>
          <t>1600 Amphitheatre Parkway, Mountain View, CA</t>
        </is>
      </c>
      <c r="E40" t="inlineStr">
        <is>
          <t>94043</t>
        </is>
      </c>
      <c r="F40" t="inlineStr">
        <is>
          <t>Listed Foreign Equity Share (Company)</t>
        </is>
      </c>
      <c r="G40" t="inlineStr">
        <is>
          <t>2025-11-19</t>
        </is>
      </c>
      <c r="H40" t="n">
        <v>5000628</v>
      </c>
      <c r="I40" t="n">
        <v>5072632</v>
      </c>
      <c r="J40" t="n">
        <v>0</v>
      </c>
      <c r="K40" t="n">
        <v>0</v>
      </c>
      <c r="L40" t="n">
        <v>5043150</v>
      </c>
    </row>
    <row r="41">
      <c r="A41" t="inlineStr">
        <is>
          <t>United States of America</t>
        </is>
      </c>
      <c r="B41" t="n">
        <v>2</v>
      </c>
      <c r="C41" t="inlineStr">
        <is>
          <t>ICLN</t>
        </is>
      </c>
      <c r="D41" t="inlineStr">
        <is>
          <t>c/o BlackRock Fund Advisors, 400 Howard Street, San Francisco, CA</t>
        </is>
      </c>
      <c r="E41" t="inlineStr">
        <is>
          <t>94105</t>
        </is>
      </c>
      <c r="F41" t="inlineStr">
        <is>
          <t>Exchange Traded Fund (Investment Trust)</t>
        </is>
      </c>
      <c r="G41" t="inlineStr">
        <is>
          <t>2025-08-19</t>
        </is>
      </c>
      <c r="H41" t="n">
        <v>37461</v>
      </c>
      <c r="I41" t="n">
        <v>38459</v>
      </c>
      <c r="J41" t="n">
        <v>38459</v>
      </c>
      <c r="K41" t="n">
        <v>342</v>
      </c>
      <c r="L41" t="n">
        <v>0</v>
      </c>
    </row>
    <row r="42">
      <c r="A42" t="inlineStr">
        <is>
          <t>United States of America</t>
        </is>
      </c>
      <c r="B42" t="n">
        <v>2</v>
      </c>
      <c r="C42" t="inlineStr">
        <is>
          <t>IEF</t>
        </is>
      </c>
      <c r="D42" t="inlineStr">
        <is>
          <t>c/o BlackRock Fund Advisors, 400 Howard Street, San Francisco, CA</t>
        </is>
      </c>
      <c r="E42" t="inlineStr">
        <is>
          <t>94105</t>
        </is>
      </c>
      <c r="F42" t="inlineStr">
        <is>
          <t>Exchange Traded Fund (Investment Trust)</t>
        </is>
      </c>
      <c r="G42" t="inlineStr">
        <is>
          <t>2025-08-19</t>
        </is>
      </c>
      <c r="H42" t="n">
        <v>83198</v>
      </c>
      <c r="I42" t="n">
        <v>85413</v>
      </c>
      <c r="J42" t="n">
        <v>85413</v>
      </c>
      <c r="K42" t="n">
        <v>1338</v>
      </c>
      <c r="L42" t="n">
        <v>0</v>
      </c>
    </row>
    <row r="43">
      <c r="A43" t="inlineStr">
        <is>
          <t>United States of America</t>
        </is>
      </c>
      <c r="B43" t="n">
        <v>2</v>
      </c>
      <c r="C43" t="inlineStr">
        <is>
          <t>IWR</t>
        </is>
      </c>
      <c r="D43" t="inlineStr">
        <is>
          <t>c/o BlackRock Fund Advisors, 400 Howard Street, San Francisco, CA</t>
        </is>
      </c>
      <c r="E43" t="inlineStr">
        <is>
          <t>94105</t>
        </is>
      </c>
      <c r="F43" t="inlineStr">
        <is>
          <t>Exchange Traded Fund (Investment Trust)</t>
        </is>
      </c>
      <c r="G43" t="inlineStr">
        <is>
          <t>2025-08-19</t>
        </is>
      </c>
      <c r="H43" t="n">
        <v>65816</v>
      </c>
      <c r="I43" t="n">
        <v>67568</v>
      </c>
      <c r="J43" t="n">
        <v>67568</v>
      </c>
      <c r="K43" t="n">
        <v>506</v>
      </c>
      <c r="L43" t="n">
        <v>0</v>
      </c>
    </row>
    <row r="44">
      <c r="A44" t="inlineStr">
        <is>
          <t>United States of America</t>
        </is>
      </c>
      <c r="B44" t="n">
        <v>2</v>
      </c>
      <c r="C44" t="inlineStr">
        <is>
          <t>LLY</t>
        </is>
      </c>
      <c r="D44" t="inlineStr">
        <is>
          <t>Lilly Corporate Center, Indianapolis, IN</t>
        </is>
      </c>
      <c r="E44" t="inlineStr">
        <is>
          <t>46285</t>
        </is>
      </c>
      <c r="F44" t="inlineStr">
        <is>
          <t>Listed Foreign Equity Share (Company)</t>
        </is>
      </c>
      <c r="G44" t="inlineStr">
        <is>
          <t>2025-01-28</t>
        </is>
      </c>
      <c r="H44" t="n">
        <v>65328</v>
      </c>
      <c r="I44" t="n">
        <v>75328</v>
      </c>
      <c r="J44" t="n">
        <v>0</v>
      </c>
      <c r="K44" t="n">
        <v>524</v>
      </c>
      <c r="L44" t="n">
        <v>71649</v>
      </c>
    </row>
    <row r="45">
      <c r="A45" t="inlineStr">
        <is>
          <t>United States of America</t>
        </is>
      </c>
      <c r="B45" t="n">
        <v>2</v>
      </c>
      <c r="C45" t="inlineStr">
        <is>
          <t>LLY</t>
        </is>
      </c>
      <c r="D45" t="inlineStr">
        <is>
          <t>Lilly Corporate Center, Indianapolis, IN</t>
        </is>
      </c>
      <c r="E45" t="inlineStr">
        <is>
          <t>46285</t>
        </is>
      </c>
      <c r="F45" t="inlineStr">
        <is>
          <t>Listed Foreign Equity Share (Company)</t>
        </is>
      </c>
      <c r="G45" t="inlineStr">
        <is>
          <t>2025-04-07</t>
        </is>
      </c>
      <c r="H45" t="n">
        <v>125484</v>
      </c>
      <c r="I45" t="n">
        <v>144862</v>
      </c>
      <c r="J45" t="n">
        <v>0</v>
      </c>
      <c r="K45" t="n">
        <v>0</v>
      </c>
      <c r="L45" t="n">
        <v>137787</v>
      </c>
    </row>
    <row r="46">
      <c r="A46" t="inlineStr">
        <is>
          <t>United States of America</t>
        </is>
      </c>
      <c r="B46" t="n">
        <v>2</v>
      </c>
      <c r="C46" t="inlineStr">
        <is>
          <t>LLY</t>
        </is>
      </c>
      <c r="D46" t="inlineStr">
        <is>
          <t>Lilly Corporate Center, Indianapolis, IN</t>
        </is>
      </c>
      <c r="E46" t="inlineStr">
        <is>
          <t>46285</t>
        </is>
      </c>
      <c r="F46" t="inlineStr">
        <is>
          <t>Listed Foreign Equity Share (Company)</t>
        </is>
      </c>
      <c r="G46" t="inlineStr">
        <is>
          <t>2025-05-28</t>
        </is>
      </c>
      <c r="H46" t="n">
        <v>186346</v>
      </c>
      <c r="I46" t="n">
        <v>217294</v>
      </c>
      <c r="J46" t="n">
        <v>0</v>
      </c>
      <c r="K46" t="n">
        <v>0</v>
      </c>
      <c r="L46" t="n">
        <v>206680</v>
      </c>
    </row>
    <row r="47">
      <c r="A47" t="inlineStr">
        <is>
          <t>Netherlands</t>
        </is>
      </c>
      <c r="B47" t="n">
        <v>156</v>
      </c>
      <c r="C47" t="inlineStr">
        <is>
          <t>NBIS</t>
        </is>
      </c>
      <c r="D47" t="inlineStr">
        <is>
          <t>Schiphol Boulevard 165, 1118 BG Schiphol</t>
        </is>
      </c>
      <c r="E47" t="inlineStr">
        <is>
          <t>1118 BG</t>
        </is>
      </c>
      <c r="F47" t="inlineStr">
        <is>
          <t>Listed Foreign Equity Share (Company)</t>
        </is>
      </c>
      <c r="G47" t="inlineStr">
        <is>
          <t>2025-08-19</t>
        </is>
      </c>
      <c r="H47" t="n">
        <v>40582</v>
      </c>
      <c r="I47" t="n">
        <v>41663</v>
      </c>
      <c r="J47" t="n">
        <v>41663</v>
      </c>
      <c r="K47" t="n">
        <v>0</v>
      </c>
      <c r="L47" t="n">
        <v>0</v>
      </c>
    </row>
    <row r="48">
      <c r="A48" t="inlineStr">
        <is>
          <t>United States of America</t>
        </is>
      </c>
      <c r="B48" t="n">
        <v>2</v>
      </c>
      <c r="C48" t="inlineStr">
        <is>
          <t>NFLX</t>
        </is>
      </c>
      <c r="D48" t="inlineStr">
        <is>
          <t>121 Albright Way, Los Gatos, CA</t>
        </is>
      </c>
      <c r="E48" t="inlineStr">
        <is>
          <t>95032</t>
        </is>
      </c>
      <c r="F48" t="inlineStr">
        <is>
          <t>Listed Foreign Equity Share (Company)</t>
        </is>
      </c>
      <c r="G48" t="inlineStr">
        <is>
          <t>2025-01-28</t>
        </is>
      </c>
      <c r="H48" t="n">
        <v>65676</v>
      </c>
      <c r="I48" t="n">
        <v>90953</v>
      </c>
      <c r="J48" t="n">
        <v>0</v>
      </c>
      <c r="K48" t="n">
        <v>0</v>
      </c>
      <c r="L48" t="n">
        <v>86511</v>
      </c>
    </row>
    <row r="49">
      <c r="A49" t="inlineStr">
        <is>
          <t>United States of America</t>
        </is>
      </c>
      <c r="B49" t="n">
        <v>2</v>
      </c>
      <c r="C49" t="inlineStr">
        <is>
          <t>NFLX</t>
        </is>
      </c>
      <c r="D49" t="inlineStr">
        <is>
          <t>121 Albright Way, Los Gatos, CA</t>
        </is>
      </c>
      <c r="E49" t="inlineStr">
        <is>
          <t>95032</t>
        </is>
      </c>
      <c r="F49" t="inlineStr">
        <is>
          <t>Listed Foreign Equity Share (Company)</t>
        </is>
      </c>
      <c r="G49" t="inlineStr">
        <is>
          <t>2025-04-07</t>
        </is>
      </c>
      <c r="H49" t="n">
        <v>152555</v>
      </c>
      <c r="I49" t="n">
        <v>211519</v>
      </c>
      <c r="J49" t="n">
        <v>0</v>
      </c>
      <c r="K49" t="n">
        <v>0</v>
      </c>
      <c r="L49" t="n">
        <v>201188</v>
      </c>
    </row>
    <row r="50">
      <c r="A50" t="inlineStr">
        <is>
          <t>Denmark</t>
        </is>
      </c>
      <c r="B50" t="n">
        <v>61</v>
      </c>
      <c r="C50" t="inlineStr">
        <is>
          <t>NOVd</t>
        </is>
      </c>
      <c r="D50" t="inlineStr">
        <is>
          <t>Novo Alle 1, 2880 Bagsvaerd</t>
        </is>
      </c>
      <c r="E50" t="inlineStr">
        <is>
          <t>2880</t>
        </is>
      </c>
      <c r="F50" t="inlineStr">
        <is>
          <t>Listed Foreign Equity Share (Company)</t>
        </is>
      </c>
      <c r="G50" t="inlineStr">
        <is>
          <t>2025-05-28</t>
        </is>
      </c>
      <c r="H50" t="n">
        <v>140916</v>
      </c>
      <c r="I50" t="n">
        <v>155935</v>
      </c>
      <c r="J50" t="n">
        <v>0</v>
      </c>
      <c r="K50" t="n">
        <v>0</v>
      </c>
      <c r="L50" t="n">
        <v>143632</v>
      </c>
    </row>
    <row r="51">
      <c r="A51" t="inlineStr">
        <is>
          <t>Denmark</t>
        </is>
      </c>
      <c r="B51" t="n">
        <v>61</v>
      </c>
      <c r="C51" t="inlineStr">
        <is>
          <t>NOVd</t>
        </is>
      </c>
      <c r="D51" t="inlineStr">
        <is>
          <t>Novo Alle 1, 2880 Bagsvaerd</t>
        </is>
      </c>
      <c r="E51" t="inlineStr">
        <is>
          <t>2880</t>
        </is>
      </c>
      <c r="F51" t="inlineStr">
        <is>
          <t>Listed Foreign Equity Share (Company)</t>
        </is>
      </c>
      <c r="G51" t="inlineStr">
        <is>
          <t>2025-08-20</t>
        </is>
      </c>
      <c r="H51" t="n">
        <v>97396</v>
      </c>
      <c r="I51" t="n">
        <v>103367</v>
      </c>
      <c r="J51" t="n">
        <v>0</v>
      </c>
      <c r="K51" t="n">
        <v>0</v>
      </c>
      <c r="L51" t="n">
        <v>78943</v>
      </c>
    </row>
    <row r="52">
      <c r="A52" t="inlineStr">
        <is>
          <t>United States of America</t>
        </is>
      </c>
      <c r="B52" t="n">
        <v>2</v>
      </c>
      <c r="C52" t="inlineStr">
        <is>
          <t>QQQ</t>
        </is>
      </c>
      <c r="D52" t="inlineStr">
        <is>
          <t>c/o Invesco Capital Management LLC, Downers Grove, IL</t>
        </is>
      </c>
      <c r="E52" t="inlineStr">
        <is>
          <t>60515</t>
        </is>
      </c>
      <c r="F52" t="inlineStr">
        <is>
          <t>Exchange Traded Fund (Investment Trust)</t>
        </is>
      </c>
      <c r="G52" t="inlineStr">
        <is>
          <t>2025-08-19</t>
        </is>
      </c>
      <c r="H52" t="n">
        <v>99448</v>
      </c>
      <c r="I52" t="n">
        <v>102096</v>
      </c>
      <c r="J52" t="n">
        <v>102096</v>
      </c>
      <c r="K52" t="n">
        <v>264</v>
      </c>
      <c r="L52" t="n">
        <v>0</v>
      </c>
    </row>
    <row r="53">
      <c r="A53" t="inlineStr">
        <is>
          <t>United Kingdom</t>
        </is>
      </c>
      <c r="B53" t="n">
        <v>234</v>
      </c>
      <c r="C53" t="inlineStr">
        <is>
          <t>R6C0d</t>
        </is>
      </c>
      <c r="D53" t="inlineStr">
        <is>
          <t>Shell Centre, 2 York Road, London</t>
        </is>
      </c>
      <c r="E53" t="inlineStr">
        <is>
          <t>SE1 7NA</t>
        </is>
      </c>
      <c r="F53" t="inlineStr">
        <is>
          <t>Listed Foreign Equity Share (Company)</t>
        </is>
      </c>
      <c r="G53" t="inlineStr">
        <is>
          <t>2025-01-29</t>
        </is>
      </c>
      <c r="H53" t="n">
        <v>69985</v>
      </c>
      <c r="I53" t="n">
        <v>86820</v>
      </c>
      <c r="J53" t="n">
        <v>0</v>
      </c>
      <c r="K53" t="n">
        <v>0</v>
      </c>
      <c r="L53" t="n">
        <v>81722</v>
      </c>
    </row>
    <row r="54">
      <c r="A54" t="inlineStr">
        <is>
          <t>United Kingdom</t>
        </is>
      </c>
      <c r="B54" t="n">
        <v>234</v>
      </c>
      <c r="C54" t="inlineStr">
        <is>
          <t>R6C0d</t>
        </is>
      </c>
      <c r="D54" t="inlineStr">
        <is>
          <t>Shell Centre, 2 York Road, London</t>
        </is>
      </c>
      <c r="E54" t="inlineStr">
        <is>
          <t>SE1 7NA</t>
        </is>
      </c>
      <c r="F54" t="inlineStr">
        <is>
          <t>Listed Foreign Equity Share (Company)</t>
        </is>
      </c>
      <c r="G54" t="inlineStr">
        <is>
          <t>2025-04-07</t>
        </is>
      </c>
      <c r="H54" t="n">
        <v>113479</v>
      </c>
      <c r="I54" t="n">
        <v>134755</v>
      </c>
      <c r="J54" t="n">
        <v>0</v>
      </c>
      <c r="K54" t="n">
        <v>0</v>
      </c>
      <c r="L54" t="n">
        <v>126841</v>
      </c>
    </row>
    <row r="55">
      <c r="A55" t="inlineStr">
        <is>
          <t>United States of America</t>
        </is>
      </c>
      <c r="B55" t="n">
        <v>2</v>
      </c>
      <c r="C55" t="inlineStr">
        <is>
          <t>RTX</t>
        </is>
      </c>
      <c r="D55" t="inlineStr">
        <is>
          <t>1000 Wilson Boulevard, Arlington, VA</t>
        </is>
      </c>
      <c r="E55" t="inlineStr">
        <is>
          <t>22209</t>
        </is>
      </c>
      <c r="F55" t="inlineStr">
        <is>
          <t>Listed Foreign Equity Share (Company)</t>
        </is>
      </c>
      <c r="G55" t="inlineStr">
        <is>
          <t>2025-01-28</t>
        </is>
      </c>
      <c r="H55" t="n">
        <v>69690</v>
      </c>
      <c r="I55" t="n">
        <v>93125</v>
      </c>
      <c r="J55" t="n">
        <v>0</v>
      </c>
      <c r="K55" t="n">
        <v>1146</v>
      </c>
      <c r="L55" t="n">
        <v>88577</v>
      </c>
    </row>
    <row r="56">
      <c r="A56" t="inlineStr">
        <is>
          <t>United States of America</t>
        </is>
      </c>
      <c r="B56" t="n">
        <v>2</v>
      </c>
      <c r="C56" t="inlineStr">
        <is>
          <t>RTX</t>
        </is>
      </c>
      <c r="D56" t="inlineStr">
        <is>
          <t>1000 Wilson Boulevard, Arlington, VA</t>
        </is>
      </c>
      <c r="E56" t="inlineStr">
        <is>
          <t>22209</t>
        </is>
      </c>
      <c r="F56" t="inlineStr">
        <is>
          <t>Listed Foreign Equity Share (Company)</t>
        </is>
      </c>
      <c r="G56" t="inlineStr">
        <is>
          <t>2025-04-07</t>
        </is>
      </c>
      <c r="H56" t="n">
        <v>69608</v>
      </c>
      <c r="I56" t="n">
        <v>93125</v>
      </c>
      <c r="J56" t="n">
        <v>0</v>
      </c>
      <c r="K56" t="n">
        <v>0</v>
      </c>
      <c r="L56" t="n">
        <v>88577</v>
      </c>
    </row>
    <row r="57">
      <c r="A57" t="inlineStr">
        <is>
          <t>United States of America</t>
        </is>
      </c>
      <c r="B57" t="n">
        <v>2</v>
      </c>
      <c r="C57" t="inlineStr">
        <is>
          <t>SLV</t>
        </is>
      </c>
      <c r="D57" t="inlineStr">
        <is>
          <t>c/o iShares Delaware Trust Sponsor LLC / BlackRock, San Francisco, CA</t>
        </is>
      </c>
      <c r="E57" t="inlineStr">
        <is>
          <t>94105</t>
        </is>
      </c>
      <c r="F57" t="inlineStr">
        <is>
          <t>Exchange Traded Fund (Investment Trust)</t>
        </is>
      </c>
      <c r="G57" t="inlineStr">
        <is>
          <t>2025-01-28</t>
        </is>
      </c>
      <c r="H57" t="n">
        <v>72445</v>
      </c>
      <c r="I57" t="n">
        <v>84982</v>
      </c>
      <c r="J57" t="n">
        <v>84982</v>
      </c>
      <c r="K57" t="n">
        <v>0</v>
      </c>
      <c r="L57" t="n">
        <v>0</v>
      </c>
    </row>
    <row r="58">
      <c r="A58" t="inlineStr">
        <is>
          <t>United States of America</t>
        </is>
      </c>
      <c r="B58" t="n">
        <v>2</v>
      </c>
      <c r="C58" t="inlineStr">
        <is>
          <t>TGT</t>
        </is>
      </c>
      <c r="D58" t="inlineStr">
        <is>
          <t>1000 Nicollet Mall, Minneapolis, MN</t>
        </is>
      </c>
      <c r="E58" t="inlineStr">
        <is>
          <t>55403</t>
        </is>
      </c>
      <c r="F58" t="inlineStr">
        <is>
          <t>Listed Foreign Equity Share (Company)</t>
        </is>
      </c>
      <c r="G58" t="inlineStr">
        <is>
          <t>2025-01-28</t>
        </is>
      </c>
      <c r="H58" t="n">
        <v>54298</v>
      </c>
      <c r="I58" t="n">
        <v>57019</v>
      </c>
      <c r="J58" t="n">
        <v>0</v>
      </c>
      <c r="K58" t="n">
        <v>2576</v>
      </c>
      <c r="L58" t="n">
        <v>53492</v>
      </c>
    </row>
    <row r="59">
      <c r="A59" t="inlineStr">
        <is>
          <t>United States of America</t>
        </is>
      </c>
      <c r="B59" t="n">
        <v>2</v>
      </c>
      <c r="C59" t="inlineStr">
        <is>
          <t>TGT</t>
        </is>
      </c>
      <c r="D59" t="inlineStr">
        <is>
          <t>1000 Nicollet Mall, Minneapolis, MN</t>
        </is>
      </c>
      <c r="E59" t="inlineStr">
        <is>
          <t>55403</t>
        </is>
      </c>
      <c r="F59" t="inlineStr">
        <is>
          <t>Listed Foreign Equity Share (Company)</t>
        </is>
      </c>
      <c r="G59" t="inlineStr">
        <is>
          <t>2025-04-07</t>
        </is>
      </c>
      <c r="H59" t="n">
        <v>136725</v>
      </c>
      <c r="I59" t="n">
        <v>143747</v>
      </c>
      <c r="J59" t="n">
        <v>0</v>
      </c>
      <c r="K59" t="n">
        <v>0</v>
      </c>
      <c r="L59" t="n">
        <v>134853</v>
      </c>
    </row>
    <row r="60">
      <c r="A60" t="inlineStr">
        <is>
          <t>United States of America</t>
        </is>
      </c>
      <c r="B60" t="n">
        <v>2</v>
      </c>
      <c r="C60" t="inlineStr">
        <is>
          <t>TIP</t>
        </is>
      </c>
      <c r="D60" t="inlineStr">
        <is>
          <t>c/o BlackRock Fund Advisors, 400 Howard Street, San Francisco, CA</t>
        </is>
      </c>
      <c r="E60" t="inlineStr">
        <is>
          <t>94105</t>
        </is>
      </c>
      <c r="F60" t="inlineStr">
        <is>
          <t>Exchange Traded Fund (Investment Trust)</t>
        </is>
      </c>
      <c r="G60" t="inlineStr">
        <is>
          <t>2025-01-28</t>
        </is>
      </c>
      <c r="H60" t="n">
        <v>73507</v>
      </c>
      <c r="I60" t="n">
        <v>79514</v>
      </c>
      <c r="J60" t="n">
        <v>79514</v>
      </c>
      <c r="K60" t="n">
        <v>2633</v>
      </c>
      <c r="L60" t="n">
        <v>0</v>
      </c>
    </row>
    <row r="61">
      <c r="A61" t="inlineStr">
        <is>
          <t>Taiwan</t>
        </is>
      </c>
      <c r="B61" t="n">
        <v>212</v>
      </c>
      <c r="C61" t="inlineStr">
        <is>
          <t>TSM</t>
        </is>
      </c>
      <c r="D61" t="inlineStr">
        <is>
          <t>8 Li-Hsin Road 6, Hsinchu Science Park, Hsinchu</t>
        </is>
      </c>
      <c r="E61" t="inlineStr">
        <is>
          <t>30078</t>
        </is>
      </c>
      <c r="F61" t="inlineStr">
        <is>
          <t>American Depository Receipt of Listed Foreign Company</t>
        </is>
      </c>
      <c r="G61" t="inlineStr">
        <is>
          <t>2025-01-28</t>
        </is>
      </c>
      <c r="H61" t="n">
        <v>29867</v>
      </c>
      <c r="I61" t="n">
        <v>48026</v>
      </c>
      <c r="J61" t="n">
        <v>0</v>
      </c>
      <c r="K61" t="n">
        <v>603</v>
      </c>
      <c r="L61" t="n">
        <v>45680</v>
      </c>
    </row>
    <row r="62">
      <c r="A62" t="inlineStr">
        <is>
          <t>Taiwan</t>
        </is>
      </c>
      <c r="B62" t="n">
        <v>212</v>
      </c>
      <c r="C62" t="inlineStr">
        <is>
          <t>TSM</t>
        </is>
      </c>
      <c r="D62" t="inlineStr">
        <is>
          <t>8 Li-Hsin Road 6, Hsinchu Science Park, Hsinchu</t>
        </is>
      </c>
      <c r="E62" t="inlineStr">
        <is>
          <t>30078</t>
        </is>
      </c>
      <c r="F62" t="inlineStr">
        <is>
          <t>American Depository Receipt of Listed Foreign Company</t>
        </is>
      </c>
      <c r="G62" t="inlineStr">
        <is>
          <t>2025-04-07</t>
        </is>
      </c>
      <c r="H62" t="n">
        <v>68203</v>
      </c>
      <c r="I62" t="n">
        <v>109799</v>
      </c>
      <c r="J62" t="n">
        <v>0</v>
      </c>
      <c r="K62" t="n">
        <v>0</v>
      </c>
      <c r="L62" t="n">
        <v>104436</v>
      </c>
    </row>
    <row r="63">
      <c r="A63" t="inlineStr">
        <is>
          <t>United States of America</t>
        </is>
      </c>
      <c r="B63" t="n">
        <v>2</v>
      </c>
      <c r="C63" t="inlineStr">
        <is>
          <t>URA</t>
        </is>
      </c>
      <c r="D63" t="inlineStr">
        <is>
          <t>c/o Global X Management Company LLC, 605 Third Avenue, New York, NY</t>
        </is>
      </c>
      <c r="E63" t="inlineStr">
        <is>
          <t>10158</t>
        </is>
      </c>
      <c r="F63" t="inlineStr">
        <is>
          <t>Exchange Traded Fund (Investment Trust)</t>
        </is>
      </c>
      <c r="G63" t="inlineStr">
        <is>
          <t>2025-12-12</t>
        </is>
      </c>
      <c r="H63" t="n">
        <v>218550</v>
      </c>
      <c r="I63" t="n">
        <v>219828</v>
      </c>
      <c r="J63" t="n">
        <v>219828</v>
      </c>
      <c r="K63" t="n">
        <v>0</v>
      </c>
      <c r="L63" t="n">
        <v>0</v>
      </c>
    </row>
    <row r="64">
      <c r="A64" t="inlineStr">
        <is>
          <t>United States of America</t>
        </is>
      </c>
      <c r="B64" t="n">
        <v>2</v>
      </c>
      <c r="C64" t="inlineStr">
        <is>
          <t>V</t>
        </is>
      </c>
      <c r="D64" t="inlineStr">
        <is>
          <t>P.O. Box 8999, San Francisco, CA</t>
        </is>
      </c>
      <c r="E64" t="inlineStr">
        <is>
          <t>94128</t>
        </is>
      </c>
      <c r="F64" t="inlineStr">
        <is>
          <t>Listed Foreign Equity Share (Company)</t>
        </is>
      </c>
      <c r="G64" t="inlineStr">
        <is>
          <t>2025-12-12</t>
        </is>
      </c>
      <c r="H64" t="n">
        <v>123907</v>
      </c>
      <c r="I64" t="n">
        <v>124632</v>
      </c>
      <c r="J64" t="n">
        <v>124632</v>
      </c>
      <c r="K64" t="n">
        <v>0</v>
      </c>
      <c r="L64" t="n">
        <v>0</v>
      </c>
    </row>
    <row r="65">
      <c r="A65" t="inlineStr">
        <is>
          <t>United States of America</t>
        </is>
      </c>
      <c r="B65" t="n">
        <v>2</v>
      </c>
      <c r="C65" t="inlineStr">
        <is>
          <t>VT</t>
        </is>
      </c>
      <c r="D65" t="inlineStr">
        <is>
          <t>c/o The Vanguard Group Inc, 100 Vanguard Boulevard, Malvern, PA</t>
        </is>
      </c>
      <c r="E65" t="inlineStr">
        <is>
          <t>19355</t>
        </is>
      </c>
      <c r="F65" t="inlineStr">
        <is>
          <t>Exchange Traded Fund (Investment Trust)</t>
        </is>
      </c>
      <c r="G65" t="inlineStr">
        <is>
          <t>2025-08-19</t>
        </is>
      </c>
      <c r="H65" t="n">
        <v>92759</v>
      </c>
      <c r="I65" t="n">
        <v>95228</v>
      </c>
      <c r="J65" t="n">
        <v>95228</v>
      </c>
      <c r="K65" t="n">
        <v>1128</v>
      </c>
      <c r="L65" t="n">
        <v>0</v>
      </c>
    </row>
    <row r="66">
      <c r="A66" t="inlineStr">
        <is>
          <t>United States of America</t>
        </is>
      </c>
      <c r="B66" t="n">
        <v>2</v>
      </c>
      <c r="C66" t="inlineStr">
        <is>
          <t>VTV</t>
        </is>
      </c>
      <c r="D66" t="inlineStr">
        <is>
          <t>c/o The Vanguard Group Inc, 100 Vanguard Boulevard, Malvern, PA</t>
        </is>
      </c>
      <c r="E66" t="inlineStr">
        <is>
          <t>19355</t>
        </is>
      </c>
      <c r="F66" t="inlineStr">
        <is>
          <t>Exchange Traded Fund (Investment Trust)</t>
        </is>
      </c>
      <c r="G66" t="inlineStr">
        <is>
          <t>2025-08-19</t>
        </is>
      </c>
      <c r="H66" t="n">
        <v>94677</v>
      </c>
      <c r="I66" t="n">
        <v>97198</v>
      </c>
      <c r="J66" t="n">
        <v>97198</v>
      </c>
      <c r="K66" t="n">
        <v>1027</v>
      </c>
      <c r="L66" t="n">
        <v>0</v>
      </c>
    </row>
    <row r="67">
      <c r="A67" t="inlineStr">
        <is>
          <t>Ireland</t>
        </is>
      </c>
      <c r="B67" t="n">
        <v>101</v>
      </c>
      <c r="C67" t="inlineStr">
        <is>
          <t>WCBR</t>
        </is>
      </c>
      <c r="D67" t="inlineStr">
        <is>
          <t>c/o WisdomTree Issuer ICAV, Dublin</t>
        </is>
      </c>
      <c r="E67" t="inlineStr">
        <is>
          <t>D02 T860</t>
        </is>
      </c>
      <c r="F67" t="inlineStr">
        <is>
          <t>Exchange Traded Fund (Investment Trust)</t>
        </is>
      </c>
      <c r="G67" t="inlineStr">
        <is>
          <t>2025-08-20</t>
        </is>
      </c>
      <c r="H67" t="n">
        <v>149817</v>
      </c>
      <c r="I67" t="n">
        <v>159003</v>
      </c>
      <c r="J67" t="n">
        <v>159003</v>
      </c>
      <c r="K67" t="n">
        <v>0</v>
      </c>
      <c r="L67" t="n">
        <v>0</v>
      </c>
    </row>
    <row r="68">
      <c r="A68" t="inlineStr">
        <is>
          <t>Ireland</t>
        </is>
      </c>
      <c r="B68" t="n">
        <v>101</v>
      </c>
      <c r="C68" t="inlineStr">
        <is>
          <t>WCBR</t>
        </is>
      </c>
      <c r="D68" t="inlineStr">
        <is>
          <t>c/o WisdomTree Issuer ICAV, Dublin</t>
        </is>
      </c>
      <c r="E68" t="inlineStr">
        <is>
          <t>D02 T860</t>
        </is>
      </c>
      <c r="F68" t="inlineStr">
        <is>
          <t>Exchange Traded Fund (Investment Trust)</t>
        </is>
      </c>
      <c r="G68" t="inlineStr">
        <is>
          <t>2025-08-20</t>
        </is>
      </c>
      <c r="H68" t="n">
        <v>149817</v>
      </c>
      <c r="I68" t="n">
        <v>159003</v>
      </c>
      <c r="J68" t="n">
        <v>159003</v>
      </c>
      <c r="K68" t="n">
        <v>0</v>
      </c>
      <c r="L68" t="n">
        <v>0</v>
      </c>
    </row>
    <row r="69">
      <c r="A69" t="inlineStr">
        <is>
          <t>United States of America</t>
        </is>
      </c>
      <c r="B69" t="n">
        <v>2</v>
      </c>
      <c r="C69" t="inlineStr">
        <is>
          <t>WFC</t>
        </is>
      </c>
      <c r="D69" t="inlineStr">
        <is>
          <t>420 Montgomery Street, San Francisco, CA</t>
        </is>
      </c>
      <c r="E69" t="inlineStr">
        <is>
          <t>94104</t>
        </is>
      </c>
      <c r="F69" t="inlineStr">
        <is>
          <t>Listed Foreign Equity Share (Company)</t>
        </is>
      </c>
      <c r="G69" t="inlineStr">
        <is>
          <t>2025-08-19</t>
        </is>
      </c>
      <c r="H69" t="n">
        <v>80828</v>
      </c>
      <c r="I69" t="n">
        <v>82980</v>
      </c>
      <c r="J69" t="n">
        <v>82980</v>
      </c>
      <c r="K69" t="n">
        <v>480</v>
      </c>
      <c r="L69" t="n">
        <v>0</v>
      </c>
    </row>
    <row r="70">
      <c r="A70" t="inlineStr">
        <is>
          <t>United States of America</t>
        </is>
      </c>
      <c r="B70" t="n">
        <v>2</v>
      </c>
      <c r="C70" t="inlineStr">
        <is>
          <t>XOM</t>
        </is>
      </c>
      <c r="D70" t="inlineStr">
        <is>
          <t>22777 Springwoods Village Parkway, Spring, TX</t>
        </is>
      </c>
      <c r="E70" t="inlineStr">
        <is>
          <t>77389</t>
        </is>
      </c>
      <c r="F70" t="inlineStr">
        <is>
          <t>Listed Foreign Equity Share (Company)</t>
        </is>
      </c>
      <c r="G70" t="inlineStr">
        <is>
          <t>2025-01-28</t>
        </is>
      </c>
      <c r="H70" t="n">
        <v>67321</v>
      </c>
      <c r="I70" t="n">
        <v>74791</v>
      </c>
      <c r="J70" t="n">
        <v>0</v>
      </c>
      <c r="K70" t="n">
        <v>2473</v>
      </c>
      <c r="L70" t="n">
        <v>71138</v>
      </c>
    </row>
    <row r="71">
      <c r="A71" t="inlineStr">
        <is>
          <t>United States of America</t>
        </is>
      </c>
      <c r="B71" t="n">
        <v>2</v>
      </c>
      <c r="C71" t="inlineStr">
        <is>
          <t>XOM</t>
        </is>
      </c>
      <c r="D71" t="inlineStr">
        <is>
          <t>22777 Springwoods Village Parkway, Spring, TX</t>
        </is>
      </c>
      <c r="E71" t="inlineStr">
        <is>
          <t>77389</t>
        </is>
      </c>
      <c r="F71" t="inlineStr">
        <is>
          <t>Listed Foreign Equity Share (Company)</t>
        </is>
      </c>
      <c r="G71" t="inlineStr">
        <is>
          <t>2025-04-07</t>
        </is>
      </c>
      <c r="H71" t="n">
        <v>123867</v>
      </c>
      <c r="I71" t="n">
        <v>137772</v>
      </c>
      <c r="J71" t="n">
        <v>0</v>
      </c>
      <c r="K71" t="n">
        <v>0</v>
      </c>
      <c r="L71" t="n">
        <v>131043</v>
      </c>
    </row>
    <row r="72"/>
    <row r="73">
      <c r="G73" t="inlineStr">
        <is>
          <t>TOTAL (Rs.)</t>
        </is>
      </c>
      <c r="H73" s="4" t="n">
        <v>13551440</v>
      </c>
      <c r="I73" s="4" t="n">
        <v>16457663</v>
      </c>
      <c r="J73" s="4" t="n">
        <v>3011304</v>
      </c>
      <c r="K73" s="4" t="n">
        <v>42731</v>
      </c>
      <c r="L73" s="4" t="n">
        <v>12910156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Cayman Islands</t>
        </is>
      </c>
      <c r="C2" t="n">
        <v>40</v>
      </c>
      <c r="D2" t="inlineStr">
        <is>
          <t>1810</t>
        </is>
      </c>
      <c r="E2" t="inlineStr">
        <is>
          <t>Xiaomi Corp - Class B</t>
        </is>
      </c>
      <c r="F2" t="inlineStr">
        <is>
          <t>Listed Foreign Equity Share (Company)</t>
        </is>
      </c>
      <c r="G2" t="n">
        <v>200</v>
      </c>
      <c r="H2" t="inlineStr">
        <is>
          <t>2025-05-28</t>
        </is>
      </c>
      <c r="I2" t="n">
        <v>1331.71</v>
      </c>
      <c r="J2" t="n">
        <v>1331.71</v>
      </c>
      <c r="K2" t="n">
        <v>0</v>
      </c>
      <c r="L2" t="n">
        <v>0</v>
      </c>
      <c r="M2" t="n">
        <v>1033.06</v>
      </c>
    </row>
    <row r="3">
      <c r="A3" t="n">
        <v>2</v>
      </c>
      <c r="B3" t="inlineStr">
        <is>
          <t>Cayman Islands</t>
        </is>
      </c>
      <c r="C3" t="n">
        <v>40</v>
      </c>
      <c r="D3" t="inlineStr">
        <is>
          <t>1810</t>
        </is>
      </c>
      <c r="E3" t="inlineStr">
        <is>
          <t>Xiaomi Corp - Class B</t>
        </is>
      </c>
      <c r="F3" t="inlineStr">
        <is>
          <t>Listed Foreign Equity Share (Company)</t>
        </is>
      </c>
      <c r="G3" t="n">
        <v>200</v>
      </c>
      <c r="H3" t="inlineStr">
        <is>
          <t>2025-08-19</t>
        </is>
      </c>
      <c r="I3" t="n">
        <v>1331.71</v>
      </c>
      <c r="J3" t="n">
        <v>1331.71</v>
      </c>
      <c r="K3" t="n">
        <v>0</v>
      </c>
      <c r="L3" t="n">
        <v>0</v>
      </c>
      <c r="M3" t="n">
        <v>1033.06</v>
      </c>
    </row>
    <row r="4">
      <c r="A4" t="n">
        <v>3</v>
      </c>
      <c r="B4" t="inlineStr">
        <is>
          <t>China</t>
        </is>
      </c>
      <c r="C4" t="n">
        <v>44</v>
      </c>
      <c r="D4" t="inlineStr">
        <is>
          <t>1919</t>
        </is>
      </c>
      <c r="E4" t="inlineStr">
        <is>
          <t>COSCO Shipping Holdings Co - H</t>
        </is>
      </c>
      <c r="F4" t="inlineStr">
        <is>
          <t>Listed Foreign Equity Share (Company)</t>
        </is>
      </c>
      <c r="G4" t="n">
        <v>500</v>
      </c>
      <c r="H4" t="inlineStr">
        <is>
          <t>2025-08-19</t>
        </is>
      </c>
      <c r="I4" t="n">
        <v>925.9299999999999</v>
      </c>
      <c r="J4" t="n">
        <v>925.9299999999999</v>
      </c>
      <c r="K4" t="n">
        <v>925.9299999999999</v>
      </c>
      <c r="L4" t="n">
        <v>39.44</v>
      </c>
      <c r="M4" t="n">
        <v>0</v>
      </c>
    </row>
    <row r="5">
      <c r="A5" t="n">
        <v>4</v>
      </c>
      <c r="B5" t="inlineStr">
        <is>
          <t>Hong Kong</t>
        </is>
      </c>
      <c r="C5" t="n">
        <v>94</v>
      </c>
      <c r="D5" t="inlineStr">
        <is>
          <t>3069</t>
        </is>
      </c>
      <c r="E5" t="inlineStr">
        <is>
          <t>ChinaAMC Hang Seng Biotech ETF</t>
        </is>
      </c>
      <c r="F5" t="inlineStr">
        <is>
          <t>Exchange Traded Fund (Investment Trust)</t>
        </is>
      </c>
      <c r="G5" t="n">
        <v>500</v>
      </c>
      <c r="H5" t="inlineStr">
        <is>
          <t>2025-07-17</t>
        </is>
      </c>
      <c r="I5" t="n">
        <v>1018.7</v>
      </c>
      <c r="J5" t="n">
        <v>1018.7</v>
      </c>
      <c r="K5" t="n">
        <v>1018.7</v>
      </c>
      <c r="L5" t="n">
        <v>3.21</v>
      </c>
      <c r="M5" t="n">
        <v>0</v>
      </c>
    </row>
    <row r="6">
      <c r="A6" t="n">
        <v>5</v>
      </c>
      <c r="B6" t="inlineStr">
        <is>
          <t>Hong Kong</t>
        </is>
      </c>
      <c r="C6" t="n">
        <v>94</v>
      </c>
      <c r="D6" t="inlineStr">
        <is>
          <t>3088</t>
        </is>
      </c>
      <c r="E6" t="inlineStr">
        <is>
          <t>ChinaAMC Hang Seng TECH Index ETF</t>
        </is>
      </c>
      <c r="F6" t="inlineStr">
        <is>
          <t>Exchange Traded Fund (Investment Trust)</t>
        </is>
      </c>
      <c r="G6" t="n">
        <v>1200</v>
      </c>
      <c r="H6" t="inlineStr">
        <is>
          <t>2025-05-28</t>
        </is>
      </c>
      <c r="I6" t="n">
        <v>1032.32</v>
      </c>
      <c r="J6" t="n">
        <v>1032.32</v>
      </c>
      <c r="K6" t="n">
        <v>1032.32</v>
      </c>
      <c r="L6" t="n">
        <v>3.08</v>
      </c>
      <c r="M6" t="n">
        <v>0</v>
      </c>
    </row>
    <row r="7">
      <c r="A7" t="n">
        <v>6</v>
      </c>
      <c r="B7" t="inlineStr">
        <is>
          <t>Hong Kong</t>
        </is>
      </c>
      <c r="C7" t="n">
        <v>94</v>
      </c>
      <c r="D7" t="inlineStr">
        <is>
          <t>3188</t>
        </is>
      </c>
      <c r="E7" t="inlineStr">
        <is>
          <t>ChinaAMC CSI 300 Index ETF</t>
        </is>
      </c>
      <c r="F7" t="inlineStr">
        <is>
          <t>Exchange Traded Fund (Investment Trust)</t>
        </is>
      </c>
      <c r="G7" t="n">
        <v>200</v>
      </c>
      <c r="H7" t="inlineStr">
        <is>
          <t>2025-05-28</t>
        </is>
      </c>
      <c r="I7" t="n">
        <v>1121.75</v>
      </c>
      <c r="J7" t="n">
        <v>1121.75</v>
      </c>
      <c r="K7" t="n">
        <v>1121.75</v>
      </c>
      <c r="L7" t="n">
        <v>106</v>
      </c>
      <c r="M7" t="n">
        <v>0</v>
      </c>
    </row>
    <row r="8">
      <c r="A8" t="n">
        <v>7</v>
      </c>
      <c r="B8" t="inlineStr">
        <is>
          <t>Japan</t>
        </is>
      </c>
      <c r="C8" t="n">
        <v>111</v>
      </c>
      <c r="D8" t="inlineStr">
        <is>
          <t>4568.T</t>
        </is>
      </c>
      <c r="E8" t="inlineStr">
        <is>
          <t>Daiichi Sankyo Co Ltd</t>
        </is>
      </c>
      <c r="F8" t="inlineStr">
        <is>
          <t>Listed Foreign Equity Share (Company)</t>
        </is>
      </c>
      <c r="G8" t="n">
        <v>100</v>
      </c>
      <c r="H8" t="inlineStr">
        <is>
          <t>2025-05-28</t>
        </is>
      </c>
      <c r="I8" t="n">
        <v>2500.12</v>
      </c>
      <c r="J8" t="n">
        <v>2500.12</v>
      </c>
      <c r="K8" t="n">
        <v>2500.12</v>
      </c>
      <c r="L8" t="n">
        <v>24.89</v>
      </c>
      <c r="M8" t="n">
        <v>0</v>
      </c>
    </row>
    <row r="9">
      <c r="A9" t="n">
        <v>8</v>
      </c>
      <c r="B9" t="inlineStr">
        <is>
          <t>United States of America</t>
        </is>
      </c>
      <c r="C9" t="n">
        <v>2</v>
      </c>
      <c r="D9" t="inlineStr">
        <is>
          <t>AAPL</t>
        </is>
      </c>
      <c r="E9" t="inlineStr">
        <is>
          <t>Apple Inc - Common Stock</t>
        </is>
      </c>
      <c r="F9" t="inlineStr">
        <is>
          <t>Listed Foreign Equity Share (Company)</t>
        </is>
      </c>
      <c r="G9" t="n">
        <v>4</v>
      </c>
      <c r="H9" t="inlineStr">
        <is>
          <t>2025-08-19</t>
        </is>
      </c>
      <c r="I9" t="n">
        <v>923.62</v>
      </c>
      <c r="J9" t="n">
        <v>923.62</v>
      </c>
      <c r="K9" t="n">
        <v>923.62</v>
      </c>
      <c r="L9" t="n">
        <v>1.04</v>
      </c>
      <c r="M9" t="n">
        <v>0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AAXJ</t>
        </is>
      </c>
      <c r="E10" t="inlineStr">
        <is>
          <t>iShares MSCI All Country Asia ex Japan ETF</t>
        </is>
      </c>
      <c r="F10" t="inlineStr">
        <is>
          <t>Exchange Traded Fund (Investment Trust)</t>
        </is>
      </c>
      <c r="G10" t="n">
        <v>6</v>
      </c>
      <c r="H10" t="inlineStr">
        <is>
          <t>2025-08-19</t>
        </is>
      </c>
      <c r="I10" t="n">
        <v>516.13</v>
      </c>
      <c r="J10" t="n">
        <v>516.13</v>
      </c>
      <c r="K10" t="n">
        <v>516.13</v>
      </c>
      <c r="L10" t="n">
        <v>6.75</v>
      </c>
      <c r="M10" t="n">
        <v>0</v>
      </c>
    </row>
    <row r="11">
      <c r="A11" t="n">
        <v>10</v>
      </c>
      <c r="B11" t="inlineStr">
        <is>
          <t>Ireland</t>
        </is>
      </c>
      <c r="C11" t="n">
        <v>101</v>
      </c>
      <c r="D11" t="inlineStr">
        <is>
          <t>ACN</t>
        </is>
      </c>
      <c r="E11" t="inlineStr">
        <is>
          <t>Accenture plc - Class A</t>
        </is>
      </c>
      <c r="F11" t="inlineStr">
        <is>
          <t>Listed Foreign Equity Share (Company)</t>
        </is>
      </c>
      <c r="G11" t="n">
        <v>2.32</v>
      </c>
      <c r="H11" t="inlineStr">
        <is>
          <t>2025-01-28</t>
        </is>
      </c>
      <c r="I11" t="n">
        <v>878.62</v>
      </c>
      <c r="J11" t="n">
        <v>878.62</v>
      </c>
      <c r="K11" t="n">
        <v>723.9299999999999</v>
      </c>
      <c r="L11" t="n">
        <v>33.59</v>
      </c>
      <c r="M11" t="n">
        <v>0</v>
      </c>
    </row>
    <row r="12">
      <c r="A12" t="n">
        <v>11</v>
      </c>
      <c r="B12" t="inlineStr">
        <is>
          <t>Ireland</t>
        </is>
      </c>
      <c r="C12" t="n">
        <v>101</v>
      </c>
      <c r="D12" t="inlineStr">
        <is>
          <t>ACN</t>
        </is>
      </c>
      <c r="E12" t="inlineStr">
        <is>
          <t>Accenture plc - Class A</t>
        </is>
      </c>
      <c r="F12" t="inlineStr">
        <is>
          <t>Listed Foreign Equity Share (Company)</t>
        </is>
      </c>
      <c r="G12" t="n">
        <v>5</v>
      </c>
      <c r="H12" t="inlineStr">
        <is>
          <t>2025-04-07</t>
        </is>
      </c>
      <c r="I12" t="n">
        <v>1402.65</v>
      </c>
      <c r="J12" t="n">
        <v>1560.2</v>
      </c>
      <c r="K12" t="n">
        <v>1560.2</v>
      </c>
      <c r="L12" t="n">
        <v>0</v>
      </c>
      <c r="M12" t="n">
        <v>0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AEP</t>
        </is>
      </c>
      <c r="E13" t="inlineStr">
        <is>
          <t>American Electric Power Co Inc</t>
        </is>
      </c>
      <c r="F13" t="inlineStr">
        <is>
          <t>Listed Foreign Equity Share (Company)</t>
        </is>
      </c>
      <c r="G13" t="n">
        <v>18</v>
      </c>
      <c r="H13" t="inlineStr">
        <is>
          <t>2025-12-12</t>
        </is>
      </c>
      <c r="I13" t="n">
        <v>2072.26</v>
      </c>
      <c r="J13" t="n">
        <v>2072.26</v>
      </c>
      <c r="K13" t="n">
        <v>2072.26</v>
      </c>
      <c r="L13" t="n">
        <v>0</v>
      </c>
      <c r="M13" t="n">
        <v>0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AMD</t>
        </is>
      </c>
      <c r="E14" t="inlineStr">
        <is>
          <t>Advanced Micro Devices Inc</t>
        </is>
      </c>
      <c r="F14" t="inlineStr">
        <is>
          <t>Listed Foreign Equity Share (Company)</t>
        </is>
      </c>
      <c r="G14" t="n">
        <v>6</v>
      </c>
      <c r="H14" t="inlineStr">
        <is>
          <t>2025-08-19</t>
        </is>
      </c>
      <c r="I14" t="n">
        <v>1001.62</v>
      </c>
      <c r="J14" t="n">
        <v>1001.62</v>
      </c>
      <c r="K14" t="n">
        <v>1001.62</v>
      </c>
      <c r="L14" t="n">
        <v>0</v>
      </c>
      <c r="M14" t="n">
        <v>0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AMZN</t>
        </is>
      </c>
      <c r="E15" t="inlineStr">
        <is>
          <t>Amazon.com Inc</t>
        </is>
      </c>
      <c r="F15" t="inlineStr">
        <is>
          <t>Listed Foreign Equity Share (Company)</t>
        </is>
      </c>
      <c r="G15" t="n">
        <v>3.57</v>
      </c>
      <c r="H15" t="inlineStr">
        <is>
          <t>2025-01-28</t>
        </is>
      </c>
      <c r="I15" t="n">
        <v>679.52</v>
      </c>
      <c r="J15" t="n">
        <v>827.02</v>
      </c>
      <c r="K15" t="n">
        <v>0</v>
      </c>
      <c r="L15" t="n">
        <v>0</v>
      </c>
      <c r="M15" t="n">
        <v>827.02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AMZN</t>
        </is>
      </c>
      <c r="E16" t="inlineStr">
        <is>
          <t>Amazon.com Inc</t>
        </is>
      </c>
      <c r="F16" t="inlineStr">
        <is>
          <t>Listed Foreign Equity Share (Company)</t>
        </is>
      </c>
      <c r="G16" t="n">
        <v>10</v>
      </c>
      <c r="H16" t="inlineStr">
        <is>
          <t>2025-04-07</t>
        </is>
      </c>
      <c r="I16" t="n">
        <v>1903.42</v>
      </c>
      <c r="J16" t="n">
        <v>2316.6</v>
      </c>
      <c r="K16" t="n">
        <v>0</v>
      </c>
      <c r="L16" t="n">
        <v>0</v>
      </c>
      <c r="M16" t="n">
        <v>2316.6</v>
      </c>
    </row>
    <row r="17">
      <c r="A17" t="n">
        <v>16</v>
      </c>
      <c r="B17" t="inlineStr">
        <is>
          <t>Netherlands</t>
        </is>
      </c>
      <c r="C17" t="n">
        <v>156</v>
      </c>
      <c r="D17" t="inlineStr">
        <is>
          <t>ASML</t>
        </is>
      </c>
      <c r="E17" t="inlineStr">
        <is>
          <t>ASML Holding NV - NY Registered Shares</t>
        </is>
      </c>
      <c r="F17" t="inlineStr">
        <is>
          <t>American Depository Receipt of Listed Foreign Company</t>
        </is>
      </c>
      <c r="G17" t="n">
        <v>1.5</v>
      </c>
      <c r="H17" t="inlineStr">
        <is>
          <t>2025-08-20</t>
        </is>
      </c>
      <c r="I17" t="n">
        <v>1129.2</v>
      </c>
      <c r="J17" t="n">
        <v>1129.2</v>
      </c>
      <c r="K17" t="n">
        <v>1129.2</v>
      </c>
      <c r="L17" t="n">
        <v>2.82</v>
      </c>
      <c r="M17" t="n">
        <v>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BAC</t>
        </is>
      </c>
      <c r="E18" t="inlineStr">
        <is>
          <t>Bank of America Corp</t>
        </is>
      </c>
      <c r="F18" t="inlineStr">
        <is>
          <t>Listed Foreign Equity Share (Company)</t>
        </is>
      </c>
      <c r="G18" t="n">
        <v>17.87</v>
      </c>
      <c r="H18" t="inlineStr">
        <is>
          <t>2025-01-28</t>
        </is>
      </c>
      <c r="I18" t="n">
        <v>698.3</v>
      </c>
      <c r="J18" t="n">
        <v>857.85</v>
      </c>
      <c r="K18" t="n">
        <v>0</v>
      </c>
      <c r="L18" t="n">
        <v>18.14</v>
      </c>
      <c r="M18" t="n">
        <v>857.85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BAC</t>
        </is>
      </c>
      <c r="E19" t="inlineStr">
        <is>
          <t>Bank of America Corp</t>
        </is>
      </c>
      <c r="F19" t="inlineStr">
        <is>
          <t>Listed Foreign Equity Share (Company)</t>
        </is>
      </c>
      <c r="G19" t="n">
        <v>34</v>
      </c>
      <c r="H19" t="inlineStr">
        <is>
          <t>2025-04-07</t>
        </is>
      </c>
      <c r="I19" t="n">
        <v>1328.61</v>
      </c>
      <c r="J19" t="n">
        <v>1632.17</v>
      </c>
      <c r="K19" t="n">
        <v>0</v>
      </c>
      <c r="L19" t="n">
        <v>0</v>
      </c>
      <c r="M19" t="n">
        <v>1632.17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BLBD</t>
        </is>
      </c>
      <c r="E20" t="inlineStr">
        <is>
          <t>Blue Bird Corp</t>
        </is>
      </c>
      <c r="F20" t="inlineStr">
        <is>
          <t>Listed Foreign Equity Share (Company)</t>
        </is>
      </c>
      <c r="G20" t="n">
        <v>21</v>
      </c>
      <c r="H20" t="inlineStr">
        <is>
          <t>2025-01-28</t>
        </is>
      </c>
      <c r="I20" t="n">
        <v>733.48</v>
      </c>
      <c r="J20" t="n">
        <v>962.75</v>
      </c>
      <c r="K20" t="n">
        <v>0</v>
      </c>
      <c r="L20" t="n">
        <v>0</v>
      </c>
      <c r="M20" t="n">
        <v>962.75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BLBD</t>
        </is>
      </c>
      <c r="E21" t="inlineStr">
        <is>
          <t>Blue Bird Corp</t>
        </is>
      </c>
      <c r="F21" t="inlineStr">
        <is>
          <t>Listed Foreign Equity Share (Company)</t>
        </is>
      </c>
      <c r="G21" t="n">
        <v>21</v>
      </c>
      <c r="H21" t="inlineStr">
        <is>
          <t>2025-04-07</t>
        </is>
      </c>
      <c r="I21" t="n">
        <v>733.48</v>
      </c>
      <c r="J21" t="n">
        <v>962.75</v>
      </c>
      <c r="K21" t="n">
        <v>0</v>
      </c>
      <c r="L21" t="n">
        <v>0</v>
      </c>
      <c r="M21" t="n">
        <v>962.75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BOTZ</t>
        </is>
      </c>
      <c r="E22" t="inlineStr">
        <is>
          <t>Global X Robotics &amp; Artificial Intelligence ETF</t>
        </is>
      </c>
      <c r="F22" t="inlineStr">
        <is>
          <t>Exchange Traded Fund (Investment Trust)</t>
        </is>
      </c>
      <c r="G22" t="n">
        <v>19</v>
      </c>
      <c r="H22" t="inlineStr">
        <is>
          <t>2025-08-19</t>
        </is>
      </c>
      <c r="I22" t="n">
        <v>636.84</v>
      </c>
      <c r="J22" t="n">
        <v>636.84</v>
      </c>
      <c r="K22" t="n">
        <v>636.84</v>
      </c>
      <c r="L22" t="n">
        <v>0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BX</t>
        </is>
      </c>
      <c r="E23" t="inlineStr">
        <is>
          <t>Blackstone Inc</t>
        </is>
      </c>
      <c r="F23" t="inlineStr">
        <is>
          <t>Listed Foreign Equity Share (Company)</t>
        </is>
      </c>
      <c r="G23" t="n">
        <v>6.92</v>
      </c>
      <c r="H23" t="inlineStr">
        <is>
          <t>2025-01-28</t>
        </is>
      </c>
      <c r="I23" t="n">
        <v>990.85</v>
      </c>
      <c r="J23" t="n">
        <v>1236.01</v>
      </c>
      <c r="K23" t="n">
        <v>0</v>
      </c>
      <c r="L23" t="n">
        <v>28.49</v>
      </c>
      <c r="M23" t="n">
        <v>1236.01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BX</t>
        </is>
      </c>
      <c r="E24" t="inlineStr">
        <is>
          <t>Blackstone Inc</t>
        </is>
      </c>
      <c r="F24" t="inlineStr">
        <is>
          <t>Listed Foreign Equity Share (Company)</t>
        </is>
      </c>
      <c r="G24" t="n">
        <v>13</v>
      </c>
      <c r="H24" t="inlineStr">
        <is>
          <t>2025-04-07</t>
        </is>
      </c>
      <c r="I24" t="n">
        <v>1861.42</v>
      </c>
      <c r="J24" t="n">
        <v>2321.99</v>
      </c>
      <c r="K24" t="n">
        <v>0</v>
      </c>
      <c r="L24" t="n">
        <v>0</v>
      </c>
      <c r="M24" t="n">
        <v>2321.99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CAT</t>
        </is>
      </c>
      <c r="E25" t="inlineStr">
        <is>
          <t>Caterpillar Inc</t>
        </is>
      </c>
      <c r="F25" t="inlineStr">
        <is>
          <t>Listed Foreign Equity Share (Company)</t>
        </is>
      </c>
      <c r="G25" t="n">
        <v>2.15</v>
      </c>
      <c r="H25" t="inlineStr">
        <is>
          <t>2025-01-28</t>
        </is>
      </c>
      <c r="I25" t="n">
        <v>679.0700000000001</v>
      </c>
      <c r="J25" t="n">
        <v>924.4400000000001</v>
      </c>
      <c r="K25" t="n">
        <v>0</v>
      </c>
      <c r="L25" t="n">
        <v>17.96</v>
      </c>
      <c r="M25" t="n">
        <v>924.4400000000001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CAT</t>
        </is>
      </c>
      <c r="E26" t="inlineStr">
        <is>
          <t>Caterpillar Inc</t>
        </is>
      </c>
      <c r="F26" t="inlineStr">
        <is>
          <t>Listed Foreign Equity Share (Company)</t>
        </is>
      </c>
      <c r="G26" t="n">
        <v>4</v>
      </c>
      <c r="H26" t="inlineStr">
        <is>
          <t>2025-04-07</t>
        </is>
      </c>
      <c r="I26" t="n">
        <v>1263.38</v>
      </c>
      <c r="J26" t="n">
        <v>1719.88</v>
      </c>
      <c r="K26" t="n">
        <v>0</v>
      </c>
      <c r="L26" t="n">
        <v>0</v>
      </c>
      <c r="M26" t="n">
        <v>1719.88</v>
      </c>
    </row>
    <row r="27">
      <c r="A27" t="n">
        <v>26</v>
      </c>
      <c r="B27" t="inlineStr">
        <is>
          <t>United States of America</t>
        </is>
      </c>
      <c r="C27" t="n">
        <v>2</v>
      </c>
      <c r="D27" t="inlineStr">
        <is>
          <t>COPX</t>
        </is>
      </c>
      <c r="E27" t="inlineStr">
        <is>
          <t>Global X Copper Miners ETF</t>
        </is>
      </c>
      <c r="F27" t="inlineStr">
        <is>
          <t>Exchange Traded Fund (Investment Trust)</t>
        </is>
      </c>
      <c r="G27" t="n">
        <v>21</v>
      </c>
      <c r="H27" t="inlineStr">
        <is>
          <t>2025-12-12</t>
        </is>
      </c>
      <c r="I27" t="n">
        <v>1469.95</v>
      </c>
      <c r="J27" t="n">
        <v>1469.95</v>
      </c>
      <c r="K27" t="n">
        <v>1469.95</v>
      </c>
      <c r="L27" t="n">
        <v>0</v>
      </c>
      <c r="M27" t="n">
        <v>0</v>
      </c>
    </row>
    <row r="28">
      <c r="A28" t="n">
        <v>27</v>
      </c>
      <c r="B28" t="inlineStr">
        <is>
          <t>United States of America</t>
        </is>
      </c>
      <c r="C28" t="n">
        <v>2</v>
      </c>
      <c r="D28" t="inlineStr">
        <is>
          <t>CPNG</t>
        </is>
      </c>
      <c r="E28" t="inlineStr">
        <is>
          <t>Coupang Inc (Delaware) - Class A</t>
        </is>
      </c>
      <c r="F28" t="inlineStr">
        <is>
          <t>Listed Foreign Equity Share (Company)</t>
        </is>
      </c>
      <c r="G28" t="n">
        <v>33</v>
      </c>
      <c r="H28" t="inlineStr">
        <is>
          <t>2025-08-19</t>
        </is>
      </c>
      <c r="I28" t="n">
        <v>956.99</v>
      </c>
      <c r="J28" t="n">
        <v>956.99</v>
      </c>
      <c r="K28" t="n">
        <v>956.99</v>
      </c>
      <c r="L28" t="n">
        <v>0</v>
      </c>
      <c r="M28" t="n">
        <v>0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GD</t>
        </is>
      </c>
      <c r="E29" t="inlineStr">
        <is>
          <t>General Dynamics Corp</t>
        </is>
      </c>
      <c r="F29" t="inlineStr">
        <is>
          <t>Listed Foreign Equity Share (Company)</t>
        </is>
      </c>
      <c r="G29" t="n">
        <v>2.4</v>
      </c>
      <c r="H29" t="inlineStr">
        <is>
          <t>2025-01-28</t>
        </is>
      </c>
      <c r="I29" t="n">
        <v>636.26</v>
      </c>
      <c r="J29" t="n">
        <v>750.35</v>
      </c>
      <c r="K29" t="n">
        <v>0</v>
      </c>
      <c r="L29" t="n">
        <v>7.2</v>
      </c>
      <c r="M29" t="n">
        <v>750.35</v>
      </c>
    </row>
    <row r="30">
      <c r="A30" t="n">
        <v>29</v>
      </c>
      <c r="B30" t="inlineStr">
        <is>
          <t>United States of America</t>
        </is>
      </c>
      <c r="C30" t="n">
        <v>2</v>
      </c>
      <c r="D30" t="inlineStr">
        <is>
          <t>GE</t>
        </is>
      </c>
      <c r="E30" t="inlineStr">
        <is>
          <t>GE Aerospace / General Electric</t>
        </is>
      </c>
      <c r="F30" t="inlineStr">
        <is>
          <t>Listed Foreign Equity Share (Company)</t>
        </is>
      </c>
      <c r="G30" t="n">
        <v>4.32</v>
      </c>
      <c r="H30" t="inlineStr">
        <is>
          <t>2025-01-28</t>
        </is>
      </c>
      <c r="I30" t="n">
        <v>748.5599999999999</v>
      </c>
      <c r="J30" t="n">
        <v>1173.99</v>
      </c>
      <c r="K30" t="n">
        <v>0</v>
      </c>
      <c r="L30" t="n">
        <v>6.72</v>
      </c>
      <c r="M30" t="n">
        <v>1173.99</v>
      </c>
    </row>
    <row r="31">
      <c r="A31" t="n">
        <v>30</v>
      </c>
      <c r="B31" t="inlineStr">
        <is>
          <t>United States of America</t>
        </is>
      </c>
      <c r="C31" t="n">
        <v>2</v>
      </c>
      <c r="D31" t="inlineStr">
        <is>
          <t>GE</t>
        </is>
      </c>
      <c r="E31" t="inlineStr">
        <is>
          <t>GE Aerospace / General Electric</t>
        </is>
      </c>
      <c r="F31" t="inlineStr">
        <is>
          <t>Listed Foreign Equity Share (Company)</t>
        </is>
      </c>
      <c r="G31" t="n">
        <v>10</v>
      </c>
      <c r="H31" t="inlineStr">
        <is>
          <t>2025-04-07</t>
        </is>
      </c>
      <c r="I31" t="n">
        <v>1732.77</v>
      </c>
      <c r="J31" t="n">
        <v>2717.57</v>
      </c>
      <c r="K31" t="n">
        <v>0</v>
      </c>
      <c r="L31" t="n">
        <v>0</v>
      </c>
      <c r="M31" t="n">
        <v>2717.57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GOOG</t>
        </is>
      </c>
      <c r="E32" t="inlineStr">
        <is>
          <t>Alphabet Inc - Class C</t>
        </is>
      </c>
      <c r="F32" t="inlineStr">
        <is>
          <t>Listed Foreign Equity Share (Company)</t>
        </is>
      </c>
      <c r="G32" t="n">
        <v>1</v>
      </c>
      <c r="H32" t="inlineStr">
        <is>
          <t>2024-12-31</t>
        </is>
      </c>
      <c r="I32" t="n">
        <v>89.81</v>
      </c>
      <c r="J32" t="n">
        <v>198.34</v>
      </c>
      <c r="K32" t="n">
        <v>0</v>
      </c>
      <c r="L32" t="n">
        <v>21.4</v>
      </c>
      <c r="M32" t="n">
        <v>198.34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GOOG</t>
        </is>
      </c>
      <c r="E33" t="inlineStr">
        <is>
          <t>Alphabet Inc - Class C</t>
        </is>
      </c>
      <c r="F33" t="inlineStr">
        <is>
          <t>Listed Foreign Equity Share (Company)</t>
        </is>
      </c>
      <c r="G33" t="n">
        <v>28</v>
      </c>
      <c r="H33" t="inlineStr">
        <is>
          <t>2024-12-31</t>
        </is>
      </c>
      <c r="I33" t="n">
        <v>3706.85</v>
      </c>
      <c r="J33" t="n">
        <v>4917.7</v>
      </c>
      <c r="K33" t="n">
        <v>0</v>
      </c>
      <c r="L33" t="n">
        <v>0</v>
      </c>
      <c r="M33" t="n">
        <v>4917.7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GOOG</t>
        </is>
      </c>
      <c r="E34" t="inlineStr">
        <is>
          <t>Alphabet Inc - Class C</t>
        </is>
      </c>
      <c r="F34" t="inlineStr">
        <is>
          <t>Listed Foreign Equity Share (Company)</t>
        </is>
      </c>
      <c r="G34" t="n">
        <v>79</v>
      </c>
      <c r="H34" t="inlineStr">
        <is>
          <t>2024-12-31</t>
        </is>
      </c>
      <c r="I34" t="n">
        <v>7508.59</v>
      </c>
      <c r="J34" t="n">
        <v>11598.78</v>
      </c>
      <c r="K34" t="n">
        <v>0</v>
      </c>
      <c r="L34" t="n">
        <v>0</v>
      </c>
      <c r="M34" t="n">
        <v>11598.78</v>
      </c>
    </row>
    <row r="35">
      <c r="A35" t="n">
        <v>34</v>
      </c>
      <c r="B35" t="inlineStr">
        <is>
          <t>United States of America</t>
        </is>
      </c>
      <c r="C35" t="n">
        <v>2</v>
      </c>
      <c r="D35" t="inlineStr">
        <is>
          <t>GOOG</t>
        </is>
      </c>
      <c r="E35" t="inlineStr">
        <is>
          <t>Alphabet Inc - Class C</t>
        </is>
      </c>
      <c r="F35" t="inlineStr">
        <is>
          <t>Listed Foreign Equity Share (Company)</t>
        </is>
      </c>
      <c r="G35" t="n">
        <v>108</v>
      </c>
      <c r="H35" t="inlineStr">
        <is>
          <t>2024-12-31</t>
        </is>
      </c>
      <c r="I35" t="n">
        <v>9699.48</v>
      </c>
      <c r="J35" t="n">
        <v>20900.16</v>
      </c>
      <c r="K35" t="n">
        <v>0</v>
      </c>
      <c r="L35" t="n">
        <v>0</v>
      </c>
      <c r="M35" t="n">
        <v>20900.16</v>
      </c>
    </row>
    <row r="36">
      <c r="A36" t="n">
        <v>35</v>
      </c>
      <c r="B36" t="inlineStr">
        <is>
          <t>United States of America</t>
        </is>
      </c>
      <c r="C36" t="n">
        <v>2</v>
      </c>
      <c r="D36" t="inlineStr">
        <is>
          <t>GOOG</t>
        </is>
      </c>
      <c r="E36" t="inlineStr">
        <is>
          <t>Alphabet Inc - Class C</t>
        </is>
      </c>
      <c r="F36" t="inlineStr">
        <is>
          <t>Listed Foreign Equity Share (Company)</t>
        </is>
      </c>
      <c r="G36" t="n">
        <v>72</v>
      </c>
      <c r="H36" t="inlineStr">
        <is>
          <t>2025-03-31</t>
        </is>
      </c>
      <c r="I36" t="n">
        <v>9531.91</v>
      </c>
      <c r="J36" t="n">
        <v>12645.51</v>
      </c>
      <c r="K36" t="n">
        <v>0</v>
      </c>
      <c r="L36" t="n">
        <v>0</v>
      </c>
      <c r="M36" t="n">
        <v>12645.51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GOOG</t>
        </is>
      </c>
      <c r="E37" t="inlineStr">
        <is>
          <t>Alphabet Inc - Class C</t>
        </is>
      </c>
      <c r="F37" t="inlineStr">
        <is>
          <t>Listed Foreign Equity Share (Company)</t>
        </is>
      </c>
      <c r="G37" t="n">
        <v>179</v>
      </c>
      <c r="H37" t="inlineStr">
        <is>
          <t>2025-11-19</t>
        </is>
      </c>
      <c r="I37" t="n">
        <v>56696.46</v>
      </c>
      <c r="J37" t="n">
        <v>56696.46</v>
      </c>
      <c r="K37" t="n">
        <v>0</v>
      </c>
      <c r="L37" t="n">
        <v>0</v>
      </c>
      <c r="M37" t="n">
        <v>56696.46</v>
      </c>
    </row>
    <row r="38">
      <c r="A38" t="n">
        <v>37</v>
      </c>
      <c r="B38" t="inlineStr">
        <is>
          <t>United States of America</t>
        </is>
      </c>
      <c r="C38" t="n">
        <v>2</v>
      </c>
      <c r="D38" t="inlineStr">
        <is>
          <t>ICLN</t>
        </is>
      </c>
      <c r="E38" t="inlineStr">
        <is>
          <t>iShares Global Clean Energy ETF</t>
        </is>
      </c>
      <c r="F38" t="inlineStr">
        <is>
          <t>Exchange Traded Fund (Investment Trust)</t>
        </is>
      </c>
      <c r="G38" t="n">
        <v>30</v>
      </c>
      <c r="H38" t="inlineStr">
        <is>
          <t>2025-08-19</t>
        </is>
      </c>
      <c r="I38" t="n">
        <v>429.85</v>
      </c>
      <c r="J38" t="n">
        <v>429.85</v>
      </c>
      <c r="K38" t="n">
        <v>429.85</v>
      </c>
      <c r="L38" t="n">
        <v>3.85</v>
      </c>
      <c r="M38" t="n">
        <v>0</v>
      </c>
    </row>
    <row r="39">
      <c r="A39" t="n">
        <v>38</v>
      </c>
      <c r="B39" t="inlineStr">
        <is>
          <t>United States of America</t>
        </is>
      </c>
      <c r="C39" t="n">
        <v>2</v>
      </c>
      <c r="D39" t="inlineStr">
        <is>
          <t>IEF</t>
        </is>
      </c>
      <c r="E39" t="inlineStr">
        <is>
          <t>iShares 7-10 Year Treasury Bond ETF</t>
        </is>
      </c>
      <c r="F39" t="inlineStr">
        <is>
          <t>Exchange Traded Fund (Investment Trust)</t>
        </is>
      </c>
      <c r="G39" t="n">
        <v>10</v>
      </c>
      <c r="H39" t="inlineStr">
        <is>
          <t>2025-08-19</t>
        </is>
      </c>
      <c r="I39" t="n">
        <v>954.65</v>
      </c>
      <c r="J39" t="n">
        <v>954.65</v>
      </c>
      <c r="K39" t="n">
        <v>954.65</v>
      </c>
      <c r="L39" t="n">
        <v>15.13</v>
      </c>
      <c r="M39" t="n">
        <v>0</v>
      </c>
    </row>
    <row r="40">
      <c r="A40" t="n">
        <v>39</v>
      </c>
      <c r="B40" t="inlineStr">
        <is>
          <t>United States of America</t>
        </is>
      </c>
      <c r="C40" t="n">
        <v>2</v>
      </c>
      <c r="D40" t="inlineStr">
        <is>
          <t>IWR</t>
        </is>
      </c>
      <c r="E40" t="inlineStr">
        <is>
          <t>iShares Russell Mid-Cap ETF</t>
        </is>
      </c>
      <c r="F40" t="inlineStr">
        <is>
          <t>Exchange Traded Fund (Investment Trust)</t>
        </is>
      </c>
      <c r="G40" t="n">
        <v>8</v>
      </c>
      <c r="H40" t="inlineStr">
        <is>
          <t>2025-08-19</t>
        </is>
      </c>
      <c r="I40" t="n">
        <v>755.2</v>
      </c>
      <c r="J40" t="n">
        <v>755.2</v>
      </c>
      <c r="K40" t="n">
        <v>755.2</v>
      </c>
      <c r="L40" t="n">
        <v>5.73</v>
      </c>
      <c r="M40" t="n">
        <v>0</v>
      </c>
    </row>
    <row r="41">
      <c r="A41" t="n">
        <v>40</v>
      </c>
      <c r="B41" t="inlineStr">
        <is>
          <t>United States of America</t>
        </is>
      </c>
      <c r="C41" t="n">
        <v>2</v>
      </c>
      <c r="D41" t="inlineStr">
        <is>
          <t>LLY</t>
        </is>
      </c>
      <c r="E41" t="inlineStr">
        <is>
          <t>Eli Lilly &amp; Company</t>
        </is>
      </c>
      <c r="F41" t="inlineStr">
        <is>
          <t>Listed Foreign Equity Share (Company)</t>
        </is>
      </c>
      <c r="G41" t="n">
        <v>1.04</v>
      </c>
      <c r="H41" t="inlineStr">
        <is>
          <t>2025-01-28</t>
        </is>
      </c>
      <c r="I41" t="n">
        <v>766.76</v>
      </c>
      <c r="J41" t="n">
        <v>841.9400000000001</v>
      </c>
      <c r="K41" t="n">
        <v>0</v>
      </c>
      <c r="L41" t="n">
        <v>6.12</v>
      </c>
      <c r="M41" t="n">
        <v>841.9400000000001</v>
      </c>
    </row>
    <row r="42">
      <c r="A42" t="n">
        <v>41</v>
      </c>
      <c r="B42" t="inlineStr">
        <is>
          <t>United States of America</t>
        </is>
      </c>
      <c r="C42" t="n">
        <v>2</v>
      </c>
      <c r="D42" t="inlineStr">
        <is>
          <t>LLY</t>
        </is>
      </c>
      <c r="E42" t="inlineStr">
        <is>
          <t>Eli Lilly &amp; Company</t>
        </is>
      </c>
      <c r="F42" t="inlineStr">
        <is>
          <t>Listed Foreign Equity Share (Company)</t>
        </is>
      </c>
      <c r="G42" t="n">
        <v>2</v>
      </c>
      <c r="H42" t="inlineStr">
        <is>
          <t>2025-04-07</t>
        </is>
      </c>
      <c r="I42" t="n">
        <v>1474.55</v>
      </c>
      <c r="J42" t="n">
        <v>1619.12</v>
      </c>
      <c r="K42" t="n">
        <v>0</v>
      </c>
      <c r="L42" t="n">
        <v>0</v>
      </c>
      <c r="M42" t="n">
        <v>1619.12</v>
      </c>
    </row>
    <row r="43">
      <c r="A43" t="n">
        <v>42</v>
      </c>
      <c r="B43" t="inlineStr">
        <is>
          <t>United States of America</t>
        </is>
      </c>
      <c r="C43" t="n">
        <v>2</v>
      </c>
      <c r="D43" t="inlineStr">
        <is>
          <t>LLY</t>
        </is>
      </c>
      <c r="E43" t="inlineStr">
        <is>
          <t>Eli Lilly &amp; Company</t>
        </is>
      </c>
      <c r="F43" t="inlineStr">
        <is>
          <t>Listed Foreign Equity Share (Company)</t>
        </is>
      </c>
      <c r="G43" t="n">
        <v>3</v>
      </c>
      <c r="H43" t="inlineStr">
        <is>
          <t>2025-05-28</t>
        </is>
      </c>
      <c r="I43" t="n">
        <v>2211.82</v>
      </c>
      <c r="J43" t="n">
        <v>2428.68</v>
      </c>
      <c r="K43" t="n">
        <v>0</v>
      </c>
      <c r="L43" t="n">
        <v>0</v>
      </c>
      <c r="M43" t="n">
        <v>2428.68</v>
      </c>
    </row>
    <row r="44">
      <c r="A44" t="n">
        <v>43</v>
      </c>
      <c r="B44" t="inlineStr">
        <is>
          <t>Netherlands</t>
        </is>
      </c>
      <c r="C44" t="n">
        <v>156</v>
      </c>
      <c r="D44" t="inlineStr">
        <is>
          <t>NBIS</t>
        </is>
      </c>
      <c r="E44" t="inlineStr">
        <is>
          <t>Nebius Group NV</t>
        </is>
      </c>
      <c r="F44" t="inlineStr">
        <is>
          <t>Listed Foreign Equity Share (Company)</t>
        </is>
      </c>
      <c r="G44" t="n">
        <v>7</v>
      </c>
      <c r="H44" t="inlineStr">
        <is>
          <t>2025-08-19</t>
        </is>
      </c>
      <c r="I44" t="n">
        <v>465.66</v>
      </c>
      <c r="J44" t="n">
        <v>465.66</v>
      </c>
      <c r="K44" t="n">
        <v>465.66</v>
      </c>
      <c r="L44" t="n">
        <v>0</v>
      </c>
      <c r="M44" t="n">
        <v>0</v>
      </c>
    </row>
    <row r="45">
      <c r="A45" t="n">
        <v>44</v>
      </c>
      <c r="B45" t="inlineStr">
        <is>
          <t>United States of America</t>
        </is>
      </c>
      <c r="C45" t="n">
        <v>2</v>
      </c>
      <c r="D45" t="inlineStr">
        <is>
          <t>NFLX</t>
        </is>
      </c>
      <c r="E45" t="inlineStr">
        <is>
          <t>Netflix Inc</t>
        </is>
      </c>
      <c r="F45" t="inlineStr">
        <is>
          <t>Listed Foreign Equity Share (Company)</t>
        </is>
      </c>
      <c r="G45" t="n">
        <v>0.86</v>
      </c>
      <c r="H45" t="inlineStr">
        <is>
          <t>2025-01-28</t>
        </is>
      </c>
      <c r="I45" t="n">
        <v>770.84</v>
      </c>
      <c r="J45" t="n">
        <v>1016.58</v>
      </c>
      <c r="K45" t="n">
        <v>0</v>
      </c>
      <c r="L45" t="n">
        <v>0</v>
      </c>
      <c r="M45" t="n">
        <v>1016.58</v>
      </c>
    </row>
    <row r="46">
      <c r="A46" t="n">
        <v>45</v>
      </c>
      <c r="B46" t="inlineStr">
        <is>
          <t>United States of America</t>
        </is>
      </c>
      <c r="C46" t="n">
        <v>2</v>
      </c>
      <c r="D46" t="inlineStr">
        <is>
          <t>NFLX</t>
        </is>
      </c>
      <c r="E46" t="inlineStr">
        <is>
          <t>Netflix Inc</t>
        </is>
      </c>
      <c r="F46" t="inlineStr">
        <is>
          <t>Listed Foreign Equity Share (Company)</t>
        </is>
      </c>
      <c r="G46" t="n">
        <v>2</v>
      </c>
      <c r="H46" t="inlineStr">
        <is>
          <t>2025-04-07</t>
        </is>
      </c>
      <c r="I46" t="n">
        <v>1792.66</v>
      </c>
      <c r="J46" t="n">
        <v>2364.14</v>
      </c>
      <c r="K46" t="n">
        <v>0</v>
      </c>
      <c r="L46" t="n">
        <v>0</v>
      </c>
      <c r="M46" t="n">
        <v>2364.14</v>
      </c>
    </row>
    <row r="47">
      <c r="A47" t="n">
        <v>46</v>
      </c>
      <c r="B47" t="inlineStr">
        <is>
          <t>Denmark</t>
        </is>
      </c>
      <c r="C47" t="n">
        <v>61</v>
      </c>
      <c r="D47" t="inlineStr">
        <is>
          <t>NOVd</t>
        </is>
      </c>
      <c r="E47" t="inlineStr">
        <is>
          <t>Novo Nordisk A/S - B Shares</t>
        </is>
      </c>
      <c r="F47" t="inlineStr">
        <is>
          <t>Listed Foreign Equity Share (Company)</t>
        </is>
      </c>
      <c r="G47" t="n">
        <v>24</v>
      </c>
      <c r="H47" t="inlineStr">
        <is>
          <t>2025-05-28</t>
        </is>
      </c>
      <c r="I47" t="n">
        <v>1742.87</v>
      </c>
      <c r="J47" t="n">
        <v>1742.87</v>
      </c>
      <c r="K47" t="n">
        <v>0</v>
      </c>
      <c r="L47" t="n">
        <v>0</v>
      </c>
      <c r="M47" t="n">
        <v>1705.52</v>
      </c>
    </row>
    <row r="48">
      <c r="A48" t="n">
        <v>47</v>
      </c>
      <c r="B48" t="inlineStr">
        <is>
          <t>Denmark</t>
        </is>
      </c>
      <c r="C48" t="n">
        <v>61</v>
      </c>
      <c r="D48" t="inlineStr">
        <is>
          <t>NOVd</t>
        </is>
      </c>
      <c r="E48" t="inlineStr">
        <is>
          <t>Novo Nordisk A/S - B Shares</t>
        </is>
      </c>
      <c r="F48" t="inlineStr">
        <is>
          <t>Listed Foreign Equity Share (Company)</t>
        </is>
      </c>
      <c r="G48" t="n">
        <v>21</v>
      </c>
      <c r="H48" t="inlineStr">
        <is>
          <t>2025-08-20</t>
        </is>
      </c>
      <c r="I48" t="n">
        <v>1155.33</v>
      </c>
      <c r="J48" t="n">
        <v>1155.33</v>
      </c>
      <c r="K48" t="n">
        <v>0</v>
      </c>
      <c r="L48" t="n">
        <v>0</v>
      </c>
      <c r="M48" t="n">
        <v>915.99</v>
      </c>
    </row>
    <row r="49">
      <c r="A49" t="n">
        <v>48</v>
      </c>
      <c r="B49" t="inlineStr">
        <is>
          <t>United States of America</t>
        </is>
      </c>
      <c r="C49" t="n">
        <v>2</v>
      </c>
      <c r="D49" t="inlineStr">
        <is>
          <t>QQQ</t>
        </is>
      </c>
      <c r="E49" t="inlineStr">
        <is>
          <t>Invesco QQQ Trust Series 1</t>
        </is>
      </c>
      <c r="F49" t="inlineStr">
        <is>
          <t>Exchange Traded Fund (Investment Trust)</t>
        </is>
      </c>
      <c r="G49" t="n">
        <v>2</v>
      </c>
      <c r="H49" t="inlineStr">
        <is>
          <t>2025-08-19</t>
        </is>
      </c>
      <c r="I49" t="n">
        <v>1141.12</v>
      </c>
      <c r="J49" t="n">
        <v>1141.12</v>
      </c>
      <c r="K49" t="n">
        <v>1141.12</v>
      </c>
      <c r="L49" t="n">
        <v>2.98</v>
      </c>
      <c r="M49" t="n">
        <v>0</v>
      </c>
    </row>
    <row r="50">
      <c r="A50" t="n">
        <v>49</v>
      </c>
      <c r="B50" t="inlineStr">
        <is>
          <t>United Kingdom</t>
        </is>
      </c>
      <c r="C50" t="n">
        <v>234</v>
      </c>
      <c r="D50" t="inlineStr">
        <is>
          <t>R6C0d</t>
        </is>
      </c>
      <c r="E50" t="inlineStr">
        <is>
          <t>Shell plc</t>
        </is>
      </c>
      <c r="F50" t="inlineStr">
        <is>
          <t>Listed Foreign Equity Share (Company)</t>
        </is>
      </c>
      <c r="G50" t="n">
        <v>27.06</v>
      </c>
      <c r="H50" t="inlineStr">
        <is>
          <t>2025-01-29</t>
        </is>
      </c>
      <c r="I50" t="n">
        <v>934.88</v>
      </c>
      <c r="J50" t="n">
        <v>970.39</v>
      </c>
      <c r="K50" t="n">
        <v>0</v>
      </c>
      <c r="L50" t="n">
        <v>0</v>
      </c>
      <c r="M50" t="n">
        <v>970.39</v>
      </c>
    </row>
    <row r="51">
      <c r="A51" t="n">
        <v>50</v>
      </c>
      <c r="B51" t="inlineStr">
        <is>
          <t>United Kingdom</t>
        </is>
      </c>
      <c r="C51" t="n">
        <v>234</v>
      </c>
      <c r="D51" t="inlineStr">
        <is>
          <t>R6C0d</t>
        </is>
      </c>
      <c r="E51" t="inlineStr">
        <is>
          <t>Shell plc</t>
        </is>
      </c>
      <c r="F51" t="inlineStr">
        <is>
          <t>Listed Foreign Equity Share (Company)</t>
        </is>
      </c>
      <c r="G51" t="n">
        <v>42</v>
      </c>
      <c r="H51" t="inlineStr">
        <is>
          <t>2025-04-07</t>
        </is>
      </c>
      <c r="I51" t="n">
        <v>1451.03</v>
      </c>
      <c r="J51" t="n">
        <v>1506.14</v>
      </c>
      <c r="K51" t="n">
        <v>0</v>
      </c>
      <c r="L51" t="n">
        <v>0</v>
      </c>
      <c r="M51" t="n">
        <v>1506.14</v>
      </c>
    </row>
    <row r="52">
      <c r="A52" t="n">
        <v>51</v>
      </c>
      <c r="B52" t="inlineStr">
        <is>
          <t>United States of America</t>
        </is>
      </c>
      <c r="C52" t="n">
        <v>2</v>
      </c>
      <c r="D52" t="inlineStr">
        <is>
          <t>RTX</t>
        </is>
      </c>
      <c r="E52" t="inlineStr">
        <is>
          <t>RTX Corp</t>
        </is>
      </c>
      <c r="F52" t="inlineStr">
        <is>
          <t>Listed Foreign Equity Share (Company)</t>
        </is>
      </c>
      <c r="G52" t="n">
        <v>6.72</v>
      </c>
      <c r="H52" t="inlineStr">
        <is>
          <t>2025-01-28</t>
        </is>
      </c>
      <c r="I52" t="n">
        <v>817.95</v>
      </c>
      <c r="J52" t="n">
        <v>1040.86</v>
      </c>
      <c r="K52" t="n">
        <v>0</v>
      </c>
      <c r="L52" t="n">
        <v>13.37</v>
      </c>
      <c r="M52" t="n">
        <v>1040.86</v>
      </c>
    </row>
    <row r="53">
      <c r="A53" t="n">
        <v>52</v>
      </c>
      <c r="B53" t="inlineStr">
        <is>
          <t>United States of America</t>
        </is>
      </c>
      <c r="C53" t="n">
        <v>2</v>
      </c>
      <c r="D53" t="inlineStr">
        <is>
          <t>RTX</t>
        </is>
      </c>
      <c r="E53" t="inlineStr">
        <is>
          <t>RTX Corp</t>
        </is>
      </c>
      <c r="F53" t="inlineStr">
        <is>
          <t>Listed Foreign Equity Share (Company)</t>
        </is>
      </c>
      <c r="G53" t="n">
        <v>6.72</v>
      </c>
      <c r="H53" t="inlineStr">
        <is>
          <t>2025-04-07</t>
        </is>
      </c>
      <c r="I53" t="n">
        <v>817.95</v>
      </c>
      <c r="J53" t="n">
        <v>1040.86</v>
      </c>
      <c r="K53" t="n">
        <v>0</v>
      </c>
      <c r="L53" t="n">
        <v>0</v>
      </c>
      <c r="M53" t="n">
        <v>1040.86</v>
      </c>
    </row>
    <row r="54">
      <c r="A54" t="n">
        <v>53</v>
      </c>
      <c r="B54" t="inlineStr">
        <is>
          <t>United States of America</t>
        </is>
      </c>
      <c r="C54" t="n">
        <v>2</v>
      </c>
      <c r="D54" t="inlineStr">
        <is>
          <t>SLV</t>
        </is>
      </c>
      <c r="E54" t="inlineStr">
        <is>
          <t>iShares Silver Trust</t>
        </is>
      </c>
      <c r="F54" t="inlineStr">
        <is>
          <t>Exchange Traded Fund (Investment Trust)</t>
        </is>
      </c>
      <c r="G54" t="n">
        <v>30.65</v>
      </c>
      <c r="H54" t="inlineStr">
        <is>
          <t>2025-01-28</t>
        </is>
      </c>
      <c r="I54" t="n">
        <v>850.3</v>
      </c>
      <c r="J54" t="n">
        <v>949.84</v>
      </c>
      <c r="K54" t="n">
        <v>949.84</v>
      </c>
      <c r="L54" t="n">
        <v>0</v>
      </c>
      <c r="M54" t="n">
        <v>0</v>
      </c>
    </row>
    <row r="55">
      <c r="A55" t="n">
        <v>54</v>
      </c>
      <c r="B55" t="inlineStr">
        <is>
          <t>United States of America</t>
        </is>
      </c>
      <c r="C55" t="n">
        <v>2</v>
      </c>
      <c r="D55" t="inlineStr">
        <is>
          <t>TGT</t>
        </is>
      </c>
      <c r="E55" t="inlineStr">
        <is>
          <t>Target Corp</t>
        </is>
      </c>
      <c r="F55" t="inlineStr">
        <is>
          <t>Listed Foreign Equity Share (Company)</t>
        </is>
      </c>
      <c r="G55" t="n">
        <v>5.95</v>
      </c>
      <c r="H55" t="inlineStr">
        <is>
          <t>2025-01-28</t>
        </is>
      </c>
      <c r="I55" t="n">
        <v>637.3</v>
      </c>
      <c r="J55" t="n">
        <v>637.3</v>
      </c>
      <c r="K55" t="n">
        <v>0</v>
      </c>
      <c r="L55" t="n">
        <v>30.12</v>
      </c>
      <c r="M55" t="n">
        <v>628.5700000000001</v>
      </c>
    </row>
    <row r="56">
      <c r="A56" t="n">
        <v>55</v>
      </c>
      <c r="B56" t="inlineStr">
        <is>
          <t>United States of America</t>
        </is>
      </c>
      <c r="C56" t="n">
        <v>2</v>
      </c>
      <c r="D56" t="inlineStr">
        <is>
          <t>TGT</t>
        </is>
      </c>
      <c r="E56" t="inlineStr">
        <is>
          <t>Target Corp</t>
        </is>
      </c>
      <c r="F56" t="inlineStr">
        <is>
          <t>Listed Foreign Equity Share (Company)</t>
        </is>
      </c>
      <c r="G56" t="n">
        <v>15</v>
      </c>
      <c r="H56" t="inlineStr">
        <is>
          <t>2025-04-07</t>
        </is>
      </c>
      <c r="I56" t="n">
        <v>1606.64</v>
      </c>
      <c r="J56" t="n">
        <v>1606.64</v>
      </c>
      <c r="K56" t="n">
        <v>0</v>
      </c>
      <c r="L56" t="n">
        <v>0</v>
      </c>
      <c r="M56" t="n">
        <v>1584.64</v>
      </c>
    </row>
    <row r="57">
      <c r="A57" t="n">
        <v>56</v>
      </c>
      <c r="B57" t="inlineStr">
        <is>
          <t>United States of America</t>
        </is>
      </c>
      <c r="C57" t="n">
        <v>2</v>
      </c>
      <c r="D57" t="inlineStr">
        <is>
          <t>TIP</t>
        </is>
      </c>
      <c r="E57" t="inlineStr">
        <is>
          <t>iShares TIPS Bond ETF</t>
        </is>
      </c>
      <c r="F57" t="inlineStr">
        <is>
          <t>Exchange Traded Fund (Investment Trust)</t>
        </is>
      </c>
      <c r="G57" t="n">
        <v>8</v>
      </c>
      <c r="H57" t="inlineStr">
        <is>
          <t>2025-01-28</t>
        </is>
      </c>
      <c r="I57" t="n">
        <v>862.76</v>
      </c>
      <c r="J57" t="n">
        <v>888.72</v>
      </c>
      <c r="K57" t="n">
        <v>888.72</v>
      </c>
      <c r="L57" t="n">
        <v>30.42</v>
      </c>
      <c r="M57" t="n">
        <v>0</v>
      </c>
    </row>
    <row r="58">
      <c r="A58" t="n">
        <v>57</v>
      </c>
      <c r="B58" t="inlineStr">
        <is>
          <t>Taiwan</t>
        </is>
      </c>
      <c r="C58" t="n">
        <v>212</v>
      </c>
      <c r="D58" t="inlineStr">
        <is>
          <t>TSM</t>
        </is>
      </c>
      <c r="E58" t="inlineStr">
        <is>
          <t>Taiwan Semiconductor Manufacturing Co - Sponsored ADR</t>
        </is>
      </c>
      <c r="F58" t="inlineStr">
        <is>
          <t>American Depository Receipt of Listed Foreign Company</t>
        </is>
      </c>
      <c r="G58" t="n">
        <v>2.187</v>
      </c>
      <c r="H58" t="inlineStr">
        <is>
          <t>2025-01-28</t>
        </is>
      </c>
      <c r="I58" t="n">
        <v>350.55</v>
      </c>
      <c r="J58" t="n">
        <v>536.79</v>
      </c>
      <c r="K58" t="n">
        <v>0</v>
      </c>
      <c r="L58" t="n">
        <v>7.09</v>
      </c>
      <c r="M58" t="n">
        <v>536.79</v>
      </c>
    </row>
    <row r="59">
      <c r="A59" t="n">
        <v>58</v>
      </c>
      <c r="B59" t="inlineStr">
        <is>
          <t>Taiwan</t>
        </is>
      </c>
      <c r="C59" t="n">
        <v>212</v>
      </c>
      <c r="D59" t="inlineStr">
        <is>
          <t>TSM</t>
        </is>
      </c>
      <c r="E59" t="inlineStr">
        <is>
          <t>Taiwan Semiconductor Manufacturing Co - Sponsored ADR</t>
        </is>
      </c>
      <c r="F59" t="inlineStr">
        <is>
          <t>American Depository Receipt of Listed Foreign Company</t>
        </is>
      </c>
      <c r="G59" t="n">
        <v>5</v>
      </c>
      <c r="H59" t="inlineStr">
        <is>
          <t>2025-04-07</t>
        </is>
      </c>
      <c r="I59" t="n">
        <v>801.45</v>
      </c>
      <c r="J59" t="n">
        <v>1227.22</v>
      </c>
      <c r="K59" t="n">
        <v>0</v>
      </c>
      <c r="L59" t="n">
        <v>0</v>
      </c>
      <c r="M59" t="n">
        <v>1227.22</v>
      </c>
    </row>
    <row r="60">
      <c r="A60" t="n">
        <v>59</v>
      </c>
      <c r="B60" t="inlineStr">
        <is>
          <t>United States of America</t>
        </is>
      </c>
      <c r="C60" t="n">
        <v>2</v>
      </c>
      <c r="D60" t="inlineStr">
        <is>
          <t>URA</t>
        </is>
      </c>
      <c r="E60" t="inlineStr">
        <is>
          <t>Global X Uranium ETF</t>
        </is>
      </c>
      <c r="F60" t="inlineStr">
        <is>
          <t>Exchange Traded Fund (Investment Trust)</t>
        </is>
      </c>
      <c r="G60" t="n">
        <v>50</v>
      </c>
      <c r="H60" t="inlineStr">
        <is>
          <t>2025-12-12</t>
        </is>
      </c>
      <c r="I60" t="n">
        <v>2457</v>
      </c>
      <c r="J60" t="n">
        <v>2457</v>
      </c>
      <c r="K60" t="n">
        <v>2457</v>
      </c>
      <c r="L60" t="n">
        <v>0</v>
      </c>
      <c r="M60" t="n">
        <v>0</v>
      </c>
    </row>
    <row r="61">
      <c r="A61" t="n">
        <v>60</v>
      </c>
      <c r="B61" t="inlineStr">
        <is>
          <t>United States of America</t>
        </is>
      </c>
      <c r="C61" t="n">
        <v>2</v>
      </c>
      <c r="D61" t="inlineStr">
        <is>
          <t>V</t>
        </is>
      </c>
      <c r="E61" t="inlineStr">
        <is>
          <t>Visa Inc - Class A</t>
        </is>
      </c>
      <c r="F61" t="inlineStr">
        <is>
          <t>Listed Foreign Equity Share (Company)</t>
        </is>
      </c>
      <c r="G61" t="n">
        <v>4</v>
      </c>
      <c r="H61" t="inlineStr">
        <is>
          <t>2025-12-12</t>
        </is>
      </c>
      <c r="I61" t="n">
        <v>1393</v>
      </c>
      <c r="J61" t="n">
        <v>1393</v>
      </c>
      <c r="K61" t="n">
        <v>1393</v>
      </c>
      <c r="L61" t="n">
        <v>0</v>
      </c>
      <c r="M61" t="n">
        <v>0</v>
      </c>
    </row>
    <row r="62">
      <c r="A62" t="n">
        <v>61</v>
      </c>
      <c r="B62" t="inlineStr">
        <is>
          <t>United States of America</t>
        </is>
      </c>
      <c r="C62" t="n">
        <v>2</v>
      </c>
      <c r="D62" t="inlineStr">
        <is>
          <t>VT</t>
        </is>
      </c>
      <c r="E62" t="inlineStr">
        <is>
          <t>Vanguard Total World Stock ETF</t>
        </is>
      </c>
      <c r="F62" t="inlineStr">
        <is>
          <t>Exchange Traded Fund (Investment Trust)</t>
        </is>
      </c>
      <c r="G62" t="n">
        <v>8</v>
      </c>
      <c r="H62" t="inlineStr">
        <is>
          <t>2025-08-19</t>
        </is>
      </c>
      <c r="I62" t="n">
        <v>1064.35</v>
      </c>
      <c r="J62" t="n">
        <v>1064.35</v>
      </c>
      <c r="K62" t="n">
        <v>1064.35</v>
      </c>
      <c r="L62" t="n">
        <v>12.74</v>
      </c>
      <c r="M62" t="n">
        <v>0</v>
      </c>
    </row>
    <row r="63">
      <c r="A63" t="n">
        <v>62</v>
      </c>
      <c r="B63" t="inlineStr">
        <is>
          <t>United States of America</t>
        </is>
      </c>
      <c r="C63" t="n">
        <v>2</v>
      </c>
      <c r="D63" t="inlineStr">
        <is>
          <t>VTV</t>
        </is>
      </c>
      <c r="E63" t="inlineStr">
        <is>
          <t>Vanguard Value ETF</t>
        </is>
      </c>
      <c r="F63" t="inlineStr">
        <is>
          <t>Exchange Traded Fund (Investment Trust)</t>
        </is>
      </c>
      <c r="G63" t="n">
        <v>6</v>
      </c>
      <c r="H63" t="inlineStr">
        <is>
          <t>2025-08-19</t>
        </is>
      </c>
      <c r="I63" t="n">
        <v>1086.37</v>
      </c>
      <c r="J63" t="n">
        <v>1086.37</v>
      </c>
      <c r="K63" t="n">
        <v>1086.37</v>
      </c>
      <c r="L63" t="n">
        <v>11.58</v>
      </c>
      <c r="M63" t="n">
        <v>0</v>
      </c>
    </row>
    <row r="64">
      <c r="A64" t="n">
        <v>63</v>
      </c>
      <c r="B64" t="inlineStr">
        <is>
          <t>Ireland</t>
        </is>
      </c>
      <c r="C64" t="n">
        <v>101</v>
      </c>
      <c r="D64" t="inlineStr">
        <is>
          <t>WCBR</t>
        </is>
      </c>
      <c r="E64" t="inlineStr">
        <is>
          <t>WisdomTree Cybersecurity UCITS ETF</t>
        </is>
      </c>
      <c r="F64" t="inlineStr">
        <is>
          <t>Exchange Traded Fund (Investment Trust)</t>
        </is>
      </c>
      <c r="G64" t="n">
        <v>60</v>
      </c>
      <c r="H64" t="inlineStr">
        <is>
          <t>2025-08-20</t>
        </is>
      </c>
      <c r="I64" t="n">
        <v>1777.17</v>
      </c>
      <c r="J64" t="n">
        <v>1777.17</v>
      </c>
      <c r="K64" t="n">
        <v>1777.17</v>
      </c>
      <c r="L64" t="n">
        <v>0</v>
      </c>
      <c r="M64" t="n">
        <v>0</v>
      </c>
    </row>
    <row r="65">
      <c r="A65" t="n">
        <v>64</v>
      </c>
      <c r="B65" t="inlineStr">
        <is>
          <t>Ireland</t>
        </is>
      </c>
      <c r="C65" t="n">
        <v>101</v>
      </c>
      <c r="D65" t="inlineStr">
        <is>
          <t>WCBR</t>
        </is>
      </c>
      <c r="E65" t="inlineStr">
        <is>
          <t>WisdomTree Cybersecurity UCITS ETF</t>
        </is>
      </c>
      <c r="F65" t="inlineStr">
        <is>
          <t>Exchange Traded Fund (Investment Trust)</t>
        </is>
      </c>
      <c r="G65" t="n">
        <v>60</v>
      </c>
      <c r="H65" t="inlineStr">
        <is>
          <t>2025-08-20</t>
        </is>
      </c>
      <c r="I65" t="n">
        <v>1777.17</v>
      </c>
      <c r="J65" t="n">
        <v>1777.17</v>
      </c>
      <c r="K65" t="n">
        <v>1777.17</v>
      </c>
      <c r="L65" t="n">
        <v>0</v>
      </c>
      <c r="M65" t="n">
        <v>0</v>
      </c>
    </row>
    <row r="66">
      <c r="A66" t="n">
        <v>65</v>
      </c>
      <c r="B66" t="inlineStr">
        <is>
          <t>United States of America</t>
        </is>
      </c>
      <c r="C66" t="n">
        <v>2</v>
      </c>
      <c r="D66" t="inlineStr">
        <is>
          <t>WFC</t>
        </is>
      </c>
      <c r="E66" t="inlineStr">
        <is>
          <t>Wells Fargo &amp; Company</t>
        </is>
      </c>
      <c r="F66" t="inlineStr">
        <is>
          <t>Listed Foreign Equity Share (Company)</t>
        </is>
      </c>
      <c r="G66" t="n">
        <v>12</v>
      </c>
      <c r="H66" t="inlineStr">
        <is>
          <t>2025-08-19</t>
        </is>
      </c>
      <c r="I66" t="n">
        <v>927.46</v>
      </c>
      <c r="J66" t="n">
        <v>927.46</v>
      </c>
      <c r="K66" t="n">
        <v>927.46</v>
      </c>
      <c r="L66" t="n">
        <v>5.4</v>
      </c>
      <c r="M66" t="n">
        <v>0</v>
      </c>
    </row>
    <row r="67">
      <c r="A67" t="n">
        <v>66</v>
      </c>
      <c r="B67" t="inlineStr">
        <is>
          <t>United States of America</t>
        </is>
      </c>
      <c r="C67" t="n">
        <v>2</v>
      </c>
      <c r="D67" t="inlineStr">
        <is>
          <t>XOM</t>
        </is>
      </c>
      <c r="E67" t="inlineStr">
        <is>
          <t>Exxon Mobil Corp</t>
        </is>
      </c>
      <c r="F67" t="inlineStr">
        <is>
          <t>Listed Foreign Equity Share (Company)</t>
        </is>
      </c>
      <c r="G67" t="n">
        <v>7.6</v>
      </c>
      <c r="H67" t="inlineStr">
        <is>
          <t>2025-01-28</t>
        </is>
      </c>
      <c r="I67" t="n">
        <v>790.15</v>
      </c>
      <c r="J67" t="n">
        <v>835.9299999999999</v>
      </c>
      <c r="K67" t="n">
        <v>0</v>
      </c>
      <c r="L67" t="n">
        <v>28.9</v>
      </c>
      <c r="M67" t="n">
        <v>835.9299999999999</v>
      </c>
    </row>
    <row r="68">
      <c r="A68" t="n">
        <v>67</v>
      </c>
      <c r="B68" t="inlineStr">
        <is>
          <t>United States of America</t>
        </is>
      </c>
      <c r="C68" t="n">
        <v>2</v>
      </c>
      <c r="D68" t="inlineStr">
        <is>
          <t>XOM</t>
        </is>
      </c>
      <c r="E68" t="inlineStr">
        <is>
          <t>Exxon Mobil Corp</t>
        </is>
      </c>
      <c r="F68" t="inlineStr">
        <is>
          <t>Listed Foreign Equity Share (Company)</t>
        </is>
      </c>
      <c r="G68" t="n">
        <v>14</v>
      </c>
      <c r="H68" t="inlineStr">
        <is>
          <t>2025-04-07</t>
        </is>
      </c>
      <c r="I68" t="n">
        <v>1455.54</v>
      </c>
      <c r="J68" t="n">
        <v>1539.87</v>
      </c>
      <c r="K68" t="n">
        <v>0</v>
      </c>
      <c r="L68" t="n">
        <v>0</v>
      </c>
      <c r="M68" t="n">
        <v>1539.87</v>
      </c>
    </row>
    <row r="69">
      <c r="H69" t="inlineStr">
        <is>
          <t>TOTAL (USD)</t>
        </is>
      </c>
      <c r="I69" t="n">
        <v>156992.67</v>
      </c>
      <c r="J69" t="n">
        <v>183946.21</v>
      </c>
      <c r="K69" t="n">
        <v>33657.12</v>
      </c>
      <c r="L69" t="n">
        <v>494.16</v>
      </c>
      <c r="M69" t="n">
        <v>149229.68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U16931511</t>
        </is>
      </c>
      <c r="G3" t="inlineStr">
        <is>
          <t>Owner - Sole beneficial owner</t>
        </is>
      </c>
      <c r="H3" t="inlineStr">
        <is>
          <t>on or before 2024-12-31 (GOOG held at Paid statement start)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59845.12</v>
      </c>
      <c r="B6" t="n">
        <v>5354343</v>
      </c>
      <c r="C6" t="n">
        <v>59845.12</v>
      </c>
      <c r="D6" t="n">
        <v>5354343</v>
      </c>
      <c r="E6" t="n">
        <v>156.76</v>
      </c>
      <c r="F6" t="n">
        <v>13824</v>
      </c>
      <c r="G6" t="n">
        <v>686.86</v>
      </c>
      <c r="H6" t="n">
        <v>59632</v>
      </c>
    </row>
    <row r="7"/>
    <row r="8">
      <c r="A8" t="inlineStr">
        <is>
          <t>NOTES:</t>
        </is>
      </c>
    </row>
    <row r="9">
      <c r="A9" t="inlineStr">
        <is>
          <t>Account: IBKR U16931511 — Gunjan Narulkar (Individual, USD base, Cash).</t>
        </is>
      </c>
    </row>
    <row r="10">
      <c r="A10" t="inlineStr">
        <is>
          <t>Starting NAV 01-Jan-2025: USD 0.00; Ending NAV 31-Dec-2025: USD 59,845.12.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45812</v>
      </c>
      <c r="B4" t="inlineStr">
        <is>
          <t>USD Credit Interest for May-2025</t>
        </is>
      </c>
      <c r="C4" t="inlineStr">
        <is>
          <t>USD</t>
        </is>
      </c>
      <c r="D4" t="n">
        <v>0.78</v>
      </c>
      <c r="E4" t="n">
        <v>0.78</v>
      </c>
      <c r="F4" t="n">
        <v>85.09999999999999</v>
      </c>
      <c r="G4" t="n">
        <v>66</v>
      </c>
    </row>
    <row r="5">
      <c r="A5" s="2" t="n">
        <v>45841</v>
      </c>
      <c r="B5" t="inlineStr">
        <is>
          <t>USD Credit Interest for Jun-2025</t>
        </is>
      </c>
      <c r="C5" t="inlineStr">
        <is>
          <t>USD</t>
        </is>
      </c>
      <c r="D5" t="n">
        <v>0.23</v>
      </c>
      <c r="E5" t="n">
        <v>0.23</v>
      </c>
      <c r="F5" t="n">
        <v>85.09999999999999</v>
      </c>
      <c r="G5" t="n">
        <v>20</v>
      </c>
    </row>
    <row r="6">
      <c r="A6" s="2" t="n">
        <v>45874</v>
      </c>
      <c r="B6" t="inlineStr">
        <is>
          <t>USD Credit Interest for Jul-2025</t>
        </is>
      </c>
      <c r="C6" t="inlineStr">
        <is>
          <t>USD</t>
        </is>
      </c>
      <c r="D6" t="n">
        <v>7.38</v>
      </c>
      <c r="E6" t="n">
        <v>7.38</v>
      </c>
      <c r="F6" t="n">
        <v>87.15000000000001</v>
      </c>
      <c r="G6" t="n">
        <v>643</v>
      </c>
    </row>
    <row r="7">
      <c r="A7" s="2" t="n">
        <v>45904</v>
      </c>
      <c r="B7" t="inlineStr">
        <is>
          <t>USD Credit Interest for Aug-2025</t>
        </is>
      </c>
      <c r="C7" t="inlineStr">
        <is>
          <t>USD</t>
        </is>
      </c>
      <c r="D7" t="n">
        <v>47.93</v>
      </c>
      <c r="E7" t="n">
        <v>47.93</v>
      </c>
      <c r="F7" t="n">
        <v>87.7</v>
      </c>
      <c r="G7" t="n">
        <v>4203</v>
      </c>
    </row>
    <row r="8">
      <c r="A8" s="2" t="n">
        <v>45933</v>
      </c>
      <c r="B8" t="inlineStr">
        <is>
          <t>USD Credit Interest for Sep-2025</t>
        </is>
      </c>
      <c r="C8" t="inlineStr">
        <is>
          <t>USD</t>
        </is>
      </c>
      <c r="D8" t="n">
        <v>31.45</v>
      </c>
      <c r="E8" t="n">
        <v>31.45</v>
      </c>
      <c r="F8" t="n">
        <v>88.34999999999999</v>
      </c>
      <c r="G8" t="n">
        <v>2779</v>
      </c>
    </row>
    <row r="9">
      <c r="A9" s="2" t="n">
        <v>45966</v>
      </c>
      <c r="B9" t="inlineStr">
        <is>
          <t>USD Credit Interest for Oct-2025</t>
        </is>
      </c>
      <c r="C9" t="inlineStr">
        <is>
          <t>USD</t>
        </is>
      </c>
      <c r="D9" t="n">
        <v>31.94</v>
      </c>
      <c r="E9" t="n">
        <v>31.94</v>
      </c>
      <c r="F9" t="n">
        <v>88.2</v>
      </c>
      <c r="G9" t="n">
        <v>2817</v>
      </c>
    </row>
    <row r="10">
      <c r="A10" s="2" t="n">
        <v>45994</v>
      </c>
      <c r="B10" t="inlineStr">
        <is>
          <t>USD Credit Interest for Nov-2025</t>
        </is>
      </c>
      <c r="C10" t="inlineStr">
        <is>
          <t>USD</t>
        </is>
      </c>
      <c r="D10" t="n">
        <v>37.05</v>
      </c>
      <c r="E10" t="n">
        <v>37.05</v>
      </c>
      <c r="F10" t="n">
        <v>88.95</v>
      </c>
      <c r="G10" t="n">
        <v>3296</v>
      </c>
    </row>
    <row r="11">
      <c r="B11" t="inlineStr">
        <is>
          <t>TOTAL INTEREST</t>
        </is>
      </c>
      <c r="E11" t="n">
        <v>156.76</v>
      </c>
      <c r="G11" t="n">
        <v>13824</v>
      </c>
    </row>
    <row r="12"/>
    <row r="13">
      <c r="A13" t="inlineStr">
        <is>
          <t>— DIVIDENDS —</t>
        </is>
      </c>
    </row>
    <row r="14">
      <c r="A14" s="2" t="n">
        <v>45706</v>
      </c>
      <c r="B14" t="inlineStr">
        <is>
          <t>BX(US09260D1072) Cash Dividend USD 1.44 per Share (Ordinary Dividend)</t>
        </is>
      </c>
      <c r="C14" t="inlineStr">
        <is>
          <t>USD</t>
        </is>
      </c>
      <c r="D14" t="n">
        <v>9.960000000000001</v>
      </c>
      <c r="E14" t="n">
        <v>9.960000000000001</v>
      </c>
      <c r="F14" t="n">
        <v>86.2</v>
      </c>
      <c r="G14" t="n">
        <v>859</v>
      </c>
    </row>
    <row r="15">
      <c r="A15" s="2" t="n">
        <v>45719</v>
      </c>
      <c r="B15" t="inlineStr">
        <is>
          <t>TGT(US87612E1064) Cash Dividend USD 1.12 per Share (Ordinary Dividend)</t>
        </is>
      </c>
      <c r="C15" t="inlineStr">
        <is>
          <t>USD</t>
        </is>
      </c>
      <c r="D15" t="n">
        <v>6.66</v>
      </c>
      <c r="E15" t="n">
        <v>6.66</v>
      </c>
      <c r="F15" t="n">
        <v>86.95</v>
      </c>
      <c r="G15" t="n">
        <v>579</v>
      </c>
    </row>
    <row r="16">
      <c r="A16" s="2" t="n">
        <v>45726</v>
      </c>
      <c r="B16" t="inlineStr">
        <is>
          <t>LLY(US5324571083) Cash Dividend USD 1.50 per Share (Ordinary Dividend)</t>
        </is>
      </c>
      <c r="C16" t="inlineStr">
        <is>
          <t>USD</t>
        </is>
      </c>
      <c r="D16" t="n">
        <v>1.56</v>
      </c>
      <c r="E16" t="n">
        <v>1.56</v>
      </c>
      <c r="F16" t="n">
        <v>86.95</v>
      </c>
      <c r="G16" t="n">
        <v>136</v>
      </c>
    </row>
    <row r="17">
      <c r="A17" s="2" t="n">
        <v>45726</v>
      </c>
      <c r="B17" t="inlineStr">
        <is>
          <t>XOM(US30231G1022) Cash Dividend USD 0.99 per Share (Ordinary Dividend)</t>
        </is>
      </c>
      <c r="C17" t="inlineStr">
        <is>
          <t>USD</t>
        </is>
      </c>
      <c r="D17" t="n">
        <v>7.52</v>
      </c>
      <c r="E17" t="n">
        <v>7.52</v>
      </c>
      <c r="F17" t="n">
        <v>86.95</v>
      </c>
      <c r="G17" t="n">
        <v>654</v>
      </c>
    </row>
    <row r="18">
      <c r="A18" s="2" t="n">
        <v>45733</v>
      </c>
      <c r="B18" t="inlineStr">
        <is>
          <t>GOOG(US02079K1079) Cash Dividend USD 0.20 per Share (Ordinary Dividend)</t>
        </is>
      </c>
      <c r="C18" t="inlineStr">
        <is>
          <t>USD</t>
        </is>
      </c>
      <c r="D18" t="n">
        <v>21.4</v>
      </c>
      <c r="E18" t="n">
        <v>21.4</v>
      </c>
      <c r="F18" t="n">
        <v>86.95</v>
      </c>
      <c r="G18" t="n">
        <v>1861</v>
      </c>
    </row>
    <row r="19">
      <c r="A19" s="2" t="n">
        <v>45736</v>
      </c>
      <c r="B19" t="inlineStr">
        <is>
          <t>RTX(US75513E1010) Cash Dividend USD 0.63 per Share (Ordinary Dividend)</t>
        </is>
      </c>
      <c r="C19" t="inlineStr">
        <is>
          <t>USD</t>
        </is>
      </c>
      <c r="D19" t="n">
        <v>4.23</v>
      </c>
      <c r="E19" t="n">
        <v>4.23</v>
      </c>
      <c r="F19" t="n">
        <v>86.95</v>
      </c>
      <c r="G19" t="n">
        <v>368</v>
      </c>
    </row>
    <row r="20">
      <c r="A20" s="2" t="n">
        <v>45740</v>
      </c>
      <c r="B20" t="inlineStr">
        <is>
          <t>SHELL.DRS(NL0015002E16) Expire Dividend Right (Ordinary Dividend)</t>
        </is>
      </c>
      <c r="C20" t="inlineStr">
        <is>
          <t>EUR</t>
        </is>
      </c>
      <c r="D20" t="n">
        <v>8.949999999999999</v>
      </c>
      <c r="E20" t="n">
        <v>10.5127</v>
      </c>
      <c r="F20" t="n">
        <v>86.95</v>
      </c>
      <c r="G20" t="n">
        <v>914</v>
      </c>
    </row>
    <row r="21">
      <c r="A21" s="2" t="n">
        <v>45740</v>
      </c>
      <c r="B21" t="inlineStr">
        <is>
          <t>SHELL.DRS(NL0015002E16) Expire Dividend Right - REVERSAL (Ordinary Dividend)</t>
        </is>
      </c>
      <c r="C21" t="inlineStr">
        <is>
          <t>EUR</t>
        </is>
      </c>
      <c r="D21" t="n">
        <v>-8.949999999999999</v>
      </c>
      <c r="E21" t="n">
        <v>-10.5127</v>
      </c>
      <c r="F21" t="n">
        <v>86.95</v>
      </c>
      <c r="G21" t="n">
        <v>-914</v>
      </c>
    </row>
    <row r="22">
      <c r="A22" s="2" t="n">
        <v>45740</v>
      </c>
      <c r="B22" t="inlineStr">
        <is>
          <t>SHELL.DRS(NL0015002E16) Expire Dividend Right (Ordinary Dividend)</t>
        </is>
      </c>
      <c r="C22" t="inlineStr">
        <is>
          <t>EUR</t>
        </is>
      </c>
      <c r="D22" t="n">
        <v>8.949999999999999</v>
      </c>
      <c r="E22" t="n">
        <v>10.5127</v>
      </c>
      <c r="F22" t="n">
        <v>86.95</v>
      </c>
      <c r="G22" t="n">
        <v>914</v>
      </c>
    </row>
    <row r="23">
      <c r="A23" s="2" t="n">
        <v>45744</v>
      </c>
      <c r="B23" t="inlineStr">
        <is>
          <t>BAC(US0605051046) Cash Dividend USD 0.26 per Share (Ordinary Dividend)</t>
        </is>
      </c>
      <c r="C23" t="inlineStr">
        <is>
          <t>USD</t>
        </is>
      </c>
      <c r="D23" t="n">
        <v>4.65</v>
      </c>
      <c r="E23" t="n">
        <v>4.65</v>
      </c>
      <c r="F23" t="n">
        <v>86.95</v>
      </c>
      <c r="G23" t="n">
        <v>404</v>
      </c>
    </row>
    <row r="24">
      <c r="A24" s="2" t="n">
        <v>45751</v>
      </c>
      <c r="B24" t="inlineStr">
        <is>
          <t>TIP(US4642871762) Cash Dividend USD 0.70918 per Share (Ordinary Dividend)</t>
        </is>
      </c>
      <c r="C24" t="inlineStr">
        <is>
          <t>USD</t>
        </is>
      </c>
      <c r="D24" t="n">
        <v>5.67</v>
      </c>
      <c r="E24" t="n">
        <v>5.67</v>
      </c>
      <c r="F24" t="n">
        <v>85.09999999999999</v>
      </c>
      <c r="G24" t="n">
        <v>483</v>
      </c>
    </row>
    <row r="25">
      <c r="A25" s="2" t="n">
        <v>45757</v>
      </c>
      <c r="B25" t="inlineStr">
        <is>
          <t>TSM(US8740391003) Cash Dividend USD 0.677693 per Share (Ordinary Div - NRA Withholding Exempt)</t>
        </is>
      </c>
      <c r="C25" t="inlineStr">
        <is>
          <t>USD</t>
        </is>
      </c>
      <c r="D25" t="n">
        <v>1.48</v>
      </c>
      <c r="E25" t="n">
        <v>1.48</v>
      </c>
      <c r="F25" t="n">
        <v>85.09999999999999</v>
      </c>
      <c r="G25" t="n">
        <v>126</v>
      </c>
    </row>
    <row r="26">
      <c r="A26" s="2" t="n">
        <v>45772</v>
      </c>
      <c r="B26" t="inlineStr">
        <is>
          <t>GE(US3696043013) Cash Dividend USD 0.36 per Share (Ordinary Dividend)</t>
        </is>
      </c>
      <c r="C26" t="inlineStr">
        <is>
          <t>USD</t>
        </is>
      </c>
      <c r="D26" t="n">
        <v>1.56</v>
      </c>
      <c r="E26" t="n">
        <v>1.56</v>
      </c>
      <c r="F26" t="n">
        <v>85.09999999999999</v>
      </c>
      <c r="G26" t="n">
        <v>133</v>
      </c>
    </row>
    <row r="27">
      <c r="A27" s="2" t="n">
        <v>45782</v>
      </c>
      <c r="B27" t="inlineStr">
        <is>
          <t>BX(US09260D1072) Cash Dividend USD 0.93 per Share (Ordinary Dividend)</t>
        </is>
      </c>
      <c r="C27" t="inlineStr">
        <is>
          <t>USD</t>
        </is>
      </c>
      <c r="D27" t="n">
        <v>18.53</v>
      </c>
      <c r="E27" t="n">
        <v>18.53</v>
      </c>
      <c r="F27" t="n">
        <v>84.25</v>
      </c>
      <c r="G27" t="n">
        <v>1561</v>
      </c>
    </row>
    <row r="28">
      <c r="A28" s="2" t="n">
        <v>45783</v>
      </c>
      <c r="B28" t="inlineStr">
        <is>
          <t>TIP(US4642871762) Cash Dividend USD 0.534953 per Share (Ordinary Dividend)</t>
        </is>
      </c>
      <c r="C28" t="inlineStr">
        <is>
          <t>USD</t>
        </is>
      </c>
      <c r="D28" t="n">
        <v>4.28</v>
      </c>
      <c r="E28" t="n">
        <v>4.28</v>
      </c>
      <c r="F28" t="n">
        <v>84.25</v>
      </c>
      <c r="G28" t="n">
        <v>361</v>
      </c>
    </row>
    <row r="29">
      <c r="A29" s="2" t="n">
        <v>45786</v>
      </c>
      <c r="B29" t="inlineStr">
        <is>
          <t>GD(US3695501086) Cash Dividend USD 1.50 per Share (Ordinary Dividend)</t>
        </is>
      </c>
      <c r="C29" t="inlineStr">
        <is>
          <t>USD</t>
        </is>
      </c>
      <c r="D29" t="n">
        <v>3.6</v>
      </c>
      <c r="E29" t="n">
        <v>3.6</v>
      </c>
      <c r="F29" t="n">
        <v>84.25</v>
      </c>
      <c r="G29" t="n">
        <v>303</v>
      </c>
    </row>
    <row r="30">
      <c r="A30" s="2" t="n">
        <v>45792</v>
      </c>
      <c r="B30" t="inlineStr">
        <is>
          <t>ACN(IE00B4BNMY34) Cash Dividend USD 1.48 per Share (Ordinary Dividend)</t>
        </is>
      </c>
      <c r="C30" t="inlineStr">
        <is>
          <t>USD</t>
        </is>
      </c>
      <c r="D30" t="n">
        <v>10.83</v>
      </c>
      <c r="E30" t="n">
        <v>10.83</v>
      </c>
      <c r="F30" t="n">
        <v>84.25</v>
      </c>
      <c r="G30" t="n">
        <v>912</v>
      </c>
    </row>
    <row r="31">
      <c r="A31" s="2" t="n">
        <v>45797</v>
      </c>
      <c r="B31" t="inlineStr">
        <is>
          <t>CAT(US1491231015) Cash Dividend USD 1.41 per Share (Ordinary Dividend)</t>
        </is>
      </c>
      <c r="C31" t="inlineStr">
        <is>
          <t>USD</t>
        </is>
      </c>
      <c r="D31" t="n">
        <v>8.67</v>
      </c>
      <c r="E31" t="n">
        <v>8.67</v>
      </c>
      <c r="F31" t="n">
        <v>84.25</v>
      </c>
      <c r="G31" t="n">
        <v>730</v>
      </c>
    </row>
    <row r="32">
      <c r="A32" s="2" t="n">
        <v>45810</v>
      </c>
      <c r="B32" t="inlineStr">
        <is>
          <t>TGT(US87612E1064) Cash Dividend USD 1.12 per Share (Ordinary Dividend)</t>
        </is>
      </c>
      <c r="C32" t="inlineStr">
        <is>
          <t>USD</t>
        </is>
      </c>
      <c r="D32" t="n">
        <v>23.46</v>
      </c>
      <c r="E32" t="n">
        <v>23.46</v>
      </c>
      <c r="F32" t="n">
        <v>85.09999999999999</v>
      </c>
      <c r="G32" t="n">
        <v>1996</v>
      </c>
    </row>
    <row r="33">
      <c r="A33" s="2" t="n">
        <v>45813</v>
      </c>
      <c r="B33" t="inlineStr">
        <is>
          <t>TIP(US4642871762) Cash Dividend USD 0.273105 per Share (Ordinary Dividend)</t>
        </is>
      </c>
      <c r="C33" t="inlineStr">
        <is>
          <t>USD</t>
        </is>
      </c>
      <c r="D33" t="n">
        <v>2.18</v>
      </c>
      <c r="E33" t="n">
        <v>2.18</v>
      </c>
      <c r="F33" t="n">
        <v>85.09999999999999</v>
      </c>
      <c r="G33" t="n">
        <v>186</v>
      </c>
    </row>
    <row r="34">
      <c r="A34" s="2" t="n">
        <v>45818</v>
      </c>
      <c r="B34" t="inlineStr">
        <is>
          <t>LLY(US5324571083) Cash Dividend USD 1.50 per Share (Ordinary Dividend)</t>
        </is>
      </c>
      <c r="C34" t="inlineStr">
        <is>
          <t>USD</t>
        </is>
      </c>
      <c r="D34" t="n">
        <v>4.56</v>
      </c>
      <c r="E34" t="n">
        <v>4.56</v>
      </c>
      <c r="F34" t="n">
        <v>85.09999999999999</v>
      </c>
      <c r="G34" t="n">
        <v>388</v>
      </c>
    </row>
    <row r="35">
      <c r="A35" s="2" t="n">
        <v>45818</v>
      </c>
      <c r="B35" t="inlineStr">
        <is>
          <t>XOM(US30231G1022) Cash Dividend USD 0.99 per Share (Ordinary Dividend)</t>
        </is>
      </c>
      <c r="C35" t="inlineStr">
        <is>
          <t>USD</t>
        </is>
      </c>
      <c r="D35" t="n">
        <v>21.38</v>
      </c>
      <c r="E35" t="n">
        <v>21.38</v>
      </c>
      <c r="F35" t="n">
        <v>85.09999999999999</v>
      </c>
      <c r="G35" t="n">
        <v>1819</v>
      </c>
    </row>
    <row r="36">
      <c r="A36" s="2" t="n">
        <v>45820</v>
      </c>
      <c r="B36" t="inlineStr">
        <is>
          <t>RTX(US75513E1010) Cash Dividend USD 0.68 per Share (Ordinary Dividend)</t>
        </is>
      </c>
      <c r="C36" t="inlineStr">
        <is>
          <t>USD</t>
        </is>
      </c>
      <c r="D36" t="n">
        <v>9.140000000000001</v>
      </c>
      <c r="E36" t="n">
        <v>9.140000000000001</v>
      </c>
      <c r="F36" t="n">
        <v>85.09999999999999</v>
      </c>
      <c r="G36" t="n">
        <v>778</v>
      </c>
    </row>
    <row r="37">
      <c r="A37" s="2" t="n">
        <v>45831</v>
      </c>
      <c r="B37" t="inlineStr">
        <is>
          <t>SHELL.DVD(NL0015002HW4) Expire Dividend Right (Ordinary Dividend)</t>
        </is>
      </c>
      <c r="C37" t="inlineStr">
        <is>
          <t>EUR</t>
        </is>
      </c>
      <c r="D37" t="n">
        <v>21.64</v>
      </c>
      <c r="E37" t="n">
        <v>25.4183</v>
      </c>
      <c r="F37" t="n">
        <v>85.09999999999999</v>
      </c>
      <c r="G37" t="n">
        <v>2163</v>
      </c>
    </row>
    <row r="38">
      <c r="A38" s="2" t="n">
        <v>45835</v>
      </c>
      <c r="B38" t="inlineStr">
        <is>
          <t>BAC(US0605051046) Cash Dividend USD 0.26 per Share (Ordinary Dividend)</t>
        </is>
      </c>
      <c r="C38" t="inlineStr">
        <is>
          <t>USD</t>
        </is>
      </c>
      <c r="D38" t="n">
        <v>13.49</v>
      </c>
      <c r="E38" t="n">
        <v>13.49</v>
      </c>
      <c r="F38" t="n">
        <v>85.09999999999999</v>
      </c>
      <c r="G38" t="n">
        <v>1148</v>
      </c>
    </row>
    <row r="39">
      <c r="A39" s="2" t="n">
        <v>45845</v>
      </c>
      <c r="B39" t="inlineStr">
        <is>
          <t>TIP(US4642871762) Cash Dividend USD 0.379923 per Share (Ordinary Dividend)</t>
        </is>
      </c>
      <c r="C39" t="inlineStr">
        <is>
          <t>USD</t>
        </is>
      </c>
      <c r="D39" t="n">
        <v>3.04</v>
      </c>
      <c r="E39" t="n">
        <v>3.04</v>
      </c>
      <c r="F39" t="n">
        <v>85.09999999999999</v>
      </c>
      <c r="G39" t="n">
        <v>259</v>
      </c>
    </row>
    <row r="40">
      <c r="A40" s="2" t="n">
        <v>45848</v>
      </c>
      <c r="B40" t="inlineStr">
        <is>
          <t>TSM(US8740391003) Cash Dividend USD 0.780305 per Share (Ordinary Div - NRA Withholding Exempt)</t>
        </is>
      </c>
      <c r="C40" t="inlineStr">
        <is>
          <t>USD</t>
        </is>
      </c>
      <c r="D40" t="n">
        <v>5.61</v>
      </c>
      <c r="E40" t="n">
        <v>5.61</v>
      </c>
      <c r="F40" t="n">
        <v>85.09999999999999</v>
      </c>
      <c r="G40" t="n">
        <v>477</v>
      </c>
    </row>
    <row r="41">
      <c r="A41" s="2" t="n">
        <v>45863</v>
      </c>
      <c r="B41" t="inlineStr">
        <is>
          <t>GE(US3696043013) Cash Dividend USD 0.36 per Share (Ordinary Dividend)</t>
        </is>
      </c>
      <c r="C41" t="inlineStr">
        <is>
          <t>USD</t>
        </is>
      </c>
      <c r="D41" t="n">
        <v>5.16</v>
      </c>
      <c r="E41" t="n">
        <v>5.16</v>
      </c>
      <c r="F41" t="n">
        <v>85.09999999999999</v>
      </c>
      <c r="G41" t="n">
        <v>439</v>
      </c>
    </row>
    <row r="42">
      <c r="A42" s="2" t="n">
        <v>45869</v>
      </c>
      <c r="B42" t="inlineStr">
        <is>
          <t>3188(HK0000123577) Cash Dividend CNH 0.53 per Share (Ordinary Dividend)</t>
        </is>
      </c>
      <c r="C42" t="inlineStr">
        <is>
          <t>CNH</t>
        </is>
      </c>
      <c r="D42" t="n">
        <v>106</v>
      </c>
      <c r="E42" t="n">
        <v>106</v>
      </c>
      <c r="F42" t="n">
        <v>85.09999999999999</v>
      </c>
      <c r="G42" t="n">
        <v>9021</v>
      </c>
    </row>
    <row r="43">
      <c r="A43" s="2" t="n">
        <v>45875</v>
      </c>
      <c r="B43" t="inlineStr">
        <is>
          <t>TIP(US4642871762) Cash Dividend USD 0.264488 per Share (Ordinary Dividend)</t>
        </is>
      </c>
      <c r="C43" t="inlineStr">
        <is>
          <t>USD</t>
        </is>
      </c>
      <c r="D43" t="n">
        <v>2.12</v>
      </c>
      <c r="E43" t="n">
        <v>2.12</v>
      </c>
      <c r="F43" t="n">
        <v>87.15000000000001</v>
      </c>
      <c r="G43" t="n">
        <v>185</v>
      </c>
    </row>
    <row r="44">
      <c r="A44" s="2" t="n">
        <v>45877</v>
      </c>
      <c r="B44" t="inlineStr">
        <is>
          <t>GD(US3695501086) Cash Dividend USD 1.50 per Share (Ordinary Dividend)</t>
        </is>
      </c>
      <c r="C44" t="inlineStr">
        <is>
          <t>USD</t>
        </is>
      </c>
      <c r="D44" t="n">
        <v>3.6</v>
      </c>
      <c r="E44" t="n">
        <v>3.6</v>
      </c>
      <c r="F44" t="n">
        <v>87.15000000000001</v>
      </c>
      <c r="G44" t="n">
        <v>314</v>
      </c>
    </row>
    <row r="45">
      <c r="A45" s="2" t="n">
        <v>45884</v>
      </c>
      <c r="B45" t="inlineStr">
        <is>
          <t>ACN(IE00B4BNMY34) Cash Dividend USD 1.48 per Share (Ordinary Dividend)</t>
        </is>
      </c>
      <c r="C45" t="inlineStr">
        <is>
          <t>USD</t>
        </is>
      </c>
      <c r="D45" t="n">
        <v>10.83</v>
      </c>
      <c r="E45" t="n">
        <v>10.83</v>
      </c>
      <c r="F45" t="n">
        <v>87.15000000000001</v>
      </c>
      <c r="G45" t="n">
        <v>944</v>
      </c>
    </row>
    <row r="46">
      <c r="A46" s="2" t="n">
        <v>45889</v>
      </c>
      <c r="B46" t="inlineStr">
        <is>
          <t>CAT(US1491231015) Cash Dividend USD 1.51 per Share (Ordinary Dividend)</t>
        </is>
      </c>
      <c r="C46" t="inlineStr">
        <is>
          <t>USD</t>
        </is>
      </c>
      <c r="D46" t="n">
        <v>9.289999999999999</v>
      </c>
      <c r="E46" t="n">
        <v>9.289999999999999</v>
      </c>
      <c r="F46" t="n">
        <v>87.15000000000001</v>
      </c>
      <c r="G46" t="n">
        <v>810</v>
      </c>
    </row>
    <row r="47">
      <c r="A47" s="2" t="n">
        <v>45905</v>
      </c>
      <c r="B47" t="inlineStr">
        <is>
          <t>IEF(US4642874402) Cash Dividend USD 0.314136 per Share (Ordinary Dividend)</t>
        </is>
      </c>
      <c r="C47" t="inlineStr">
        <is>
          <t>USD</t>
        </is>
      </c>
      <c r="D47" t="n">
        <v>3.14</v>
      </c>
      <c r="E47" t="n">
        <v>3.14</v>
      </c>
      <c r="F47" t="n">
        <v>87.7</v>
      </c>
      <c r="G47" t="n">
        <v>275</v>
      </c>
    </row>
    <row r="48">
      <c r="A48" s="2" t="n">
        <v>45905</v>
      </c>
      <c r="B48" t="inlineStr">
        <is>
          <t>TIP(US4642871762) Cash Dividend USD 0.417238 per Share (Ordinary Dividend)</t>
        </is>
      </c>
      <c r="C48" t="inlineStr">
        <is>
          <t>USD</t>
        </is>
      </c>
      <c r="D48" t="n">
        <v>3.34</v>
      </c>
      <c r="E48" t="n">
        <v>3.34</v>
      </c>
      <c r="F48" t="n">
        <v>87.7</v>
      </c>
      <c r="G48" t="n">
        <v>293</v>
      </c>
    </row>
    <row r="49">
      <c r="A49" s="2" t="n">
        <v>45919</v>
      </c>
      <c r="B49" t="inlineStr">
        <is>
          <t>IWR(US4642874998) Cash Dividend USD 0.322439 per Share (Ordinary Dividend)</t>
        </is>
      </c>
      <c r="C49" t="inlineStr">
        <is>
          <t>USD</t>
        </is>
      </c>
      <c r="D49" t="n">
        <v>2.58</v>
      </c>
      <c r="E49" t="n">
        <v>2.58</v>
      </c>
      <c r="F49" t="n">
        <v>87.7</v>
      </c>
      <c r="G49" t="n">
        <v>226</v>
      </c>
    </row>
    <row r="50">
      <c r="A50" s="2" t="n">
        <v>45923</v>
      </c>
      <c r="B50" t="inlineStr">
        <is>
          <t>VT(US9220427424) Cash Dividend USD 0.4781 per Share (Ordinary Dividend)</t>
        </is>
      </c>
      <c r="C50" t="inlineStr">
        <is>
          <t>USD</t>
        </is>
      </c>
      <c r="D50" t="n">
        <v>3.82</v>
      </c>
      <c r="E50" t="n">
        <v>3.82</v>
      </c>
      <c r="F50" t="n">
        <v>87.7</v>
      </c>
      <c r="G50" t="n">
        <v>335</v>
      </c>
    </row>
    <row r="51">
      <c r="A51" s="2" t="n">
        <v>45931</v>
      </c>
      <c r="B51" t="inlineStr">
        <is>
          <t>VTV(US9229087443) Cash Dividend USD 0.9433 per Share (Ordinary Dividend)</t>
        </is>
      </c>
      <c r="C51" t="inlineStr">
        <is>
          <t>USD</t>
        </is>
      </c>
      <c r="D51" t="n">
        <v>5.66</v>
      </c>
      <c r="E51" t="n">
        <v>5.66</v>
      </c>
      <c r="F51" t="n">
        <v>88.34999999999999</v>
      </c>
      <c r="G51" t="n">
        <v>500</v>
      </c>
    </row>
    <row r="52">
      <c r="A52" s="2" t="n">
        <v>45936</v>
      </c>
      <c r="B52" t="inlineStr">
        <is>
          <t>IEF(US4642874402) Cash Dividend USD 0.294485 per Share (Ordinary Dividend)</t>
        </is>
      </c>
      <c r="C52" t="inlineStr">
        <is>
          <t>USD</t>
        </is>
      </c>
      <c r="D52" t="n">
        <v>2.94</v>
      </c>
      <c r="E52" t="n">
        <v>2.94</v>
      </c>
      <c r="F52" t="n">
        <v>88.34999999999999</v>
      </c>
      <c r="G52" t="n">
        <v>260</v>
      </c>
    </row>
    <row r="53">
      <c r="A53" s="2" t="n">
        <v>45936</v>
      </c>
      <c r="B53" t="inlineStr">
        <is>
          <t>TIP(US4642871762) Cash Dividend USD 0.198069 per Share (Ordinary Dividend)</t>
        </is>
      </c>
      <c r="C53" t="inlineStr">
        <is>
          <t>USD</t>
        </is>
      </c>
      <c r="D53" t="n">
        <v>1.58</v>
      </c>
      <c r="E53" t="n">
        <v>1.58</v>
      </c>
      <c r="F53" t="n">
        <v>88.34999999999999</v>
      </c>
      <c r="G53" t="n">
        <v>140</v>
      </c>
    </row>
    <row r="54">
      <c r="A54" s="2" t="n">
        <v>45954</v>
      </c>
      <c r="B54" t="inlineStr">
        <is>
          <t>1919(CNE1000002J7) Cash Dividend HKD 0.613944 per Share (Ordinary Dividend)</t>
        </is>
      </c>
      <c r="C54" t="inlineStr">
        <is>
          <t>HKD</t>
        </is>
      </c>
      <c r="D54" t="n">
        <v>306.97</v>
      </c>
      <c r="E54" t="n">
        <v>39.4426</v>
      </c>
      <c r="F54" t="n">
        <v>88.34999999999999</v>
      </c>
      <c r="G54" t="n">
        <v>3485</v>
      </c>
    </row>
    <row r="55">
      <c r="A55" s="2" t="n">
        <v>45961</v>
      </c>
      <c r="B55" t="inlineStr">
        <is>
          <t>QQQ(US46090E1038) Cash Dividend USD 0.69395 per Share (Ordinary Dividend)</t>
        </is>
      </c>
      <c r="C55" t="inlineStr">
        <is>
          <t>USD</t>
        </is>
      </c>
      <c r="D55" t="n">
        <v>1.39</v>
      </c>
      <c r="E55" t="n">
        <v>1.39</v>
      </c>
      <c r="F55" t="n">
        <v>88.34999999999999</v>
      </c>
      <c r="G55" t="n">
        <v>123</v>
      </c>
    </row>
    <row r="56">
      <c r="A56" s="2" t="n">
        <v>45967</v>
      </c>
      <c r="B56" t="inlineStr">
        <is>
          <t>ASML(NL0010273215) Cash Dividend EUR 1.60 per Share (Ordinary Dividend)</t>
        </is>
      </c>
      <c r="C56" t="inlineStr">
        <is>
          <t>EUR</t>
        </is>
      </c>
      <c r="D56" t="n">
        <v>2.4</v>
      </c>
      <c r="E56" t="n">
        <v>2.819</v>
      </c>
      <c r="F56" t="n">
        <v>88.2</v>
      </c>
      <c r="G56" t="n">
        <v>249</v>
      </c>
    </row>
    <row r="57">
      <c r="A57" s="2" t="n">
        <v>45967</v>
      </c>
      <c r="B57" t="inlineStr">
        <is>
          <t>IEF(US4642874402) Cash Dividend USD 0.303792 per Share (Ordinary Dividend)</t>
        </is>
      </c>
      <c r="C57" t="inlineStr">
        <is>
          <t>USD</t>
        </is>
      </c>
      <c r="D57" t="n">
        <v>3.04</v>
      </c>
      <c r="E57" t="n">
        <v>3.04</v>
      </c>
      <c r="F57" t="n">
        <v>88.2</v>
      </c>
      <c r="G57" t="n">
        <v>268</v>
      </c>
    </row>
    <row r="58">
      <c r="A58" s="2" t="n">
        <v>45967</v>
      </c>
      <c r="B58" t="inlineStr">
        <is>
          <t>TIP(US4642871762) Cash Dividend USD 0.360933 per Share (Ordinary Dividend)</t>
        </is>
      </c>
      <c r="C58" t="inlineStr">
        <is>
          <t>USD</t>
        </is>
      </c>
      <c r="D58" t="n">
        <v>2.89</v>
      </c>
      <c r="E58" t="n">
        <v>2.89</v>
      </c>
      <c r="F58" t="n">
        <v>88.2</v>
      </c>
      <c r="G58" t="n">
        <v>255</v>
      </c>
    </row>
    <row r="59">
      <c r="A59" s="2" t="n">
        <v>45974</v>
      </c>
      <c r="B59" t="inlineStr">
        <is>
          <t>AAPL(US0378331005) Cash Dividend USD 0.26 per Share (Ordinary Dividend)</t>
        </is>
      </c>
      <c r="C59" t="inlineStr">
        <is>
          <t>USD</t>
        </is>
      </c>
      <c r="D59" t="n">
        <v>1.04</v>
      </c>
      <c r="E59" t="n">
        <v>1.04</v>
      </c>
      <c r="F59" t="n">
        <v>88.2</v>
      </c>
      <c r="G59" t="n">
        <v>92</v>
      </c>
    </row>
    <row r="60">
      <c r="A60" s="2" t="n">
        <v>45975</v>
      </c>
      <c r="B60" t="inlineStr">
        <is>
          <t>ACN(IE00B4BNMY34) Cash Dividend USD 1.63 per Share (Ordinary Dividend)</t>
        </is>
      </c>
      <c r="C60" t="inlineStr">
        <is>
          <t>USD</t>
        </is>
      </c>
      <c r="D60" t="n">
        <v>11.93</v>
      </c>
      <c r="E60" t="n">
        <v>11.93</v>
      </c>
      <c r="F60" t="n">
        <v>88.2</v>
      </c>
      <c r="G60" t="n">
        <v>1052</v>
      </c>
    </row>
    <row r="61">
      <c r="A61" s="2" t="n">
        <v>45992</v>
      </c>
      <c r="B61" t="inlineStr">
        <is>
          <t>WFC(US9497461015) Cash Dividend USD 0.45 per Share (Ordinary Dividend)</t>
        </is>
      </c>
      <c r="C61" t="inlineStr">
        <is>
          <t>USD</t>
        </is>
      </c>
      <c r="D61" t="n">
        <v>5.4</v>
      </c>
      <c r="E61" t="n">
        <v>5.4</v>
      </c>
      <c r="F61" t="n">
        <v>88.95</v>
      </c>
      <c r="G61" t="n">
        <v>480</v>
      </c>
    </row>
    <row r="62">
      <c r="A62" s="2" t="n">
        <v>45995</v>
      </c>
      <c r="B62" t="inlineStr">
        <is>
          <t>IEF(US4642874402) Cash Dividend USD 0.288439 per Share (Ordinary Dividend)</t>
        </is>
      </c>
      <c r="C62" t="inlineStr">
        <is>
          <t>USD</t>
        </is>
      </c>
      <c r="D62" t="n">
        <v>2.88</v>
      </c>
      <c r="E62" t="n">
        <v>2.88</v>
      </c>
      <c r="F62" t="n">
        <v>88.95</v>
      </c>
      <c r="G62" t="n">
        <v>256</v>
      </c>
    </row>
    <row r="63">
      <c r="A63" s="2" t="n">
        <v>45995</v>
      </c>
      <c r="B63" t="inlineStr">
        <is>
          <t>TIP(US4642871762) Cash Dividend USD 0.322417 per Share (Ordinary Dividend)</t>
        </is>
      </c>
      <c r="C63" t="inlineStr">
        <is>
          <t>USD</t>
        </is>
      </c>
      <c r="D63" t="n">
        <v>2.58</v>
      </c>
      <c r="E63" t="n">
        <v>2.58</v>
      </c>
      <c r="F63" t="n">
        <v>88.95</v>
      </c>
      <c r="G63" t="n">
        <v>229</v>
      </c>
    </row>
    <row r="64">
      <c r="A64" s="2" t="n">
        <v>46001</v>
      </c>
      <c r="B64" t="inlineStr">
        <is>
          <t>4568.T(JP3475350009) Cash Dividend JPY 39 per Share (Ordinary Dividend)</t>
        </is>
      </c>
      <c r="C64" t="inlineStr">
        <is>
          <t>JPY</t>
        </is>
      </c>
      <c r="D64" t="n">
        <v>3900</v>
      </c>
      <c r="E64" t="n">
        <v>24.8925</v>
      </c>
      <c r="F64" t="n">
        <v>88.95</v>
      </c>
      <c r="G64" t="n">
        <v>2214</v>
      </c>
    </row>
    <row r="65">
      <c r="A65" s="2" t="n">
        <v>46010</v>
      </c>
      <c r="B65" t="inlineStr">
        <is>
          <t>AAXJ(US4642881829) Cash Dividend USD 1.12455 per Share (Ordinary Dividend)</t>
        </is>
      </c>
      <c r="C65" t="inlineStr">
        <is>
          <t>USD</t>
        </is>
      </c>
      <c r="D65" t="n">
        <v>6.75</v>
      </c>
      <c r="E65" t="n">
        <v>6.75</v>
      </c>
      <c r="F65" t="n">
        <v>88.95</v>
      </c>
      <c r="G65" t="n">
        <v>600</v>
      </c>
    </row>
    <row r="66">
      <c r="A66" s="2" t="n">
        <v>46010</v>
      </c>
      <c r="B66" t="inlineStr">
        <is>
          <t>ICLN(US4642882249) Cash Dividend USD 0.128205 per Share (Ordinary Dividend)</t>
        </is>
      </c>
      <c r="C66" t="inlineStr">
        <is>
          <t>USD</t>
        </is>
      </c>
      <c r="D66" t="n">
        <v>3.85</v>
      </c>
      <c r="E66" t="n">
        <v>3.85</v>
      </c>
      <c r="F66" t="n">
        <v>88.95</v>
      </c>
      <c r="G66" t="n">
        <v>342</v>
      </c>
    </row>
    <row r="67">
      <c r="A67" s="2" t="n">
        <v>46010</v>
      </c>
      <c r="B67" t="inlineStr">
        <is>
          <t>IWR(US4642874998) Cash Dividend USD 0.393709 per Share (Ordinary Dividend)</t>
        </is>
      </c>
      <c r="C67" t="inlineStr">
        <is>
          <t>USD</t>
        </is>
      </c>
      <c r="D67" t="n">
        <v>3.15</v>
      </c>
      <c r="E67" t="n">
        <v>3.15</v>
      </c>
      <c r="F67" t="n">
        <v>88.95</v>
      </c>
      <c r="G67" t="n">
        <v>280</v>
      </c>
    </row>
    <row r="68">
      <c r="A68" s="2" t="n">
        <v>46014</v>
      </c>
      <c r="B68" t="inlineStr">
        <is>
          <t>VT(US9220427424) Cash Dividend USD 1.1152 per Share (Ordinary Dividend)</t>
        </is>
      </c>
      <c r="C68" t="inlineStr">
        <is>
          <t>USD</t>
        </is>
      </c>
      <c r="D68" t="n">
        <v>8.92</v>
      </c>
      <c r="E68" t="n">
        <v>8.92</v>
      </c>
      <c r="F68" t="n">
        <v>88.95</v>
      </c>
      <c r="G68" t="n">
        <v>793</v>
      </c>
    </row>
    <row r="69">
      <c r="A69" s="2" t="n">
        <v>46015</v>
      </c>
      <c r="B69" t="inlineStr">
        <is>
          <t>IEF(US4642874402) Cash Dividend USD 0.312713 per Share (Ordinary Dividend)</t>
        </is>
      </c>
      <c r="C69" t="inlineStr">
        <is>
          <t>USD</t>
        </is>
      </c>
      <c r="D69" t="n">
        <v>3.13</v>
      </c>
      <c r="E69" t="n">
        <v>3.13</v>
      </c>
      <c r="F69" t="n">
        <v>88.95</v>
      </c>
      <c r="G69" t="n">
        <v>278</v>
      </c>
    </row>
    <row r="70">
      <c r="A70" s="2" t="n">
        <v>46015</v>
      </c>
      <c r="B70" t="inlineStr">
        <is>
          <t>TIP(US4642871762) Cash Dividend USD 0.341961 per Share (Ordinary Dividend)</t>
        </is>
      </c>
      <c r="C70" t="inlineStr">
        <is>
          <t>USD</t>
        </is>
      </c>
      <c r="D70" t="n">
        <v>2.74</v>
      </c>
      <c r="E70" t="n">
        <v>2.74</v>
      </c>
      <c r="F70" t="n">
        <v>88.95</v>
      </c>
      <c r="G70" t="n">
        <v>244</v>
      </c>
    </row>
    <row r="71">
      <c r="A71" s="2" t="n">
        <v>46015</v>
      </c>
      <c r="B71" t="inlineStr">
        <is>
          <t>VTV(US9229087443) Cash Dividend USD 0.9862 per Share (Ordinary Dividend)</t>
        </is>
      </c>
      <c r="C71" t="inlineStr">
        <is>
          <t>USD</t>
        </is>
      </c>
      <c r="D71" t="n">
        <v>5.92</v>
      </c>
      <c r="E71" t="n">
        <v>5.92</v>
      </c>
      <c r="F71" t="n">
        <v>88.95</v>
      </c>
      <c r="G71" t="n">
        <v>527</v>
      </c>
    </row>
    <row r="72">
      <c r="A72" s="2" t="n">
        <v>46022</v>
      </c>
      <c r="B72" t="inlineStr">
        <is>
          <t>3069(HK0000711199) Cash Dividend HKD 0.05 per Share (Ordinary Dividend)</t>
        </is>
      </c>
      <c r="C72" t="inlineStr">
        <is>
          <t>HKD</t>
        </is>
      </c>
      <c r="D72" t="n">
        <v>25</v>
      </c>
      <c r="E72" t="n">
        <v>3.2123</v>
      </c>
      <c r="F72" t="n">
        <v>88.95</v>
      </c>
      <c r="G72" t="n">
        <v>286</v>
      </c>
    </row>
    <row r="73">
      <c r="A73" s="2" t="n">
        <v>46022</v>
      </c>
      <c r="B73" t="inlineStr">
        <is>
          <t>3088(HK0000643327) Cash Dividend HKD 0.02 per Share (Ordinary Dividend)</t>
        </is>
      </c>
      <c r="C73" t="inlineStr">
        <is>
          <t>HKD</t>
        </is>
      </c>
      <c r="D73" t="n">
        <v>24</v>
      </c>
      <c r="E73" t="n">
        <v>3.0838</v>
      </c>
      <c r="F73" t="n">
        <v>88.95</v>
      </c>
      <c r="G73" t="n">
        <v>274</v>
      </c>
    </row>
    <row r="74">
      <c r="A74" s="2" t="n">
        <v>46022</v>
      </c>
      <c r="B74" t="inlineStr">
        <is>
          <t>QQQ(US46090E1038) Cash Dividend USD 0.79408 per Share (Ordinary Dividend)</t>
        </is>
      </c>
      <c r="C74" t="inlineStr">
        <is>
          <t>USD</t>
        </is>
      </c>
      <c r="D74" t="n">
        <v>1.59</v>
      </c>
      <c r="E74" t="n">
        <v>1.59</v>
      </c>
      <c r="F74" t="n">
        <v>88.95</v>
      </c>
      <c r="G74" t="n">
        <v>141</v>
      </c>
    </row>
    <row r="75">
      <c r="B75" t="inlineStr">
        <is>
          <t>TOTAL DIVIDENDS</t>
        </is>
      </c>
      <c r="E75" t="n">
        <v>530.1</v>
      </c>
      <c r="G75" t="n">
        <v>45808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45812</v>
      </c>
      <c r="B4" t="inlineStr">
        <is>
          <t>USD Credit Interest for May-2025</t>
        </is>
      </c>
      <c r="C4" t="inlineStr">
        <is>
          <t>USD</t>
        </is>
      </c>
      <c r="D4" t="n">
        <v>0.78</v>
      </c>
      <c r="E4" t="n">
        <v>0.78</v>
      </c>
      <c r="F4" t="n">
        <v>85.09999999999999</v>
      </c>
      <c r="G4" t="n">
        <v>66</v>
      </c>
    </row>
    <row r="5">
      <c r="A5" s="2" t="n">
        <v>45841</v>
      </c>
      <c r="B5" t="inlineStr">
        <is>
          <t>USD Credit Interest for Jun-2025</t>
        </is>
      </c>
      <c r="C5" t="inlineStr">
        <is>
          <t>USD</t>
        </is>
      </c>
      <c r="D5" t="n">
        <v>0.23</v>
      </c>
      <c r="E5" t="n">
        <v>0.23</v>
      </c>
      <c r="F5" t="n">
        <v>85.09999999999999</v>
      </c>
      <c r="G5" t="n">
        <v>20</v>
      </c>
    </row>
    <row r="6">
      <c r="A6" s="2" t="n">
        <v>45874</v>
      </c>
      <c r="B6" t="inlineStr">
        <is>
          <t>USD Credit Interest for Jul-2025</t>
        </is>
      </c>
      <c r="C6" t="inlineStr">
        <is>
          <t>USD</t>
        </is>
      </c>
      <c r="D6" t="n">
        <v>7.38</v>
      </c>
      <c r="E6" t="n">
        <v>7.38</v>
      </c>
      <c r="F6" t="n">
        <v>87.15000000000001</v>
      </c>
      <c r="G6" t="n">
        <v>643</v>
      </c>
    </row>
    <row r="7">
      <c r="A7" s="2" t="n">
        <v>45904</v>
      </c>
      <c r="B7" t="inlineStr">
        <is>
          <t>USD Credit Interest for Aug-2025</t>
        </is>
      </c>
      <c r="C7" t="inlineStr">
        <is>
          <t>USD</t>
        </is>
      </c>
      <c r="D7" t="n">
        <v>47.93</v>
      </c>
      <c r="E7" t="n">
        <v>47.93</v>
      </c>
      <c r="F7" t="n">
        <v>87.7</v>
      </c>
      <c r="G7" t="n">
        <v>4203</v>
      </c>
    </row>
    <row r="8">
      <c r="A8" s="2" t="n">
        <v>45933</v>
      </c>
      <c r="B8" t="inlineStr">
        <is>
          <t>USD Credit Interest for Sep-2025</t>
        </is>
      </c>
      <c r="C8" t="inlineStr">
        <is>
          <t>USD</t>
        </is>
      </c>
      <c r="D8" t="n">
        <v>31.45</v>
      </c>
      <c r="E8" t="n">
        <v>31.45</v>
      </c>
      <c r="F8" t="n">
        <v>88.34999999999999</v>
      </c>
      <c r="G8" t="n">
        <v>2779</v>
      </c>
    </row>
    <row r="9">
      <c r="A9" s="2" t="n">
        <v>45966</v>
      </c>
      <c r="B9" t="inlineStr">
        <is>
          <t>USD Credit Interest for Oct-2025</t>
        </is>
      </c>
      <c r="C9" t="inlineStr">
        <is>
          <t>USD</t>
        </is>
      </c>
      <c r="D9" t="n">
        <v>31.94</v>
      </c>
      <c r="E9" t="n">
        <v>31.94</v>
      </c>
      <c r="F9" t="n">
        <v>88.2</v>
      </c>
      <c r="G9" t="n">
        <v>2817</v>
      </c>
    </row>
    <row r="10">
      <c r="A10" s="2" t="n">
        <v>45994</v>
      </c>
      <c r="B10" t="inlineStr">
        <is>
          <t>USD Credit Interest for Nov-2025</t>
        </is>
      </c>
      <c r="C10" t="inlineStr">
        <is>
          <t>USD</t>
        </is>
      </c>
      <c r="D10" t="n">
        <v>37.05</v>
      </c>
      <c r="E10" t="n">
        <v>37.05</v>
      </c>
      <c r="F10" t="n">
        <v>88.95</v>
      </c>
      <c r="G10" t="n">
        <v>3296</v>
      </c>
    </row>
    <row r="11">
      <c r="A11" s="2" t="n">
        <v>46028</v>
      </c>
      <c r="B11" t="inlineStr">
        <is>
          <t>USD Credit Interest for Dec-2025</t>
        </is>
      </c>
      <c r="C11" t="inlineStr">
        <is>
          <t>USD</t>
        </is>
      </c>
      <c r="D11" t="n">
        <v>23.14</v>
      </c>
      <c r="E11" t="n">
        <v>23.14</v>
      </c>
      <c r="F11" t="n">
        <v>89.47</v>
      </c>
      <c r="G11" t="n">
        <v>2070</v>
      </c>
    </row>
    <row r="12">
      <c r="A12" s="2" t="n">
        <v>46057</v>
      </c>
      <c r="B12" t="inlineStr">
        <is>
          <t>USD Credit Interest for Jan-2026</t>
        </is>
      </c>
      <c r="C12" t="inlineStr">
        <is>
          <t>USD</t>
        </is>
      </c>
      <c r="D12" t="n">
        <v>15.77</v>
      </c>
      <c r="E12" t="n">
        <v>15.77</v>
      </c>
      <c r="F12" t="n">
        <v>91.34999999999999</v>
      </c>
      <c r="G12" t="n">
        <v>1441</v>
      </c>
    </row>
    <row r="13">
      <c r="A13" s="2" t="n">
        <v>46085</v>
      </c>
      <c r="B13" t="inlineStr">
        <is>
          <t>USD Credit Interest for Feb-2026</t>
        </is>
      </c>
      <c r="C13" t="inlineStr">
        <is>
          <t>USD</t>
        </is>
      </c>
      <c r="D13" t="n">
        <v>13.95</v>
      </c>
      <c r="E13" t="n">
        <v>13.95</v>
      </c>
      <c r="F13" t="n">
        <v>90.56</v>
      </c>
      <c r="G13" t="n">
        <v>1263</v>
      </c>
    </row>
    <row r="14">
      <c r="B14" t="inlineStr">
        <is>
          <t>TOTAL INTEREST</t>
        </is>
      </c>
      <c r="E14" t="n">
        <v>209.62</v>
      </c>
      <c r="G14" t="n">
        <v>18598</v>
      </c>
    </row>
    <row r="15"/>
    <row r="16">
      <c r="A16" t="inlineStr">
        <is>
          <t>— DIVIDENDS —</t>
        </is>
      </c>
    </row>
    <row r="17">
      <c r="A17" s="2" t="n">
        <v>45751</v>
      </c>
      <c r="B17" t="inlineStr">
        <is>
          <t>TIP(US4642871762) Cash Dividend USD 0.70918 per Share (Ordinary Dividend)</t>
        </is>
      </c>
      <c r="C17" t="inlineStr">
        <is>
          <t>USD</t>
        </is>
      </c>
      <c r="D17" t="n">
        <v>5.67</v>
      </c>
      <c r="E17" t="n">
        <v>5.67</v>
      </c>
      <c r="F17" t="n">
        <v>85.09999999999999</v>
      </c>
      <c r="G17" t="n">
        <v>483</v>
      </c>
    </row>
    <row r="18">
      <c r="A18" s="2" t="n">
        <v>45757</v>
      </c>
      <c r="B18" t="inlineStr">
        <is>
          <t>TSM(US8740391003) Cash Dividend USD 0.677693 per Share (Ordinary Div - NRA Withholding Exempt)</t>
        </is>
      </c>
      <c r="C18" t="inlineStr">
        <is>
          <t>USD</t>
        </is>
      </c>
      <c r="D18" t="n">
        <v>1.48</v>
      </c>
      <c r="E18" t="n">
        <v>1.48</v>
      </c>
      <c r="F18" t="n">
        <v>85.09999999999999</v>
      </c>
      <c r="G18" t="n">
        <v>126</v>
      </c>
    </row>
    <row r="19">
      <c r="A19" s="2" t="n">
        <v>45772</v>
      </c>
      <c r="B19" t="inlineStr">
        <is>
          <t>GE(US3696043013) Cash Dividend USD 0.36 per Share (Ordinary Dividend)</t>
        </is>
      </c>
      <c r="C19" t="inlineStr">
        <is>
          <t>USD</t>
        </is>
      </c>
      <c r="D19" t="n">
        <v>1.56</v>
      </c>
      <c r="E19" t="n">
        <v>1.56</v>
      </c>
      <c r="F19" t="n">
        <v>85.09999999999999</v>
      </c>
      <c r="G19" t="n">
        <v>133</v>
      </c>
    </row>
    <row r="20">
      <c r="A20" s="2" t="n">
        <v>45782</v>
      </c>
      <c r="B20" t="inlineStr">
        <is>
          <t>BX(US09260D1072) Cash Dividend USD 0.93 per Share (Ordinary Dividend)</t>
        </is>
      </c>
      <c r="C20" t="inlineStr">
        <is>
          <t>USD</t>
        </is>
      </c>
      <c r="D20" t="n">
        <v>18.53</v>
      </c>
      <c r="E20" t="n">
        <v>18.53</v>
      </c>
      <c r="F20" t="n">
        <v>84.25</v>
      </c>
      <c r="G20" t="n">
        <v>1561</v>
      </c>
    </row>
    <row r="21">
      <c r="A21" s="2" t="n">
        <v>45783</v>
      </c>
      <c r="B21" t="inlineStr">
        <is>
          <t>TIP(US4642871762) Cash Dividend USD 0.534953 per Share (Ordinary Dividend)</t>
        </is>
      </c>
      <c r="C21" t="inlineStr">
        <is>
          <t>USD</t>
        </is>
      </c>
      <c r="D21" t="n">
        <v>4.28</v>
      </c>
      <c r="E21" t="n">
        <v>4.28</v>
      </c>
      <c r="F21" t="n">
        <v>84.25</v>
      </c>
      <c r="G21" t="n">
        <v>361</v>
      </c>
    </row>
    <row r="22">
      <c r="A22" s="2" t="n">
        <v>45786</v>
      </c>
      <c r="B22" t="inlineStr">
        <is>
          <t>GD(US3695501086) Cash Dividend USD 1.50 per Share (Ordinary Dividend)</t>
        </is>
      </c>
      <c r="C22" t="inlineStr">
        <is>
          <t>USD</t>
        </is>
      </c>
      <c r="D22" t="n">
        <v>3.6</v>
      </c>
      <c r="E22" t="n">
        <v>3.6</v>
      </c>
      <c r="F22" t="n">
        <v>84.25</v>
      </c>
      <c r="G22" t="n">
        <v>303</v>
      </c>
    </row>
    <row r="23">
      <c r="A23" s="2" t="n">
        <v>45792</v>
      </c>
      <c r="B23" t="inlineStr">
        <is>
          <t>ACN(IE00B4BNMY34) Cash Dividend USD 1.48 per Share (Ordinary Dividend)</t>
        </is>
      </c>
      <c r="C23" t="inlineStr">
        <is>
          <t>USD</t>
        </is>
      </c>
      <c r="D23" t="n">
        <v>10.83</v>
      </c>
      <c r="E23" t="n">
        <v>10.83</v>
      </c>
      <c r="F23" t="n">
        <v>84.25</v>
      </c>
      <c r="G23" t="n">
        <v>912</v>
      </c>
    </row>
    <row r="24">
      <c r="A24" s="2" t="n">
        <v>45797</v>
      </c>
      <c r="B24" t="inlineStr">
        <is>
          <t>CAT(US1491231015) Cash Dividend USD 1.41 per Share (Ordinary Dividend)</t>
        </is>
      </c>
      <c r="C24" t="inlineStr">
        <is>
          <t>USD</t>
        </is>
      </c>
      <c r="D24" t="n">
        <v>8.67</v>
      </c>
      <c r="E24" t="n">
        <v>8.67</v>
      </c>
      <c r="F24" t="n">
        <v>84.25</v>
      </c>
      <c r="G24" t="n">
        <v>730</v>
      </c>
    </row>
    <row r="25">
      <c r="A25" s="2" t="n">
        <v>45810</v>
      </c>
      <c r="B25" t="inlineStr">
        <is>
          <t>TGT(US87612E1064) Cash Dividend USD 1.12 per Share (Ordinary Dividend)</t>
        </is>
      </c>
      <c r="C25" t="inlineStr">
        <is>
          <t>USD</t>
        </is>
      </c>
      <c r="D25" t="n">
        <v>23.46</v>
      </c>
      <c r="E25" t="n">
        <v>23.46</v>
      </c>
      <c r="F25" t="n">
        <v>85.09999999999999</v>
      </c>
      <c r="G25" t="n">
        <v>1996</v>
      </c>
    </row>
    <row r="26">
      <c r="A26" s="2" t="n">
        <v>45813</v>
      </c>
      <c r="B26" t="inlineStr">
        <is>
          <t>TIP(US4642871762) Cash Dividend USD 0.273105 per Share (Ordinary Dividend)</t>
        </is>
      </c>
      <c r="C26" t="inlineStr">
        <is>
          <t>USD</t>
        </is>
      </c>
      <c r="D26" t="n">
        <v>2.18</v>
      </c>
      <c r="E26" t="n">
        <v>2.18</v>
      </c>
      <c r="F26" t="n">
        <v>85.09999999999999</v>
      </c>
      <c r="G26" t="n">
        <v>186</v>
      </c>
    </row>
    <row r="27">
      <c r="A27" s="2" t="n">
        <v>45818</v>
      </c>
      <c r="B27" t="inlineStr">
        <is>
          <t>LLY(US5324571083) Cash Dividend USD 1.50 per Share (Ordinary Dividend)</t>
        </is>
      </c>
      <c r="C27" t="inlineStr">
        <is>
          <t>USD</t>
        </is>
      </c>
      <c r="D27" t="n">
        <v>4.56</v>
      </c>
      <c r="E27" t="n">
        <v>4.56</v>
      </c>
      <c r="F27" t="n">
        <v>85.09999999999999</v>
      </c>
      <c r="G27" t="n">
        <v>388</v>
      </c>
    </row>
    <row r="28">
      <c r="A28" s="2" t="n">
        <v>45818</v>
      </c>
      <c r="B28" t="inlineStr">
        <is>
          <t>XOM(US30231G1022) Cash Dividend USD 0.99 per Share (Ordinary Dividend)</t>
        </is>
      </c>
      <c r="C28" t="inlineStr">
        <is>
          <t>USD</t>
        </is>
      </c>
      <c r="D28" t="n">
        <v>21.38</v>
      </c>
      <c r="E28" t="n">
        <v>21.38</v>
      </c>
      <c r="F28" t="n">
        <v>85.09999999999999</v>
      </c>
      <c r="G28" t="n">
        <v>1819</v>
      </c>
    </row>
    <row r="29">
      <c r="A29" s="2" t="n">
        <v>45820</v>
      </c>
      <c r="B29" t="inlineStr">
        <is>
          <t>RTX(US75513E1010) Cash Dividend USD 0.68 per Share (Ordinary Dividend)</t>
        </is>
      </c>
      <c r="C29" t="inlineStr">
        <is>
          <t>USD</t>
        </is>
      </c>
      <c r="D29" t="n">
        <v>9.140000000000001</v>
      </c>
      <c r="E29" t="n">
        <v>9.140000000000001</v>
      </c>
      <c r="F29" t="n">
        <v>85.09999999999999</v>
      </c>
      <c r="G29" t="n">
        <v>778</v>
      </c>
    </row>
    <row r="30">
      <c r="A30" s="2" t="n">
        <v>45831</v>
      </c>
      <c r="B30" t="inlineStr">
        <is>
          <t>SHELL.DVD(NL0015002HW4) Expire Dividend Right (Ordinary Dividend)</t>
        </is>
      </c>
      <c r="C30" t="inlineStr">
        <is>
          <t>EUR</t>
        </is>
      </c>
      <c r="D30" t="n">
        <v>21.64</v>
      </c>
      <c r="E30" t="n">
        <v>25.4183</v>
      </c>
      <c r="F30" t="n">
        <v>85.09999999999999</v>
      </c>
      <c r="G30" t="n">
        <v>2163</v>
      </c>
    </row>
    <row r="31">
      <c r="A31" s="2" t="n">
        <v>45835</v>
      </c>
      <c r="B31" t="inlineStr">
        <is>
          <t>BAC(US0605051046) Cash Dividend USD 0.26 per Share (Ordinary Dividend)</t>
        </is>
      </c>
      <c r="C31" t="inlineStr">
        <is>
          <t>USD</t>
        </is>
      </c>
      <c r="D31" t="n">
        <v>13.49</v>
      </c>
      <c r="E31" t="n">
        <v>13.49</v>
      </c>
      <c r="F31" t="n">
        <v>85.09999999999999</v>
      </c>
      <c r="G31" t="n">
        <v>1148</v>
      </c>
    </row>
    <row r="32">
      <c r="A32" s="2" t="n">
        <v>45845</v>
      </c>
      <c r="B32" t="inlineStr">
        <is>
          <t>TIP(US4642871762) Cash Dividend USD 0.379923 per Share (Ordinary Dividend)</t>
        </is>
      </c>
      <c r="C32" t="inlineStr">
        <is>
          <t>USD</t>
        </is>
      </c>
      <c r="D32" t="n">
        <v>3.04</v>
      </c>
      <c r="E32" t="n">
        <v>3.04</v>
      </c>
      <c r="F32" t="n">
        <v>85.09999999999999</v>
      </c>
      <c r="G32" t="n">
        <v>259</v>
      </c>
    </row>
    <row r="33">
      <c r="A33" s="2" t="n">
        <v>45848</v>
      </c>
      <c r="B33" t="inlineStr">
        <is>
          <t>TSM(US8740391003) Cash Dividend USD 0.780305 per Share (Ordinary Div - NRA Withholding Exempt)</t>
        </is>
      </c>
      <c r="C33" t="inlineStr">
        <is>
          <t>USD</t>
        </is>
      </c>
      <c r="D33" t="n">
        <v>5.61</v>
      </c>
      <c r="E33" t="n">
        <v>5.61</v>
      </c>
      <c r="F33" t="n">
        <v>85.09999999999999</v>
      </c>
      <c r="G33" t="n">
        <v>477</v>
      </c>
    </row>
    <row r="34">
      <c r="A34" s="2" t="n">
        <v>45863</v>
      </c>
      <c r="B34" t="inlineStr">
        <is>
          <t>GE(US3696043013) Cash Dividend USD 0.36 per Share (Ordinary Dividend)</t>
        </is>
      </c>
      <c r="C34" t="inlineStr">
        <is>
          <t>USD</t>
        </is>
      </c>
      <c r="D34" t="n">
        <v>5.16</v>
      </c>
      <c r="E34" t="n">
        <v>5.16</v>
      </c>
      <c r="F34" t="n">
        <v>85.09999999999999</v>
      </c>
      <c r="G34" t="n">
        <v>439</v>
      </c>
    </row>
    <row r="35">
      <c r="A35" s="2" t="n">
        <v>45869</v>
      </c>
      <c r="B35" t="inlineStr">
        <is>
          <t>3188(HK0000123577) Cash Dividend CNH 0.53 per Share (Ordinary Dividend)</t>
        </is>
      </c>
      <c r="C35" t="inlineStr">
        <is>
          <t>CNH</t>
        </is>
      </c>
      <c r="D35" t="n">
        <v>106</v>
      </c>
      <c r="E35" t="n">
        <v>106</v>
      </c>
      <c r="F35" t="n">
        <v>85.09999999999999</v>
      </c>
      <c r="G35" t="n">
        <v>9021</v>
      </c>
    </row>
    <row r="36">
      <c r="A36" s="2" t="n">
        <v>45875</v>
      </c>
      <c r="B36" t="inlineStr">
        <is>
          <t>TIP(US4642871762) Cash Dividend USD 0.264488 per Share (Ordinary Dividend)</t>
        </is>
      </c>
      <c r="C36" t="inlineStr">
        <is>
          <t>USD</t>
        </is>
      </c>
      <c r="D36" t="n">
        <v>2.12</v>
      </c>
      <c r="E36" t="n">
        <v>2.12</v>
      </c>
      <c r="F36" t="n">
        <v>87.15000000000001</v>
      </c>
      <c r="G36" t="n">
        <v>185</v>
      </c>
    </row>
    <row r="37">
      <c r="A37" s="2" t="n">
        <v>45877</v>
      </c>
      <c r="B37" t="inlineStr">
        <is>
          <t>GD(US3695501086) Cash Dividend USD 1.50 per Share (Ordinary Dividend)</t>
        </is>
      </c>
      <c r="C37" t="inlineStr">
        <is>
          <t>USD</t>
        </is>
      </c>
      <c r="D37" t="n">
        <v>3.6</v>
      </c>
      <c r="E37" t="n">
        <v>3.6</v>
      </c>
      <c r="F37" t="n">
        <v>87.15000000000001</v>
      </c>
      <c r="G37" t="n">
        <v>314</v>
      </c>
    </row>
    <row r="38">
      <c r="A38" s="2" t="n">
        <v>45884</v>
      </c>
      <c r="B38" t="inlineStr">
        <is>
          <t>ACN(IE00B4BNMY34) Cash Dividend USD 1.48 per Share (Ordinary Dividend)</t>
        </is>
      </c>
      <c r="C38" t="inlineStr">
        <is>
          <t>USD</t>
        </is>
      </c>
      <c r="D38" t="n">
        <v>10.83</v>
      </c>
      <c r="E38" t="n">
        <v>10.83</v>
      </c>
      <c r="F38" t="n">
        <v>87.15000000000001</v>
      </c>
      <c r="G38" t="n">
        <v>944</v>
      </c>
    </row>
    <row r="39">
      <c r="A39" s="2" t="n">
        <v>45889</v>
      </c>
      <c r="B39" t="inlineStr">
        <is>
          <t>CAT(US1491231015) Cash Dividend USD 1.51 per Share (Ordinary Dividend)</t>
        </is>
      </c>
      <c r="C39" t="inlineStr">
        <is>
          <t>USD</t>
        </is>
      </c>
      <c r="D39" t="n">
        <v>9.289999999999999</v>
      </c>
      <c r="E39" t="n">
        <v>9.289999999999999</v>
      </c>
      <c r="F39" t="n">
        <v>87.15000000000001</v>
      </c>
      <c r="G39" t="n">
        <v>810</v>
      </c>
    </row>
    <row r="40">
      <c r="A40" s="2" t="n">
        <v>45905</v>
      </c>
      <c r="B40" t="inlineStr">
        <is>
          <t>IEF(US4642874402) Cash Dividend USD 0.314136 per Share (Ordinary Dividend)</t>
        </is>
      </c>
      <c r="C40" t="inlineStr">
        <is>
          <t>USD</t>
        </is>
      </c>
      <c r="D40" t="n">
        <v>3.14</v>
      </c>
      <c r="E40" t="n">
        <v>3.14</v>
      </c>
      <c r="F40" t="n">
        <v>87.7</v>
      </c>
      <c r="G40" t="n">
        <v>275</v>
      </c>
    </row>
    <row r="41">
      <c r="A41" s="2" t="n">
        <v>45905</v>
      </c>
      <c r="B41" t="inlineStr">
        <is>
          <t>TIP(US4642871762) Cash Dividend USD 0.417238 per Share (Ordinary Dividend)</t>
        </is>
      </c>
      <c r="C41" t="inlineStr">
        <is>
          <t>USD</t>
        </is>
      </c>
      <c r="D41" t="n">
        <v>3.34</v>
      </c>
      <c r="E41" t="n">
        <v>3.34</v>
      </c>
      <c r="F41" t="n">
        <v>87.7</v>
      </c>
      <c r="G41" t="n">
        <v>293</v>
      </c>
    </row>
    <row r="42">
      <c r="A42" s="2" t="n">
        <v>45919</v>
      </c>
      <c r="B42" t="inlineStr">
        <is>
          <t>IWR(US4642874998) Cash Dividend USD 0.322439 per Share (Ordinary Dividend)</t>
        </is>
      </c>
      <c r="C42" t="inlineStr">
        <is>
          <t>USD</t>
        </is>
      </c>
      <c r="D42" t="n">
        <v>2.58</v>
      </c>
      <c r="E42" t="n">
        <v>2.58</v>
      </c>
      <c r="F42" t="n">
        <v>87.7</v>
      </c>
      <c r="G42" t="n">
        <v>226</v>
      </c>
    </row>
    <row r="43">
      <c r="A43" s="2" t="n">
        <v>45923</v>
      </c>
      <c r="B43" t="inlineStr">
        <is>
          <t>VT(US9220427424) Cash Dividend USD 0.4781 per Share (Ordinary Dividend)</t>
        </is>
      </c>
      <c r="C43" t="inlineStr">
        <is>
          <t>USD</t>
        </is>
      </c>
      <c r="D43" t="n">
        <v>3.82</v>
      </c>
      <c r="E43" t="n">
        <v>3.82</v>
      </c>
      <c r="F43" t="n">
        <v>87.7</v>
      </c>
      <c r="G43" t="n">
        <v>335</v>
      </c>
    </row>
    <row r="44">
      <c r="A44" s="2" t="n">
        <v>45931</v>
      </c>
      <c r="B44" t="inlineStr">
        <is>
          <t>VTV(US9229087443) Cash Dividend USD 0.9433 per Share (Ordinary Dividend)</t>
        </is>
      </c>
      <c r="C44" t="inlineStr">
        <is>
          <t>USD</t>
        </is>
      </c>
      <c r="D44" t="n">
        <v>5.66</v>
      </c>
      <c r="E44" t="n">
        <v>5.66</v>
      </c>
      <c r="F44" t="n">
        <v>88.34999999999999</v>
      </c>
      <c r="G44" t="n">
        <v>500</v>
      </c>
    </row>
    <row r="45">
      <c r="A45" s="2" t="n">
        <v>45936</v>
      </c>
      <c r="B45" t="inlineStr">
        <is>
          <t>IEF(US4642874402) Cash Dividend USD 0.294485 per Share (Ordinary Dividend)</t>
        </is>
      </c>
      <c r="C45" t="inlineStr">
        <is>
          <t>USD</t>
        </is>
      </c>
      <c r="D45" t="n">
        <v>2.94</v>
      </c>
      <c r="E45" t="n">
        <v>2.94</v>
      </c>
      <c r="F45" t="n">
        <v>88.34999999999999</v>
      </c>
      <c r="G45" t="n">
        <v>260</v>
      </c>
    </row>
    <row r="46">
      <c r="A46" s="2" t="n">
        <v>45936</v>
      </c>
      <c r="B46" t="inlineStr">
        <is>
          <t>TIP(US4642871762) Cash Dividend USD 0.198069 per Share (Ordinary Dividend)</t>
        </is>
      </c>
      <c r="C46" t="inlineStr">
        <is>
          <t>USD</t>
        </is>
      </c>
      <c r="D46" t="n">
        <v>1.58</v>
      </c>
      <c r="E46" t="n">
        <v>1.58</v>
      </c>
      <c r="F46" t="n">
        <v>88.34999999999999</v>
      </c>
      <c r="G46" t="n">
        <v>140</v>
      </c>
    </row>
    <row r="47">
      <c r="A47" s="2" t="n">
        <v>45954</v>
      </c>
      <c r="B47" t="inlineStr">
        <is>
          <t>1919(CNE1000002J7) Cash Dividend HKD 0.613944 per Share (Ordinary Dividend)</t>
        </is>
      </c>
      <c r="C47" t="inlineStr">
        <is>
          <t>HKD</t>
        </is>
      </c>
      <c r="D47" t="n">
        <v>306.97</v>
      </c>
      <c r="E47" t="n">
        <v>39.4426</v>
      </c>
      <c r="F47" t="n">
        <v>88.34999999999999</v>
      </c>
      <c r="G47" t="n">
        <v>3485</v>
      </c>
    </row>
    <row r="48">
      <c r="A48" s="2" t="n">
        <v>45961</v>
      </c>
      <c r="B48" t="inlineStr">
        <is>
          <t>QQQ(US46090E1038) Cash Dividend USD 0.69395 per Share (Ordinary Dividend)</t>
        </is>
      </c>
      <c r="C48" t="inlineStr">
        <is>
          <t>USD</t>
        </is>
      </c>
      <c r="D48" t="n">
        <v>1.39</v>
      </c>
      <c r="E48" t="n">
        <v>1.39</v>
      </c>
      <c r="F48" t="n">
        <v>88.34999999999999</v>
      </c>
      <c r="G48" t="n">
        <v>123</v>
      </c>
    </row>
    <row r="49">
      <c r="A49" s="2" t="n">
        <v>45967</v>
      </c>
      <c r="B49" t="inlineStr">
        <is>
          <t>ASML(NL0010273215) Cash Dividend EUR 1.60 per Share (Ordinary Dividend)</t>
        </is>
      </c>
      <c r="C49" t="inlineStr">
        <is>
          <t>EUR</t>
        </is>
      </c>
      <c r="D49" t="n">
        <v>2.4</v>
      </c>
      <c r="E49" t="n">
        <v>2.819</v>
      </c>
      <c r="F49" t="n">
        <v>88.2</v>
      </c>
      <c r="G49" t="n">
        <v>249</v>
      </c>
    </row>
    <row r="50">
      <c r="A50" s="2" t="n">
        <v>45967</v>
      </c>
      <c r="B50" t="inlineStr">
        <is>
          <t>IEF(US4642874402) Cash Dividend USD 0.303792 per Share (Ordinary Dividend)</t>
        </is>
      </c>
      <c r="C50" t="inlineStr">
        <is>
          <t>USD</t>
        </is>
      </c>
      <c r="D50" t="n">
        <v>3.04</v>
      </c>
      <c r="E50" t="n">
        <v>3.04</v>
      </c>
      <c r="F50" t="n">
        <v>88.2</v>
      </c>
      <c r="G50" t="n">
        <v>268</v>
      </c>
    </row>
    <row r="51">
      <c r="A51" s="2" t="n">
        <v>45967</v>
      </c>
      <c r="B51" t="inlineStr">
        <is>
          <t>TIP(US4642871762) Cash Dividend USD 0.360933 per Share (Ordinary Dividend)</t>
        </is>
      </c>
      <c r="C51" t="inlineStr">
        <is>
          <t>USD</t>
        </is>
      </c>
      <c r="D51" t="n">
        <v>2.89</v>
      </c>
      <c r="E51" t="n">
        <v>2.89</v>
      </c>
      <c r="F51" t="n">
        <v>88.2</v>
      </c>
      <c r="G51" t="n">
        <v>255</v>
      </c>
    </row>
    <row r="52">
      <c r="A52" s="2" t="n">
        <v>45974</v>
      </c>
      <c r="B52" t="inlineStr">
        <is>
          <t>AAPL(US0378331005) Cash Dividend USD 0.26 per Share (Ordinary Dividend)</t>
        </is>
      </c>
      <c r="C52" t="inlineStr">
        <is>
          <t>USD</t>
        </is>
      </c>
      <c r="D52" t="n">
        <v>1.04</v>
      </c>
      <c r="E52" t="n">
        <v>1.04</v>
      </c>
      <c r="F52" t="n">
        <v>88.2</v>
      </c>
      <c r="G52" t="n">
        <v>92</v>
      </c>
    </row>
    <row r="53">
      <c r="A53" s="2" t="n">
        <v>45975</v>
      </c>
      <c r="B53" t="inlineStr">
        <is>
          <t>ACN(IE00B4BNMY34) Cash Dividend USD 1.63 per Share (Ordinary Dividend)</t>
        </is>
      </c>
      <c r="C53" t="inlineStr">
        <is>
          <t>USD</t>
        </is>
      </c>
      <c r="D53" t="n">
        <v>11.93</v>
      </c>
      <c r="E53" t="n">
        <v>11.93</v>
      </c>
      <c r="F53" t="n">
        <v>88.2</v>
      </c>
      <c r="G53" t="n">
        <v>1052</v>
      </c>
    </row>
    <row r="54">
      <c r="A54" s="2" t="n">
        <v>45992</v>
      </c>
      <c r="B54" t="inlineStr">
        <is>
          <t>WFC(US9497461015) Cash Dividend USD 0.45 per Share (Ordinary Dividend)</t>
        </is>
      </c>
      <c r="C54" t="inlineStr">
        <is>
          <t>USD</t>
        </is>
      </c>
      <c r="D54" t="n">
        <v>5.4</v>
      </c>
      <c r="E54" t="n">
        <v>5.4</v>
      </c>
      <c r="F54" t="n">
        <v>88.95</v>
      </c>
      <c r="G54" t="n">
        <v>480</v>
      </c>
    </row>
    <row r="55">
      <c r="A55" s="2" t="n">
        <v>45995</v>
      </c>
      <c r="B55" t="inlineStr">
        <is>
          <t>IEF(US4642874402) Cash Dividend USD 0.288439 per Share (Ordinary Dividend)</t>
        </is>
      </c>
      <c r="C55" t="inlineStr">
        <is>
          <t>USD</t>
        </is>
      </c>
      <c r="D55" t="n">
        <v>2.88</v>
      </c>
      <c r="E55" t="n">
        <v>2.88</v>
      </c>
      <c r="F55" t="n">
        <v>88.95</v>
      </c>
      <c r="G55" t="n">
        <v>256</v>
      </c>
    </row>
    <row r="56">
      <c r="A56" s="2" t="n">
        <v>45995</v>
      </c>
      <c r="B56" t="inlineStr">
        <is>
          <t>TIP(US4642871762) Cash Dividend USD 0.322417 per Share (Ordinary Dividend)</t>
        </is>
      </c>
      <c r="C56" t="inlineStr">
        <is>
          <t>USD</t>
        </is>
      </c>
      <c r="D56" t="n">
        <v>2.58</v>
      </c>
      <c r="E56" t="n">
        <v>2.58</v>
      </c>
      <c r="F56" t="n">
        <v>88.95</v>
      </c>
      <c r="G56" t="n">
        <v>229</v>
      </c>
    </row>
    <row r="57">
      <c r="A57" s="2" t="n">
        <v>46001</v>
      </c>
      <c r="B57" t="inlineStr">
        <is>
          <t>4568.T(JP3475350009) Cash Dividend JPY 39 per Share (Ordinary Dividend)</t>
        </is>
      </c>
      <c r="C57" t="inlineStr">
        <is>
          <t>JPY</t>
        </is>
      </c>
      <c r="D57" t="n">
        <v>3900</v>
      </c>
      <c r="E57" t="n">
        <v>24.8925</v>
      </c>
      <c r="F57" t="n">
        <v>88.95</v>
      </c>
      <c r="G57" t="n">
        <v>2214</v>
      </c>
    </row>
    <row r="58">
      <c r="A58" s="2" t="n">
        <v>46010</v>
      </c>
      <c r="B58" t="inlineStr">
        <is>
          <t>AAXJ(US4642881829) Cash Dividend USD 1.12455 per Share (Ordinary Dividend)</t>
        </is>
      </c>
      <c r="C58" t="inlineStr">
        <is>
          <t>USD</t>
        </is>
      </c>
      <c r="D58" t="n">
        <v>6.75</v>
      </c>
      <c r="E58" t="n">
        <v>6.75</v>
      </c>
      <c r="F58" t="n">
        <v>88.95</v>
      </c>
      <c r="G58" t="n">
        <v>600</v>
      </c>
    </row>
    <row r="59">
      <c r="A59" s="2" t="n">
        <v>46010</v>
      </c>
      <c r="B59" t="inlineStr">
        <is>
          <t>ICLN(US4642882249) Cash Dividend USD 0.128205 per Share (Ordinary Dividend)</t>
        </is>
      </c>
      <c r="C59" t="inlineStr">
        <is>
          <t>USD</t>
        </is>
      </c>
      <c r="D59" t="n">
        <v>3.85</v>
      </c>
      <c r="E59" t="n">
        <v>3.85</v>
      </c>
      <c r="F59" t="n">
        <v>88.95</v>
      </c>
      <c r="G59" t="n">
        <v>342</v>
      </c>
    </row>
    <row r="60">
      <c r="A60" s="2" t="n">
        <v>46010</v>
      </c>
      <c r="B60" t="inlineStr">
        <is>
          <t>IWR(US4642874998) Cash Dividend USD 0.393709 per Share (Ordinary Dividend)</t>
        </is>
      </c>
      <c r="C60" t="inlineStr">
        <is>
          <t>USD</t>
        </is>
      </c>
      <c r="D60" t="n">
        <v>3.15</v>
      </c>
      <c r="E60" t="n">
        <v>3.15</v>
      </c>
      <c r="F60" t="n">
        <v>88.95</v>
      </c>
      <c r="G60" t="n">
        <v>280</v>
      </c>
    </row>
    <row r="61">
      <c r="A61" s="2" t="n">
        <v>46014</v>
      </c>
      <c r="B61" t="inlineStr">
        <is>
          <t>VT(US9220427424) Cash Dividend USD 1.1152 per Share (Ordinary Dividend)</t>
        </is>
      </c>
      <c r="C61" t="inlineStr">
        <is>
          <t>USD</t>
        </is>
      </c>
      <c r="D61" t="n">
        <v>8.92</v>
      </c>
      <c r="E61" t="n">
        <v>8.92</v>
      </c>
      <c r="F61" t="n">
        <v>88.95</v>
      </c>
      <c r="G61" t="n">
        <v>793</v>
      </c>
    </row>
    <row r="62">
      <c r="A62" s="2" t="n">
        <v>46015</v>
      </c>
      <c r="B62" t="inlineStr">
        <is>
          <t>IEF(US4642874402) Cash Dividend USD 0.312713 per Share (Ordinary Dividend)</t>
        </is>
      </c>
      <c r="C62" t="inlineStr">
        <is>
          <t>USD</t>
        </is>
      </c>
      <c r="D62" t="n">
        <v>3.13</v>
      </c>
      <c r="E62" t="n">
        <v>3.13</v>
      </c>
      <c r="F62" t="n">
        <v>88.95</v>
      </c>
      <c r="G62" t="n">
        <v>278</v>
      </c>
    </row>
    <row r="63">
      <c r="A63" s="2" t="n">
        <v>46015</v>
      </c>
      <c r="B63" t="inlineStr">
        <is>
          <t>TIP(US4642871762) Cash Dividend USD 0.341961 per Share (Ordinary Dividend)</t>
        </is>
      </c>
      <c r="C63" t="inlineStr">
        <is>
          <t>USD</t>
        </is>
      </c>
      <c r="D63" t="n">
        <v>2.74</v>
      </c>
      <c r="E63" t="n">
        <v>2.74</v>
      </c>
      <c r="F63" t="n">
        <v>88.95</v>
      </c>
      <c r="G63" t="n">
        <v>244</v>
      </c>
    </row>
    <row r="64">
      <c r="A64" s="2" t="n">
        <v>46015</v>
      </c>
      <c r="B64" t="inlineStr">
        <is>
          <t>VTV(US9229087443) Cash Dividend USD 0.9862 per Share (Ordinary Dividend)</t>
        </is>
      </c>
      <c r="C64" t="inlineStr">
        <is>
          <t>USD</t>
        </is>
      </c>
      <c r="D64" t="n">
        <v>5.92</v>
      </c>
      <c r="E64" t="n">
        <v>5.92</v>
      </c>
      <c r="F64" t="n">
        <v>88.95</v>
      </c>
      <c r="G64" t="n">
        <v>527</v>
      </c>
    </row>
    <row r="65">
      <c r="A65" s="2" t="n">
        <v>46022</v>
      </c>
      <c r="B65" t="inlineStr">
        <is>
          <t>3069(HK0000711199) Cash Dividend HKD 0.05 per Share (Ordinary Dividend)</t>
        </is>
      </c>
      <c r="C65" t="inlineStr">
        <is>
          <t>HKD</t>
        </is>
      </c>
      <c r="D65" t="n">
        <v>25</v>
      </c>
      <c r="E65" t="n">
        <v>3.2123</v>
      </c>
      <c r="F65" t="n">
        <v>88.95</v>
      </c>
      <c r="G65" t="n">
        <v>286</v>
      </c>
    </row>
    <row r="66">
      <c r="A66" s="2" t="n">
        <v>46022</v>
      </c>
      <c r="B66" t="inlineStr">
        <is>
          <t>3088(HK0000643327) Cash Dividend HKD 0.02 per Share (Ordinary Dividend)</t>
        </is>
      </c>
      <c r="C66" t="inlineStr">
        <is>
          <t>HKD</t>
        </is>
      </c>
      <c r="D66" t="n">
        <v>24</v>
      </c>
      <c r="E66" t="n">
        <v>3.0838</v>
      </c>
      <c r="F66" t="n">
        <v>88.95</v>
      </c>
      <c r="G66" t="n">
        <v>274</v>
      </c>
    </row>
    <row r="67">
      <c r="A67" s="2" t="n">
        <v>46022</v>
      </c>
      <c r="B67" t="inlineStr">
        <is>
          <t>QQQ(US46090E1038) Cash Dividend USD 0.79408 per Share (Ordinary Dividend)</t>
        </is>
      </c>
      <c r="C67" t="inlineStr">
        <is>
          <t>USD</t>
        </is>
      </c>
      <c r="D67" t="n">
        <v>1.59</v>
      </c>
      <c r="E67" t="n">
        <v>1.59</v>
      </c>
      <c r="F67" t="n">
        <v>88.95</v>
      </c>
      <c r="G67" t="n">
        <v>141</v>
      </c>
    </row>
    <row r="68">
      <c r="A68" s="2" t="n">
        <v>46029</v>
      </c>
      <c r="B68" t="inlineStr">
        <is>
          <t>BOTZ(US37954Y7159) Cash Dividend USD 0.157961 per Share (Ordinary Dividend)</t>
        </is>
      </c>
      <c r="C68" t="inlineStr">
        <is>
          <t>USD</t>
        </is>
      </c>
      <c r="D68" t="n">
        <v>3</v>
      </c>
      <c r="E68" t="n">
        <v>3</v>
      </c>
      <c r="F68" t="n">
        <v>89.47</v>
      </c>
      <c r="G68" t="n">
        <v>268</v>
      </c>
    </row>
    <row r="69">
      <c r="A69" s="2" t="n">
        <v>46029</v>
      </c>
      <c r="B69" t="inlineStr">
        <is>
          <t>COPX(US37954Y8306) Cash Dividend USD 1.672477 per Share (Ordinary Dividend)</t>
        </is>
      </c>
      <c r="C69" t="inlineStr">
        <is>
          <t>USD</t>
        </is>
      </c>
      <c r="D69" t="n">
        <v>35.12</v>
      </c>
      <c r="E69" t="n">
        <v>35.12</v>
      </c>
      <c r="F69" t="n">
        <v>89.47</v>
      </c>
      <c r="G69" t="n">
        <v>3142</v>
      </c>
    </row>
    <row r="70">
      <c r="A70" s="2" t="n">
        <v>46029</v>
      </c>
      <c r="B70" t="inlineStr">
        <is>
          <t>URA(US37954Y8710) Cash Dividend USD 2.084331 per Share (Ordinary Dividend)</t>
        </is>
      </c>
      <c r="C70" t="inlineStr">
        <is>
          <t>USD</t>
        </is>
      </c>
      <c r="D70" t="n">
        <v>104.22</v>
      </c>
      <c r="E70" t="n">
        <v>104.22</v>
      </c>
      <c r="F70" t="n">
        <v>89.47</v>
      </c>
      <c r="G70" t="n">
        <v>9325</v>
      </c>
    </row>
    <row r="71">
      <c r="A71" s="2" t="n">
        <v>46058</v>
      </c>
      <c r="B71" t="inlineStr">
        <is>
          <t>IEF(US4642874402) Cash Dividend USD 0.311986 per Share (Ordinary Dividend)</t>
        </is>
      </c>
      <c r="C71" t="inlineStr">
        <is>
          <t>USD</t>
        </is>
      </c>
      <c r="D71" t="n">
        <v>3.12</v>
      </c>
      <c r="E71" t="n">
        <v>3.12</v>
      </c>
      <c r="F71" t="n">
        <v>91.34999999999999</v>
      </c>
      <c r="G71" t="n">
        <v>285</v>
      </c>
    </row>
    <row r="72">
      <c r="A72" s="2" t="n">
        <v>46065</v>
      </c>
      <c r="B72" t="inlineStr">
        <is>
          <t>AAPL(US0378331005) Cash Dividend USD 0.26 per Share (Ordinary Dividend)</t>
        </is>
      </c>
      <c r="C72" t="inlineStr">
        <is>
          <t>USD</t>
        </is>
      </c>
      <c r="D72" t="n">
        <v>1.04</v>
      </c>
      <c r="E72" t="n">
        <v>1.04</v>
      </c>
      <c r="F72" t="n">
        <v>91.34999999999999</v>
      </c>
      <c r="G72" t="n">
        <v>95</v>
      </c>
    </row>
    <row r="73">
      <c r="A73" s="2" t="n">
        <v>46066</v>
      </c>
      <c r="B73" t="inlineStr">
        <is>
          <t>ACN(IE00B4BNMY34) Cash Dividend USD 1.63 per Share (Ordinary Dividend)</t>
        </is>
      </c>
      <c r="C73" t="inlineStr">
        <is>
          <t>USD</t>
        </is>
      </c>
      <c r="D73" t="n">
        <v>11.93</v>
      </c>
      <c r="E73" t="n">
        <v>11.93</v>
      </c>
      <c r="F73" t="n">
        <v>91.34999999999999</v>
      </c>
      <c r="G73" t="n">
        <v>1090</v>
      </c>
    </row>
    <row r="74">
      <c r="A74" s="2" t="n">
        <v>46071</v>
      </c>
      <c r="B74" t="inlineStr">
        <is>
          <t>ASML(NL0010273215) Cash Dividend EUR 1.60 per Share (Ordinary Dividend)</t>
        </is>
      </c>
      <c r="C74" t="inlineStr">
        <is>
          <t>EUR</t>
        </is>
      </c>
      <c r="D74" t="n">
        <v>2.4</v>
      </c>
      <c r="E74" t="n">
        <v>2.819</v>
      </c>
      <c r="F74" t="n">
        <v>91.34999999999999</v>
      </c>
      <c r="G74" t="n">
        <v>258</v>
      </c>
    </row>
    <row r="75">
      <c r="A75" s="2" t="n">
        <v>46082</v>
      </c>
      <c r="B75" t="inlineStr">
        <is>
          <t>WFC(US9497461015) Cash Dividend USD 0.45 per Share (Ordinary Dividend)</t>
        </is>
      </c>
      <c r="C75" t="inlineStr">
        <is>
          <t>USD</t>
        </is>
      </c>
      <c r="D75" t="n">
        <v>5.4</v>
      </c>
      <c r="E75" t="n">
        <v>5.4</v>
      </c>
      <c r="F75" t="n">
        <v>90.56</v>
      </c>
      <c r="G75" t="n">
        <v>489</v>
      </c>
    </row>
    <row r="76">
      <c r="A76" s="2" t="n">
        <v>46083</v>
      </c>
      <c r="B76" t="inlineStr">
        <is>
          <t>V(US92826C8394) Cash Dividend USD 0.67 per Share (Ordinary Dividend)</t>
        </is>
      </c>
      <c r="C76" t="inlineStr">
        <is>
          <t>USD</t>
        </is>
      </c>
      <c r="D76" t="n">
        <v>2.68</v>
      </c>
      <c r="E76" t="n">
        <v>2.68</v>
      </c>
      <c r="F76" t="n">
        <v>90.56</v>
      </c>
      <c r="G76" t="n">
        <v>243</v>
      </c>
    </row>
    <row r="77">
      <c r="A77" s="2" t="n">
        <v>46086</v>
      </c>
      <c r="B77" t="inlineStr">
        <is>
          <t>IEF(US4642874402) Cash Dividend USD 0.28276 per Share (Ordinary Dividend)</t>
        </is>
      </c>
      <c r="C77" t="inlineStr">
        <is>
          <t>USD</t>
        </is>
      </c>
      <c r="D77" t="n">
        <v>2.83</v>
      </c>
      <c r="E77" t="n">
        <v>2.83</v>
      </c>
      <c r="F77" t="n">
        <v>90.56</v>
      </c>
      <c r="G77" t="n">
        <v>256</v>
      </c>
    </row>
    <row r="78">
      <c r="A78" s="2" t="n">
        <v>46091</v>
      </c>
      <c r="B78" t="inlineStr">
        <is>
          <t>AEP(US0255371017) Cash Dividend USD 0.95 per Share (Ordinary Dividend)</t>
        </is>
      </c>
      <c r="C78" t="inlineStr">
        <is>
          <t>USD</t>
        </is>
      </c>
      <c r="D78" t="n">
        <v>17.1</v>
      </c>
      <c r="E78" t="n">
        <v>17.1</v>
      </c>
      <c r="F78" t="n">
        <v>90.56</v>
      </c>
      <c r="G78" t="n">
        <v>1549</v>
      </c>
    </row>
    <row r="79">
      <c r="A79" s="2" t="n">
        <v>46101</v>
      </c>
      <c r="B79" t="inlineStr">
        <is>
          <t>IWR(US4642874998) Cash Dividend USD 0.261651 per Share (Ordinary Dividend)</t>
        </is>
      </c>
      <c r="C79" t="inlineStr">
        <is>
          <t>USD</t>
        </is>
      </c>
      <c r="D79" t="n">
        <v>2.09</v>
      </c>
      <c r="E79" t="n">
        <v>2.09</v>
      </c>
      <c r="F79" t="n">
        <v>90.56</v>
      </c>
      <c r="G79" t="n">
        <v>189</v>
      </c>
    </row>
    <row r="80">
      <c r="A80" s="2" t="n">
        <v>46105</v>
      </c>
      <c r="B80" t="inlineStr">
        <is>
          <t>VT(US9220427424) Cash Dividend USD 0.3272 per Share (Ordinary Dividend)</t>
        </is>
      </c>
      <c r="C80" t="inlineStr">
        <is>
          <t>USD</t>
        </is>
      </c>
      <c r="D80" t="n">
        <v>2.62</v>
      </c>
      <c r="E80" t="n">
        <v>2.62</v>
      </c>
      <c r="F80" t="n">
        <v>90.56</v>
      </c>
      <c r="G80" t="n">
        <v>237</v>
      </c>
    </row>
    <row r="81">
      <c r="A81" s="2" t="n">
        <v>46108</v>
      </c>
      <c r="B81" t="inlineStr">
        <is>
          <t>QQQ(US46090E1038) Cash Dividend USD 0.73282 per Share (Ordinary Dividend)</t>
        </is>
      </c>
      <c r="C81" t="inlineStr">
        <is>
          <t>USD</t>
        </is>
      </c>
      <c r="D81" t="n">
        <v>1.47</v>
      </c>
      <c r="E81" t="n">
        <v>1.47</v>
      </c>
      <c r="F81" t="n">
        <v>90.56</v>
      </c>
      <c r="G81" t="n">
        <v>133</v>
      </c>
    </row>
    <row r="82">
      <c r="A82" s="2" t="n">
        <v>46112</v>
      </c>
      <c r="B82" t="inlineStr">
        <is>
          <t>VTV(US9229087443) Cash Dividend USD 1.0792 per Share (Ordinary Dividend)</t>
        </is>
      </c>
      <c r="C82" t="inlineStr">
        <is>
          <t>USD</t>
        </is>
      </c>
      <c r="D82" t="n">
        <v>6.48</v>
      </c>
      <c r="E82" t="n">
        <v>6.48</v>
      </c>
      <c r="F82" t="n">
        <v>90.56</v>
      </c>
      <c r="G82" t="n">
        <v>587</v>
      </c>
    </row>
    <row r="83">
      <c r="B83" t="inlineStr">
        <is>
          <t>TOTAL DIVIDENDS</t>
        </is>
      </c>
      <c r="E83" t="n">
        <v>665.53</v>
      </c>
      <c r="G83" t="n">
        <v>58180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45706</v>
      </c>
      <c r="C3" t="inlineStr">
        <is>
          <t>BX(US09260D1072) Cash Dividend USD 1.44 per Share - US Tax</t>
        </is>
      </c>
      <c r="D3" t="inlineStr">
        <is>
          <t>USD</t>
        </is>
      </c>
      <c r="E3" t="n">
        <v>-2.99</v>
      </c>
      <c r="F3" t="n">
        <v>-2.99</v>
      </c>
      <c r="G3" t="n">
        <v>86.2</v>
      </c>
      <c r="H3" t="n">
        <v>-258</v>
      </c>
    </row>
    <row r="4">
      <c r="A4" t="inlineStr">
        <is>
          <t>CY2025</t>
        </is>
      </c>
      <c r="B4" s="2" t="n">
        <v>45706</v>
      </c>
      <c r="C4" t="inlineStr">
        <is>
          <t>BX(US09260D1072) Cash Dividend USD 1.44 per Share - US Tax</t>
        </is>
      </c>
      <c r="D4" t="inlineStr">
        <is>
          <t>USD</t>
        </is>
      </c>
      <c r="E4" t="n">
        <v>2.99</v>
      </c>
      <c r="F4" t="n">
        <v>2.99</v>
      </c>
      <c r="G4" t="n">
        <v>86.2</v>
      </c>
      <c r="H4" t="n">
        <v>258</v>
      </c>
    </row>
    <row r="5">
      <c r="A5" t="inlineStr">
        <is>
          <t>CY2025</t>
        </is>
      </c>
      <c r="B5" s="2" t="n">
        <v>45706</v>
      </c>
      <c r="C5" t="inlineStr">
        <is>
          <t>BX(US09260D1072) Cash Dividend USD 1.44 per Share - US Tax</t>
        </is>
      </c>
      <c r="D5" t="inlineStr">
        <is>
          <t>USD</t>
        </is>
      </c>
      <c r="E5" t="n">
        <v>-2.49</v>
      </c>
      <c r="F5" t="n">
        <v>-2.49</v>
      </c>
      <c r="G5" t="n">
        <v>86.2</v>
      </c>
      <c r="H5" t="n">
        <v>-215</v>
      </c>
    </row>
    <row r="6">
      <c r="A6" t="inlineStr">
        <is>
          <t>CY2025</t>
        </is>
      </c>
      <c r="B6" s="2" t="n">
        <v>45706</v>
      </c>
      <c r="C6" t="inlineStr">
        <is>
          <t>BX(US09260D1072) Cash Dividend USD 1.44 per Share - US Tax</t>
        </is>
      </c>
      <c r="D6" t="inlineStr">
        <is>
          <t>USD</t>
        </is>
      </c>
      <c r="E6" t="n">
        <v>2.49</v>
      </c>
      <c r="F6" t="n">
        <v>2.49</v>
      </c>
      <c r="G6" t="n">
        <v>86.2</v>
      </c>
      <c r="H6" t="n">
        <v>215</v>
      </c>
    </row>
    <row r="7">
      <c r="A7" t="inlineStr">
        <is>
          <t>CY2025</t>
        </is>
      </c>
      <c r="B7" s="2" t="n">
        <v>45706</v>
      </c>
      <c r="C7" t="inlineStr">
        <is>
          <t>BX(US09260D1072) Cash Dividend USD 1.44 per Share - US Tax</t>
        </is>
      </c>
      <c r="D7" t="inlineStr">
        <is>
          <t>USD</t>
        </is>
      </c>
      <c r="E7" t="n">
        <v>-1.25</v>
      </c>
      <c r="F7" t="n">
        <v>-1.25</v>
      </c>
      <c r="G7" t="n">
        <v>86.2</v>
      </c>
      <c r="H7" t="n">
        <v>-108</v>
      </c>
    </row>
    <row r="8">
      <c r="A8" t="inlineStr">
        <is>
          <t>CY2025</t>
        </is>
      </c>
      <c r="B8" s="2" t="n">
        <v>45719</v>
      </c>
      <c r="C8" t="inlineStr">
        <is>
          <t>TGT(US87612E1064) Cash Dividend USD 1.12 per Share - US Tax</t>
        </is>
      </c>
      <c r="D8" t="inlineStr">
        <is>
          <t>USD</t>
        </is>
      </c>
      <c r="E8" t="n">
        <v>-2</v>
      </c>
      <c r="F8" t="n">
        <v>-2</v>
      </c>
      <c r="G8" t="n">
        <v>86.95</v>
      </c>
      <c r="H8" t="n">
        <v>-174</v>
      </c>
    </row>
    <row r="9">
      <c r="A9" t="inlineStr">
        <is>
          <t>CY2025</t>
        </is>
      </c>
      <c r="B9" s="2" t="n">
        <v>45719</v>
      </c>
      <c r="C9" t="inlineStr">
        <is>
          <t>TGT(US87612E1064) Cash Dividend USD 1.12 per Share - US Tax</t>
        </is>
      </c>
      <c r="D9" t="inlineStr">
        <is>
          <t>USD</t>
        </is>
      </c>
      <c r="E9" t="n">
        <v>2</v>
      </c>
      <c r="F9" t="n">
        <v>2</v>
      </c>
      <c r="G9" t="n">
        <v>86.95</v>
      </c>
      <c r="H9" t="n">
        <v>174</v>
      </c>
    </row>
    <row r="10">
      <c r="A10" t="inlineStr">
        <is>
          <t>CY2025</t>
        </is>
      </c>
      <c r="B10" s="2" t="n">
        <v>45719</v>
      </c>
      <c r="C10" t="inlineStr">
        <is>
          <t>TGT(US87612E1064) Cash Dividend USD 1.12 per Share - US Tax</t>
        </is>
      </c>
      <c r="D10" t="inlineStr">
        <is>
          <t>USD</t>
        </is>
      </c>
      <c r="E10" t="n">
        <v>-1.67</v>
      </c>
      <c r="F10" t="n">
        <v>-1.67</v>
      </c>
      <c r="G10" t="n">
        <v>86.95</v>
      </c>
      <c r="H10" t="n">
        <v>-145</v>
      </c>
    </row>
    <row r="11">
      <c r="A11" t="inlineStr">
        <is>
          <t>CY2025</t>
        </is>
      </c>
      <c r="B11" s="2" t="n">
        <v>45726</v>
      </c>
      <c r="C11" t="inlineStr">
        <is>
          <t>LLY(US5324571083) Cash Dividend USD 1.50 per Share - US Tax</t>
        </is>
      </c>
      <c r="D11" t="inlineStr">
        <is>
          <t>USD</t>
        </is>
      </c>
      <c r="E11" t="n">
        <v>-0.47</v>
      </c>
      <c r="F11" t="n">
        <v>-0.47</v>
      </c>
      <c r="G11" t="n">
        <v>86.95</v>
      </c>
      <c r="H11" t="n">
        <v>-41</v>
      </c>
    </row>
    <row r="12">
      <c r="A12" t="inlineStr">
        <is>
          <t>CY2025</t>
        </is>
      </c>
      <c r="B12" s="2" t="n">
        <v>45726</v>
      </c>
      <c r="C12" t="inlineStr">
        <is>
          <t>LLY(US5324571083) Cash Dividend USD 1.50 per Share - US Tax</t>
        </is>
      </c>
      <c r="D12" t="inlineStr">
        <is>
          <t>USD</t>
        </is>
      </c>
      <c r="E12" t="n">
        <v>0.47</v>
      </c>
      <c r="F12" t="n">
        <v>0.47</v>
      </c>
      <c r="G12" t="n">
        <v>86.95</v>
      </c>
      <c r="H12" t="n">
        <v>41</v>
      </c>
    </row>
    <row r="13">
      <c r="A13" t="inlineStr">
        <is>
          <t>CY2025</t>
        </is>
      </c>
      <c r="B13" s="2" t="n">
        <v>45726</v>
      </c>
      <c r="C13" t="inlineStr">
        <is>
          <t>LLY(US5324571083) Cash Dividend USD 1.50 per Share - US Tax</t>
        </is>
      </c>
      <c r="D13" t="inlineStr">
        <is>
          <t>USD</t>
        </is>
      </c>
      <c r="E13" t="n">
        <v>-0.39</v>
      </c>
      <c r="F13" t="n">
        <v>-0.39</v>
      </c>
      <c r="G13" t="n">
        <v>86.95</v>
      </c>
      <c r="H13" t="n">
        <v>-34</v>
      </c>
    </row>
    <row r="14">
      <c r="A14" t="inlineStr">
        <is>
          <t>CY2025</t>
        </is>
      </c>
      <c r="B14" s="2" t="n">
        <v>45726</v>
      </c>
      <c r="C14" t="inlineStr">
        <is>
          <t>XOM(US30231G1022) Cash Dividend USD 0.99 per Share - US Tax</t>
        </is>
      </c>
      <c r="D14" t="inlineStr">
        <is>
          <t>USD</t>
        </is>
      </c>
      <c r="E14" t="n">
        <v>-2.26</v>
      </c>
      <c r="F14" t="n">
        <v>-2.26</v>
      </c>
      <c r="G14" t="n">
        <v>86.95</v>
      </c>
      <c r="H14" t="n">
        <v>-197</v>
      </c>
    </row>
    <row r="15">
      <c r="A15" t="inlineStr">
        <is>
          <t>CY2025</t>
        </is>
      </c>
      <c r="B15" s="2" t="n">
        <v>45726</v>
      </c>
      <c r="C15" t="inlineStr">
        <is>
          <t>XOM(US30231G1022) Cash Dividend USD 0.99 per Share - US Tax</t>
        </is>
      </c>
      <c r="D15" t="inlineStr">
        <is>
          <t>USD</t>
        </is>
      </c>
      <c r="E15" t="n">
        <v>2.26</v>
      </c>
      <c r="F15" t="n">
        <v>2.26</v>
      </c>
      <c r="G15" t="n">
        <v>86.95</v>
      </c>
      <c r="H15" t="n">
        <v>197</v>
      </c>
    </row>
    <row r="16">
      <c r="A16" t="inlineStr">
        <is>
          <t>CY2025</t>
        </is>
      </c>
      <c r="B16" s="2" t="n">
        <v>45726</v>
      </c>
      <c r="C16" t="inlineStr">
        <is>
          <t>XOM(US30231G1022) Cash Dividend USD 0.99 per Share - US Tax</t>
        </is>
      </c>
      <c r="D16" t="inlineStr">
        <is>
          <t>USD</t>
        </is>
      </c>
      <c r="E16" t="n">
        <v>-1.88</v>
      </c>
      <c r="F16" t="n">
        <v>-1.88</v>
      </c>
      <c r="G16" t="n">
        <v>86.95</v>
      </c>
      <c r="H16" t="n">
        <v>-163</v>
      </c>
    </row>
    <row r="17">
      <c r="A17" t="inlineStr">
        <is>
          <t>CY2025</t>
        </is>
      </c>
      <c r="B17" s="2" t="n">
        <v>45733</v>
      </c>
      <c r="C17" t="inlineStr">
        <is>
          <t>GOOG(US02079K1079) Cash Dividend USD 0.20 per Share - US Tax</t>
        </is>
      </c>
      <c r="D17" t="inlineStr">
        <is>
          <t>USD</t>
        </is>
      </c>
      <c r="E17" t="n">
        <v>-6.42</v>
      </c>
      <c r="F17" t="n">
        <v>-6.42</v>
      </c>
      <c r="G17" t="n">
        <v>86.95</v>
      </c>
      <c r="H17" t="n">
        <v>-558</v>
      </c>
    </row>
    <row r="18">
      <c r="A18" t="inlineStr">
        <is>
          <t>CY2025</t>
        </is>
      </c>
      <c r="B18" s="2" t="n">
        <v>45733</v>
      </c>
      <c r="C18" t="inlineStr">
        <is>
          <t>GOOG(US02079K1079) Cash Dividend USD 0.20 per Share - US Tax</t>
        </is>
      </c>
      <c r="D18" t="inlineStr">
        <is>
          <t>USD</t>
        </is>
      </c>
      <c r="E18" t="n">
        <v>6.42</v>
      </c>
      <c r="F18" t="n">
        <v>6.42</v>
      </c>
      <c r="G18" t="n">
        <v>86.95</v>
      </c>
      <c r="H18" t="n">
        <v>558</v>
      </c>
    </row>
    <row r="19">
      <c r="A19" t="inlineStr">
        <is>
          <t>CY2025</t>
        </is>
      </c>
      <c r="B19" s="2" t="n">
        <v>45733</v>
      </c>
      <c r="C19" t="inlineStr">
        <is>
          <t>GOOG(US02079K1079) Cash Dividend USD 0.20 per Share - US Tax</t>
        </is>
      </c>
      <c r="D19" t="inlineStr">
        <is>
          <t>USD</t>
        </is>
      </c>
      <c r="E19" t="n">
        <v>-5.35</v>
      </c>
      <c r="F19" t="n">
        <v>-5.35</v>
      </c>
      <c r="G19" t="n">
        <v>86.95</v>
      </c>
      <c r="H19" t="n">
        <v>-465</v>
      </c>
    </row>
    <row r="20">
      <c r="A20" t="inlineStr">
        <is>
          <t>CY2025</t>
        </is>
      </c>
      <c r="B20" s="2" t="n">
        <v>45736</v>
      </c>
      <c r="C20" t="inlineStr">
        <is>
          <t>RTX(US75513E1010) Cash Dividend USD 0.63 per Share - US Tax</t>
        </is>
      </c>
      <c r="D20" t="inlineStr">
        <is>
          <t>USD</t>
        </is>
      </c>
      <c r="E20" t="n">
        <v>-1.06</v>
      </c>
      <c r="F20" t="n">
        <v>-1.06</v>
      </c>
      <c r="G20" t="n">
        <v>86.95</v>
      </c>
      <c r="H20" t="n">
        <v>-92</v>
      </c>
    </row>
    <row r="21">
      <c r="A21" t="inlineStr">
        <is>
          <t>CY2025</t>
        </is>
      </c>
      <c r="B21" s="2" t="n">
        <v>45744</v>
      </c>
      <c r="C21" t="inlineStr">
        <is>
          <t>BAC(US0605051046) Cash Dividend USD 0.26 per Share - US Tax</t>
        </is>
      </c>
      <c r="D21" t="inlineStr">
        <is>
          <t>USD</t>
        </is>
      </c>
      <c r="E21" t="n">
        <v>-1.16</v>
      </c>
      <c r="F21" t="n">
        <v>-1.16</v>
      </c>
      <c r="G21" t="n">
        <v>86.95</v>
      </c>
      <c r="H21" t="n">
        <v>-101</v>
      </c>
    </row>
    <row r="22">
      <c r="A22" t="inlineStr">
        <is>
          <t>CY2025</t>
        </is>
      </c>
      <c r="B22" s="2" t="n">
        <v>45751</v>
      </c>
      <c r="C22" t="inlineStr">
        <is>
          <t>TIP(US4642871762) Cash Dividend USD 0.70918 per Share - US Tax</t>
        </is>
      </c>
      <c r="D22" t="inlineStr">
        <is>
          <t>USD</t>
        </is>
      </c>
      <c r="E22" t="n">
        <v>-1.42</v>
      </c>
      <c r="F22" t="n">
        <v>-1.42</v>
      </c>
      <c r="G22" t="n">
        <v>85.09999999999999</v>
      </c>
      <c r="H22" t="n">
        <v>-121</v>
      </c>
    </row>
    <row r="23">
      <c r="A23" t="inlineStr">
        <is>
          <t>CY2025</t>
        </is>
      </c>
      <c r="B23" s="2" t="n">
        <v>45751</v>
      </c>
      <c r="C23" t="inlineStr">
        <is>
          <t>TIP(US4642871762) Cash Dividend USD 0.70918 per Share - US Tax</t>
        </is>
      </c>
      <c r="D23" t="inlineStr">
        <is>
          <t>USD</t>
        </is>
      </c>
      <c r="E23" t="n">
        <v>1.42</v>
      </c>
      <c r="F23" t="n">
        <v>1.42</v>
      </c>
      <c r="G23" t="n">
        <v>85.09999999999999</v>
      </c>
      <c r="H23" t="n">
        <v>121</v>
      </c>
    </row>
    <row r="24">
      <c r="A24" t="inlineStr">
        <is>
          <t>CY2025</t>
        </is>
      </c>
      <c r="B24" s="2" t="n">
        <v>45757</v>
      </c>
      <c r="C24" t="inlineStr">
        <is>
          <t>TSM(US8740391003) Cash Dividend USD 0.677693 per Share - TW Tax</t>
        </is>
      </c>
      <c r="D24" t="inlineStr">
        <is>
          <t>USD</t>
        </is>
      </c>
      <c r="E24" t="n">
        <v>-0.31</v>
      </c>
      <c r="F24" t="n">
        <v>-0.31</v>
      </c>
      <c r="G24" t="n">
        <v>85.09999999999999</v>
      </c>
      <c r="H24" t="n">
        <v>-26</v>
      </c>
    </row>
    <row r="25">
      <c r="A25" t="inlineStr">
        <is>
          <t>CY2025</t>
        </is>
      </c>
      <c r="B25" s="2" t="n">
        <v>45772</v>
      </c>
      <c r="C25" t="inlineStr">
        <is>
          <t>GE(US3696043013) Cash Dividend USD 0.36 per Share - US Tax</t>
        </is>
      </c>
      <c r="D25" t="inlineStr">
        <is>
          <t>USD</t>
        </is>
      </c>
      <c r="E25" t="n">
        <v>-0.39</v>
      </c>
      <c r="F25" t="n">
        <v>-0.39</v>
      </c>
      <c r="G25" t="n">
        <v>85.09999999999999</v>
      </c>
      <c r="H25" t="n">
        <v>-33</v>
      </c>
    </row>
    <row r="26">
      <c r="A26" t="inlineStr">
        <is>
          <t>CY2025</t>
        </is>
      </c>
      <c r="B26" s="2" t="n">
        <v>45782</v>
      </c>
      <c r="C26" t="inlineStr">
        <is>
          <t>BX(US09260D1072) Cash Dividend USD 0.93 per Share - US Tax</t>
        </is>
      </c>
      <c r="D26" t="inlineStr">
        <is>
          <t>USD</t>
        </is>
      </c>
      <c r="E26" t="n">
        <v>-4.63</v>
      </c>
      <c r="F26" t="n">
        <v>-4.63</v>
      </c>
      <c r="G26" t="n">
        <v>84.25</v>
      </c>
      <c r="H26" t="n">
        <v>-390</v>
      </c>
    </row>
    <row r="27">
      <c r="A27" t="inlineStr">
        <is>
          <t>CY2025</t>
        </is>
      </c>
      <c r="B27" s="2" t="n">
        <v>45782</v>
      </c>
      <c r="C27" t="inlineStr">
        <is>
          <t>BX(US09260D1072) Cash Dividend USD 0.93 per Share - US Tax</t>
        </is>
      </c>
      <c r="D27" t="inlineStr">
        <is>
          <t>USD</t>
        </is>
      </c>
      <c r="E27" t="n">
        <v>4.63</v>
      </c>
      <c r="F27" t="n">
        <v>4.63</v>
      </c>
      <c r="G27" t="n">
        <v>84.25</v>
      </c>
      <c r="H27" t="n">
        <v>390</v>
      </c>
    </row>
    <row r="28">
      <c r="A28" t="inlineStr">
        <is>
          <t>CY2025</t>
        </is>
      </c>
      <c r="B28" s="2" t="n">
        <v>45782</v>
      </c>
      <c r="C28" t="inlineStr">
        <is>
          <t>BX(US09260D1072) Cash Dividend USD 0.93 per Share - US Tax</t>
        </is>
      </c>
      <c r="D28" t="inlineStr">
        <is>
          <t>USD</t>
        </is>
      </c>
      <c r="E28" t="n">
        <v>-2.33</v>
      </c>
      <c r="F28" t="n">
        <v>-2.33</v>
      </c>
      <c r="G28" t="n">
        <v>84.25</v>
      </c>
      <c r="H28" t="n">
        <v>-196</v>
      </c>
    </row>
    <row r="29">
      <c r="A29" t="inlineStr">
        <is>
          <t>CY2025</t>
        </is>
      </c>
      <c r="B29" s="2" t="n">
        <v>45783</v>
      </c>
      <c r="C29" t="inlineStr">
        <is>
          <t>TIP(US4642871762) Cash Dividend USD 0.534953 per Share - US Tax</t>
        </is>
      </c>
      <c r="D29" t="inlineStr">
        <is>
          <t>USD</t>
        </is>
      </c>
      <c r="E29" t="n">
        <v>-1.07</v>
      </c>
      <c r="F29" t="n">
        <v>-1.07</v>
      </c>
      <c r="G29" t="n">
        <v>84.25</v>
      </c>
      <c r="H29" t="n">
        <v>-90</v>
      </c>
    </row>
    <row r="30">
      <c r="A30" t="inlineStr">
        <is>
          <t>CY2025</t>
        </is>
      </c>
      <c r="B30" s="2" t="n">
        <v>45783</v>
      </c>
      <c r="C30" t="inlineStr">
        <is>
          <t>TIP(US4642871762) Cash Dividend USD 0.534953 per Share - US Tax</t>
        </is>
      </c>
      <c r="D30" t="inlineStr">
        <is>
          <t>USD</t>
        </is>
      </c>
      <c r="E30" t="n">
        <v>1.07</v>
      </c>
      <c r="F30" t="n">
        <v>1.07</v>
      </c>
      <c r="G30" t="n">
        <v>84.25</v>
      </c>
      <c r="H30" t="n">
        <v>90</v>
      </c>
    </row>
    <row r="31">
      <c r="A31" t="inlineStr">
        <is>
          <t>CY2025</t>
        </is>
      </c>
      <c r="B31" s="2" t="n">
        <v>45786</v>
      </c>
      <c r="C31" t="inlineStr">
        <is>
          <t>GD(US3695501086) Cash Dividend USD 1.50 per Share - US Tax</t>
        </is>
      </c>
      <c r="D31" t="inlineStr">
        <is>
          <t>USD</t>
        </is>
      </c>
      <c r="E31" t="n">
        <v>-0.9</v>
      </c>
      <c r="F31" t="n">
        <v>-0.9</v>
      </c>
      <c r="G31" t="n">
        <v>84.25</v>
      </c>
      <c r="H31" t="n">
        <v>-76</v>
      </c>
    </row>
    <row r="32">
      <c r="A32" t="inlineStr">
        <is>
          <t>CY2025</t>
        </is>
      </c>
      <c r="B32" s="2" t="n">
        <v>45792</v>
      </c>
      <c r="C32" t="inlineStr">
        <is>
          <t>ACN(IE00B4BNMY34) Cash Dividend USD 1.48 per Share - IE Tax</t>
        </is>
      </c>
      <c r="D32" t="inlineStr">
        <is>
          <t>USD</t>
        </is>
      </c>
      <c r="E32" t="n">
        <v>-2.59</v>
      </c>
      <c r="F32" t="n">
        <v>-2.59</v>
      </c>
      <c r="G32" t="n">
        <v>84.25</v>
      </c>
      <c r="H32" t="n">
        <v>-218</v>
      </c>
    </row>
    <row r="33">
      <c r="A33" t="inlineStr">
        <is>
          <t>CY2025</t>
        </is>
      </c>
      <c r="B33" s="2" t="n">
        <v>45797</v>
      </c>
      <c r="C33" t="inlineStr">
        <is>
          <t>CAT(US1491231015) Cash Dividend USD 1.41 per Share - US Tax</t>
        </is>
      </c>
      <c r="D33" t="inlineStr">
        <is>
          <t>USD</t>
        </is>
      </c>
      <c r="E33" t="n">
        <v>-2.17</v>
      </c>
      <c r="F33" t="n">
        <v>-2.17</v>
      </c>
      <c r="G33" t="n">
        <v>84.25</v>
      </c>
      <c r="H33" t="n">
        <v>-183</v>
      </c>
    </row>
    <row r="34">
      <c r="A34" t="inlineStr">
        <is>
          <t>CY2025</t>
        </is>
      </c>
      <c r="B34" s="2" t="n">
        <v>45810</v>
      </c>
      <c r="C34" t="inlineStr">
        <is>
          <t>TGT(US87612E1064) Cash Dividend USD 1.12 per Share - US Tax</t>
        </is>
      </c>
      <c r="D34" t="inlineStr">
        <is>
          <t>USD</t>
        </is>
      </c>
      <c r="E34" t="n">
        <v>-5.87</v>
      </c>
      <c r="F34" t="n">
        <v>-5.87</v>
      </c>
      <c r="G34" t="n">
        <v>85.09999999999999</v>
      </c>
      <c r="H34" t="n">
        <v>-500</v>
      </c>
    </row>
    <row r="35">
      <c r="A35" t="inlineStr">
        <is>
          <t>CY2025</t>
        </is>
      </c>
      <c r="B35" s="2" t="n">
        <v>45813</v>
      </c>
      <c r="C35" t="inlineStr">
        <is>
          <t>TIP(US4642871762) Cash Dividend USD 0.273105 per Share - US Tax</t>
        </is>
      </c>
      <c r="D35" t="inlineStr">
        <is>
          <t>USD</t>
        </is>
      </c>
      <c r="E35" t="n">
        <v>-0.55</v>
      </c>
      <c r="F35" t="n">
        <v>-0.55</v>
      </c>
      <c r="G35" t="n">
        <v>85.09999999999999</v>
      </c>
      <c r="H35" t="n">
        <v>-47</v>
      </c>
    </row>
    <row r="36">
      <c r="A36" t="inlineStr">
        <is>
          <t>CY2025</t>
        </is>
      </c>
      <c r="B36" s="2" t="n">
        <v>45813</v>
      </c>
      <c r="C36" t="inlineStr">
        <is>
          <t>TIP(US4642871762) Cash Dividend USD 0.273105 per Share - US Tax</t>
        </is>
      </c>
      <c r="D36" t="inlineStr">
        <is>
          <t>USD</t>
        </is>
      </c>
      <c r="E36" t="n">
        <v>0.55</v>
      </c>
      <c r="F36" t="n">
        <v>0.55</v>
      </c>
      <c r="G36" t="n">
        <v>85.09999999999999</v>
      </c>
      <c r="H36" t="n">
        <v>47</v>
      </c>
    </row>
    <row r="37">
      <c r="A37" t="inlineStr">
        <is>
          <t>CY2025</t>
        </is>
      </c>
      <c r="B37" s="2" t="n">
        <v>45818</v>
      </c>
      <c r="C37" t="inlineStr">
        <is>
          <t>LLY(US5324571083) Cash Dividend USD 1.50 per Share - US Tax</t>
        </is>
      </c>
      <c r="D37" t="inlineStr">
        <is>
          <t>USD</t>
        </is>
      </c>
      <c r="E37" t="n">
        <v>-1.14</v>
      </c>
      <c r="F37" t="n">
        <v>-1.14</v>
      </c>
      <c r="G37" t="n">
        <v>85.09999999999999</v>
      </c>
      <c r="H37" t="n">
        <v>-97</v>
      </c>
    </row>
    <row r="38">
      <c r="A38" t="inlineStr">
        <is>
          <t>CY2025</t>
        </is>
      </c>
      <c r="B38" s="2" t="n">
        <v>45818</v>
      </c>
      <c r="C38" t="inlineStr">
        <is>
          <t>XOM(US30231G1022) Cash Dividend USD 0.99 per Share - US Tax</t>
        </is>
      </c>
      <c r="D38" t="inlineStr">
        <is>
          <t>USD</t>
        </is>
      </c>
      <c r="E38" t="n">
        <v>-5.35</v>
      </c>
      <c r="F38" t="n">
        <v>-5.35</v>
      </c>
      <c r="G38" t="n">
        <v>85.09999999999999</v>
      </c>
      <c r="H38" t="n">
        <v>-455</v>
      </c>
    </row>
    <row r="39">
      <c r="A39" t="inlineStr">
        <is>
          <t>CY2025</t>
        </is>
      </c>
      <c r="B39" s="2" t="n">
        <v>45820</v>
      </c>
      <c r="C39" t="inlineStr">
        <is>
          <t>RTX(US75513E1010) Cash Dividend USD 0.68 per Share - US Tax</t>
        </is>
      </c>
      <c r="D39" t="inlineStr">
        <is>
          <t>USD</t>
        </is>
      </c>
      <c r="E39" t="n">
        <v>-2.29</v>
      </c>
      <c r="F39" t="n">
        <v>-2.29</v>
      </c>
      <c r="G39" t="n">
        <v>85.09999999999999</v>
      </c>
      <c r="H39" t="n">
        <v>-195</v>
      </c>
    </row>
    <row r="40">
      <c r="A40" t="inlineStr">
        <is>
          <t>CY2025</t>
        </is>
      </c>
      <c r="B40" s="2" t="n">
        <v>45835</v>
      </c>
      <c r="C40" t="inlineStr">
        <is>
          <t>BAC(US0605051046) Cash Dividend USD 0.26 per Share - US Tax</t>
        </is>
      </c>
      <c r="D40" t="inlineStr">
        <is>
          <t>USD</t>
        </is>
      </c>
      <c r="E40" t="n">
        <v>-3.37</v>
      </c>
      <c r="F40" t="n">
        <v>-3.37</v>
      </c>
      <c r="G40" t="n">
        <v>85.09999999999999</v>
      </c>
      <c r="H40" t="n">
        <v>-287</v>
      </c>
    </row>
    <row r="41">
      <c r="A41" t="inlineStr">
        <is>
          <t>CY2025</t>
        </is>
      </c>
      <c r="B41" s="2" t="n">
        <v>45845</v>
      </c>
      <c r="C41" t="inlineStr">
        <is>
          <t>TIP(US4642871762) Cash Dividend USD 0.379923 per Share - US Tax</t>
        </is>
      </c>
      <c r="D41" t="inlineStr">
        <is>
          <t>USD</t>
        </is>
      </c>
      <c r="E41" t="n">
        <v>-0.76</v>
      </c>
      <c r="F41" t="n">
        <v>-0.76</v>
      </c>
      <c r="G41" t="n">
        <v>85.09999999999999</v>
      </c>
      <c r="H41" t="n">
        <v>-65</v>
      </c>
    </row>
    <row r="42">
      <c r="A42" t="inlineStr">
        <is>
          <t>CY2025</t>
        </is>
      </c>
      <c r="B42" s="2" t="n">
        <v>45845</v>
      </c>
      <c r="C42" t="inlineStr">
        <is>
          <t>TIP(US4642871762) Cash Dividend USD 0.379923 per Share - US Tax</t>
        </is>
      </c>
      <c r="D42" t="inlineStr">
        <is>
          <t>USD</t>
        </is>
      </c>
      <c r="E42" t="n">
        <v>0.76</v>
      </c>
      <c r="F42" t="n">
        <v>0.76</v>
      </c>
      <c r="G42" t="n">
        <v>85.09999999999999</v>
      </c>
      <c r="H42" t="n">
        <v>65</v>
      </c>
    </row>
    <row r="43">
      <c r="A43" t="inlineStr">
        <is>
          <t>CY2025</t>
        </is>
      </c>
      <c r="B43" s="2" t="n">
        <v>45848</v>
      </c>
      <c r="C43" t="inlineStr">
        <is>
          <t>TSM(US8740391003) Cash Dividend USD 0.780305 per Share - TW Tax</t>
        </is>
      </c>
      <c r="D43" t="inlineStr">
        <is>
          <t>USD</t>
        </is>
      </c>
      <c r="E43" t="n">
        <v>-1.15</v>
      </c>
      <c r="F43" t="n">
        <v>-1.15</v>
      </c>
      <c r="G43" t="n">
        <v>85.09999999999999</v>
      </c>
      <c r="H43" t="n">
        <v>-98</v>
      </c>
    </row>
    <row r="44">
      <c r="A44" t="inlineStr">
        <is>
          <t>CY2025</t>
        </is>
      </c>
      <c r="B44" s="2" t="n">
        <v>45863</v>
      </c>
      <c r="C44" t="inlineStr">
        <is>
          <t>GE(US3696043013) Cash Dividend USD 0.36 per Share - US Tax</t>
        </is>
      </c>
      <c r="D44" t="inlineStr">
        <is>
          <t>USD</t>
        </is>
      </c>
      <c r="E44" t="n">
        <v>-1.29</v>
      </c>
      <c r="F44" t="n">
        <v>-1.29</v>
      </c>
      <c r="G44" t="n">
        <v>85.09999999999999</v>
      </c>
      <c r="H44" t="n">
        <v>-110</v>
      </c>
    </row>
    <row r="45">
      <c r="A45" t="inlineStr">
        <is>
          <t>CY2025</t>
        </is>
      </c>
      <c r="B45" s="2" t="n">
        <v>45875</v>
      </c>
      <c r="C45" t="inlineStr">
        <is>
          <t>TIP(US4642871762) Cash Dividend USD 0.264488 per Share - US Tax</t>
        </is>
      </c>
      <c r="D45" t="inlineStr">
        <is>
          <t>USD</t>
        </is>
      </c>
      <c r="E45" t="n">
        <v>-0.53</v>
      </c>
      <c r="F45" t="n">
        <v>-0.53</v>
      </c>
      <c r="G45" t="n">
        <v>87.15000000000001</v>
      </c>
      <c r="H45" t="n">
        <v>-46</v>
      </c>
    </row>
    <row r="46">
      <c r="A46" t="inlineStr">
        <is>
          <t>CY2025</t>
        </is>
      </c>
      <c r="B46" s="2" t="n">
        <v>45875</v>
      </c>
      <c r="C46" t="inlineStr">
        <is>
          <t>TIP(US4642871762) Cash Dividend USD 0.264488 per Share - US Tax</t>
        </is>
      </c>
      <c r="D46" t="inlineStr">
        <is>
          <t>USD</t>
        </is>
      </c>
      <c r="E46" t="n">
        <v>0.53</v>
      </c>
      <c r="F46" t="n">
        <v>0.53</v>
      </c>
      <c r="G46" t="n">
        <v>87.15000000000001</v>
      </c>
      <c r="H46" t="n">
        <v>46</v>
      </c>
    </row>
    <row r="47">
      <c r="A47" t="inlineStr">
        <is>
          <t>CY2025</t>
        </is>
      </c>
      <c r="B47" s="2" t="n">
        <v>45877</v>
      </c>
      <c r="C47" t="inlineStr">
        <is>
          <t>GD(US3695501086) Cash Dividend USD 1.50 per Share - US Tax</t>
        </is>
      </c>
      <c r="D47" t="inlineStr">
        <is>
          <t>USD</t>
        </is>
      </c>
      <c r="E47" t="n">
        <v>-0.9</v>
      </c>
      <c r="F47" t="n">
        <v>-0.9</v>
      </c>
      <c r="G47" t="n">
        <v>87.15000000000001</v>
      </c>
      <c r="H47" t="n">
        <v>-78</v>
      </c>
    </row>
    <row r="48">
      <c r="A48" t="inlineStr">
        <is>
          <t>CY2025</t>
        </is>
      </c>
      <c r="B48" s="2" t="n">
        <v>45884</v>
      </c>
      <c r="C48" t="inlineStr">
        <is>
          <t>ACN(IE00B4BNMY34) Cash Dividend USD 1.48 per Share - IE Tax</t>
        </is>
      </c>
      <c r="D48" t="inlineStr">
        <is>
          <t>USD</t>
        </is>
      </c>
      <c r="E48" t="n">
        <v>-2.59</v>
      </c>
      <c r="F48" t="n">
        <v>-2.59</v>
      </c>
      <c r="G48" t="n">
        <v>87.15000000000001</v>
      </c>
      <c r="H48" t="n">
        <v>-226</v>
      </c>
    </row>
    <row r="49">
      <c r="A49" t="inlineStr">
        <is>
          <t>CY2025</t>
        </is>
      </c>
      <c r="B49" s="2" t="n">
        <v>45889</v>
      </c>
      <c r="C49" t="inlineStr">
        <is>
          <t>CAT(US1491231015) Cash Dividend USD 1.51 per Share - US Tax</t>
        </is>
      </c>
      <c r="D49" t="inlineStr">
        <is>
          <t>USD</t>
        </is>
      </c>
      <c r="E49" t="n">
        <v>-2.32</v>
      </c>
      <c r="F49" t="n">
        <v>-2.32</v>
      </c>
      <c r="G49" t="n">
        <v>87.15000000000001</v>
      </c>
      <c r="H49" t="n">
        <v>-202</v>
      </c>
    </row>
    <row r="50">
      <c r="A50" t="inlineStr">
        <is>
          <t>CY2025</t>
        </is>
      </c>
      <c r="B50" s="2" t="n">
        <v>45905</v>
      </c>
      <c r="C50" t="inlineStr">
        <is>
          <t>IEF(US4642874402) Cash Dividend USD 0.314136 per Share - US Tax</t>
        </is>
      </c>
      <c r="D50" t="inlineStr">
        <is>
          <t>USD</t>
        </is>
      </c>
      <c r="E50" t="n">
        <v>-0.79</v>
      </c>
      <c r="F50" t="n">
        <v>-0.79</v>
      </c>
      <c r="G50" t="n">
        <v>87.7</v>
      </c>
      <c r="H50" t="n">
        <v>-69</v>
      </c>
    </row>
    <row r="51">
      <c r="A51" t="inlineStr">
        <is>
          <t>CY2025</t>
        </is>
      </c>
      <c r="B51" s="2" t="n">
        <v>45905</v>
      </c>
      <c r="C51" t="inlineStr">
        <is>
          <t>IEF(US4642874402) Cash Dividend USD 0.314136 per Share - US Tax</t>
        </is>
      </c>
      <c r="D51" t="inlineStr">
        <is>
          <t>USD</t>
        </is>
      </c>
      <c r="E51" t="n">
        <v>0.79</v>
      </c>
      <c r="F51" t="n">
        <v>0.79</v>
      </c>
      <c r="G51" t="n">
        <v>87.7</v>
      </c>
      <c r="H51" t="n">
        <v>69</v>
      </c>
    </row>
    <row r="52">
      <c r="A52" t="inlineStr">
        <is>
          <t>CY2025</t>
        </is>
      </c>
      <c r="B52" s="2" t="n">
        <v>45905</v>
      </c>
      <c r="C52" t="inlineStr">
        <is>
          <t>TIP(US4642871762) Cash Dividend USD 0.417238 per Share - US Tax</t>
        </is>
      </c>
      <c r="D52" t="inlineStr">
        <is>
          <t>USD</t>
        </is>
      </c>
      <c r="E52" t="n">
        <v>-0.84</v>
      </c>
      <c r="F52" t="n">
        <v>-0.84</v>
      </c>
      <c r="G52" t="n">
        <v>87.7</v>
      </c>
      <c r="H52" t="n">
        <v>-74</v>
      </c>
    </row>
    <row r="53">
      <c r="A53" t="inlineStr">
        <is>
          <t>CY2025</t>
        </is>
      </c>
      <c r="B53" s="2" t="n">
        <v>45905</v>
      </c>
      <c r="C53" t="inlineStr">
        <is>
          <t>TIP(US4642871762) Cash Dividend USD 0.417238 per Share - US Tax</t>
        </is>
      </c>
      <c r="D53" t="inlineStr">
        <is>
          <t>USD</t>
        </is>
      </c>
      <c r="E53" t="n">
        <v>0.84</v>
      </c>
      <c r="F53" t="n">
        <v>0.84</v>
      </c>
      <c r="G53" t="n">
        <v>87.7</v>
      </c>
      <c r="H53" t="n">
        <v>74</v>
      </c>
    </row>
    <row r="54">
      <c r="A54" t="inlineStr">
        <is>
          <t>CY2025</t>
        </is>
      </c>
      <c r="B54" s="2" t="n">
        <v>45919</v>
      </c>
      <c r="C54" t="inlineStr">
        <is>
          <t>IWR(US4642874998) Cash Dividend USD 0.322439 per Share - US Tax</t>
        </is>
      </c>
      <c r="D54" t="inlineStr">
        <is>
          <t>USD</t>
        </is>
      </c>
      <c r="E54" t="n">
        <v>-0.65</v>
      </c>
      <c r="F54" t="n">
        <v>-0.65</v>
      </c>
      <c r="G54" t="n">
        <v>87.7</v>
      </c>
      <c r="H54" t="n">
        <v>-57</v>
      </c>
    </row>
    <row r="55">
      <c r="A55" t="inlineStr">
        <is>
          <t>CY2025</t>
        </is>
      </c>
      <c r="B55" s="2" t="n">
        <v>45919</v>
      </c>
      <c r="C55" t="inlineStr">
        <is>
          <t>IWR(US4642874998) Cash Dividend USD 0.322439 per Share - US Tax</t>
        </is>
      </c>
      <c r="D55" t="inlineStr">
        <is>
          <t>USD</t>
        </is>
      </c>
      <c r="E55" t="n">
        <v>0.65</v>
      </c>
      <c r="F55" t="n">
        <v>0.65</v>
      </c>
      <c r="G55" t="n">
        <v>87.7</v>
      </c>
      <c r="H55" t="n">
        <v>57</v>
      </c>
    </row>
    <row r="56">
      <c r="A56" t="inlineStr">
        <is>
          <t>CY2025</t>
        </is>
      </c>
      <c r="B56" s="2" t="n">
        <v>45919</v>
      </c>
      <c r="C56" t="inlineStr">
        <is>
          <t>IWR(US4642874998) Cash Dividend USD 0.322439 per Share - US Tax</t>
        </is>
      </c>
      <c r="D56" t="inlineStr">
        <is>
          <t>USD</t>
        </is>
      </c>
      <c r="E56" t="n">
        <v>-0.64</v>
      </c>
      <c r="F56" t="n">
        <v>-0.64</v>
      </c>
      <c r="G56" t="n">
        <v>87.7</v>
      </c>
      <c r="H56" t="n">
        <v>-56</v>
      </c>
    </row>
    <row r="57">
      <c r="A57" t="inlineStr">
        <is>
          <t>CY2025</t>
        </is>
      </c>
      <c r="B57" s="2" t="n">
        <v>45923</v>
      </c>
      <c r="C57" t="inlineStr">
        <is>
          <t>VT(US9220427424) Cash Dividend USD 0.4781 per Share - US Tax</t>
        </is>
      </c>
      <c r="D57" t="inlineStr">
        <is>
          <t>USD</t>
        </is>
      </c>
      <c r="E57" t="n">
        <v>-0.96</v>
      </c>
      <c r="F57" t="n">
        <v>-0.96</v>
      </c>
      <c r="G57" t="n">
        <v>87.7</v>
      </c>
      <c r="H57" t="n">
        <v>-84</v>
      </c>
    </row>
    <row r="58">
      <c r="A58" t="inlineStr">
        <is>
          <t>CY2025</t>
        </is>
      </c>
      <c r="B58" s="2" t="n">
        <v>45931</v>
      </c>
      <c r="C58" t="inlineStr">
        <is>
          <t>VTV(US9229087443) Cash Dividend USD 0.9433 per Share - US Tax</t>
        </is>
      </c>
      <c r="D58" t="inlineStr">
        <is>
          <t>USD</t>
        </is>
      </c>
      <c r="E58" t="n">
        <v>-1.42</v>
      </c>
      <c r="F58" t="n">
        <v>-1.42</v>
      </c>
      <c r="G58" t="n">
        <v>88.34999999999999</v>
      </c>
      <c r="H58" t="n">
        <v>-125</v>
      </c>
    </row>
    <row r="59">
      <c r="A59" t="inlineStr">
        <is>
          <t>CY2025</t>
        </is>
      </c>
      <c r="B59" s="2" t="n">
        <v>45936</v>
      </c>
      <c r="C59" t="inlineStr">
        <is>
          <t>IEF(US4642874402) Cash Dividend USD 0.294485 per Share - US Tax</t>
        </is>
      </c>
      <c r="D59" t="inlineStr">
        <is>
          <t>USD</t>
        </is>
      </c>
      <c r="E59" t="n">
        <v>-0.74</v>
      </c>
      <c r="F59" t="n">
        <v>-0.74</v>
      </c>
      <c r="G59" t="n">
        <v>88.34999999999999</v>
      </c>
      <c r="H59" t="n">
        <v>-65</v>
      </c>
    </row>
    <row r="60">
      <c r="A60" t="inlineStr">
        <is>
          <t>CY2025</t>
        </is>
      </c>
      <c r="B60" s="2" t="n">
        <v>45936</v>
      </c>
      <c r="C60" t="inlineStr">
        <is>
          <t>IEF(US4642874402) Cash Dividend USD 0.294485 per Share - US Tax</t>
        </is>
      </c>
      <c r="D60" t="inlineStr">
        <is>
          <t>USD</t>
        </is>
      </c>
      <c r="E60" t="n">
        <v>0.74</v>
      </c>
      <c r="F60" t="n">
        <v>0.74</v>
      </c>
      <c r="G60" t="n">
        <v>88.34999999999999</v>
      </c>
      <c r="H60" t="n">
        <v>65</v>
      </c>
    </row>
    <row r="61">
      <c r="A61" t="inlineStr">
        <is>
          <t>CY2025</t>
        </is>
      </c>
      <c r="B61" s="2" t="n">
        <v>45936</v>
      </c>
      <c r="C61" t="inlineStr">
        <is>
          <t>TIP(US4642871762) Cash Dividend USD 0.198069 per Share - US Tax</t>
        </is>
      </c>
      <c r="D61" t="inlineStr">
        <is>
          <t>USD</t>
        </is>
      </c>
      <c r="E61" t="n">
        <v>-0.4</v>
      </c>
      <c r="F61" t="n">
        <v>-0.4</v>
      </c>
      <c r="G61" t="n">
        <v>88.34999999999999</v>
      </c>
      <c r="H61" t="n">
        <v>-35</v>
      </c>
    </row>
    <row r="62">
      <c r="A62" t="inlineStr">
        <is>
          <t>CY2025</t>
        </is>
      </c>
      <c r="B62" s="2" t="n">
        <v>45936</v>
      </c>
      <c r="C62" t="inlineStr">
        <is>
          <t>TIP(US4642871762) Cash Dividend USD 0.198069 per Share - US Tax</t>
        </is>
      </c>
      <c r="D62" t="inlineStr">
        <is>
          <t>USD</t>
        </is>
      </c>
      <c r="E62" t="n">
        <v>0.4</v>
      </c>
      <c r="F62" t="n">
        <v>0.4</v>
      </c>
      <c r="G62" t="n">
        <v>88.34999999999999</v>
      </c>
      <c r="H62" t="n">
        <v>35</v>
      </c>
    </row>
    <row r="63">
      <c r="A63" t="inlineStr">
        <is>
          <t>CY2025</t>
        </is>
      </c>
      <c r="B63" s="2" t="n">
        <v>45954</v>
      </c>
      <c r="C63" t="inlineStr">
        <is>
          <t>1919(CNE1000002J7) Cash Dividend HKD 0.613944 per Share - CN Tax</t>
        </is>
      </c>
      <c r="D63" t="inlineStr">
        <is>
          <t>HKD</t>
        </is>
      </c>
      <c r="E63" t="n">
        <v>-30.7</v>
      </c>
      <c r="F63" t="n">
        <v>-3.9446</v>
      </c>
      <c r="G63" t="n">
        <v>88.34999999999999</v>
      </c>
      <c r="H63" t="n">
        <v>-349</v>
      </c>
    </row>
    <row r="64">
      <c r="A64" t="inlineStr">
        <is>
          <t>CY2025</t>
        </is>
      </c>
      <c r="B64" s="2" t="n">
        <v>45961</v>
      </c>
      <c r="C64" t="inlineStr">
        <is>
          <t>QQQ(US46090E1038) Cash Dividend USD 0.69395 per Share - US Tax</t>
        </is>
      </c>
      <c r="D64" t="inlineStr">
        <is>
          <t>USD</t>
        </is>
      </c>
      <c r="E64" t="n">
        <v>-0.35</v>
      </c>
      <c r="F64" t="n">
        <v>-0.35</v>
      </c>
      <c r="G64" t="n">
        <v>88.34999999999999</v>
      </c>
      <c r="H64" t="n">
        <v>-31</v>
      </c>
    </row>
    <row r="65">
      <c r="A65" t="inlineStr">
        <is>
          <t>CY2025</t>
        </is>
      </c>
      <c r="B65" s="2" t="n">
        <v>45967</v>
      </c>
      <c r="C65" t="inlineStr">
        <is>
          <t>ASML(NL0010273215) Cash Dividend EUR 1.60 per Share - NL Tax</t>
        </is>
      </c>
      <c r="D65" t="inlineStr">
        <is>
          <t>EUR</t>
        </is>
      </c>
      <c r="E65" t="n">
        <v>-0.24</v>
      </c>
      <c r="F65" t="n">
        <v>-0.2819</v>
      </c>
      <c r="G65" t="n">
        <v>88.2</v>
      </c>
      <c r="H65" t="n">
        <v>-25</v>
      </c>
    </row>
    <row r="66">
      <c r="A66" t="inlineStr">
        <is>
          <t>CY2025</t>
        </is>
      </c>
      <c r="B66" s="2" t="n">
        <v>45967</v>
      </c>
      <c r="C66" t="inlineStr">
        <is>
          <t>IEF(US4642874402) Cash Dividend USD 0.303792 per Share - US Tax</t>
        </is>
      </c>
      <c r="D66" t="inlineStr">
        <is>
          <t>USD</t>
        </is>
      </c>
      <c r="E66" t="n">
        <v>-0.76</v>
      </c>
      <c r="F66" t="n">
        <v>-0.76</v>
      </c>
      <c r="G66" t="n">
        <v>88.2</v>
      </c>
      <c r="H66" t="n">
        <v>-67</v>
      </c>
    </row>
    <row r="67">
      <c r="A67" t="inlineStr">
        <is>
          <t>CY2025</t>
        </is>
      </c>
      <c r="B67" s="2" t="n">
        <v>45967</v>
      </c>
      <c r="C67" t="inlineStr">
        <is>
          <t>IEF(US4642874402) Cash Dividend USD 0.303792 per Share - US Tax</t>
        </is>
      </c>
      <c r="D67" t="inlineStr">
        <is>
          <t>USD</t>
        </is>
      </c>
      <c r="E67" t="n">
        <v>0.76</v>
      </c>
      <c r="F67" t="n">
        <v>0.76</v>
      </c>
      <c r="G67" t="n">
        <v>88.2</v>
      </c>
      <c r="H67" t="n">
        <v>67</v>
      </c>
    </row>
    <row r="68">
      <c r="A68" t="inlineStr">
        <is>
          <t>CY2025</t>
        </is>
      </c>
      <c r="B68" s="2" t="n">
        <v>45967</v>
      </c>
      <c r="C68" t="inlineStr">
        <is>
          <t>TIP(US4642871762) Cash Dividend USD 0.360933 per Share - US Tax</t>
        </is>
      </c>
      <c r="D68" t="inlineStr">
        <is>
          <t>USD</t>
        </is>
      </c>
      <c r="E68" t="n">
        <v>-0.72</v>
      </c>
      <c r="F68" t="n">
        <v>-0.72</v>
      </c>
      <c r="G68" t="n">
        <v>88.2</v>
      </c>
      <c r="H68" t="n">
        <v>-64</v>
      </c>
    </row>
    <row r="69">
      <c r="A69" t="inlineStr">
        <is>
          <t>CY2025</t>
        </is>
      </c>
      <c r="B69" s="2" t="n">
        <v>45967</v>
      </c>
      <c r="C69" t="inlineStr">
        <is>
          <t>TIP(US4642871762) Cash Dividend USD 0.360933 per Share - US Tax</t>
        </is>
      </c>
      <c r="D69" t="inlineStr">
        <is>
          <t>USD</t>
        </is>
      </c>
      <c r="E69" t="n">
        <v>0.72</v>
      </c>
      <c r="F69" t="n">
        <v>0.72</v>
      </c>
      <c r="G69" t="n">
        <v>88.2</v>
      </c>
      <c r="H69" t="n">
        <v>64</v>
      </c>
    </row>
    <row r="70">
      <c r="A70" t="inlineStr">
        <is>
          <t>CY2025</t>
        </is>
      </c>
      <c r="B70" s="2" t="n">
        <v>45974</v>
      </c>
      <c r="C70" t="inlineStr">
        <is>
          <t>AAPL(US0378331005) Cash Dividend USD 0.26 per Share - US Tax</t>
        </is>
      </c>
      <c r="D70" t="inlineStr">
        <is>
          <t>USD</t>
        </is>
      </c>
      <c r="E70" t="n">
        <v>-0.26</v>
      </c>
      <c r="F70" t="n">
        <v>-0.26</v>
      </c>
      <c r="G70" t="n">
        <v>88.2</v>
      </c>
      <c r="H70" t="n">
        <v>-23</v>
      </c>
    </row>
    <row r="71">
      <c r="A71" t="inlineStr">
        <is>
          <t>CY2025</t>
        </is>
      </c>
      <c r="B71" s="2" t="n">
        <v>45975</v>
      </c>
      <c r="C71" t="inlineStr">
        <is>
          <t>ACN(IE00B4BNMY34) Cash Dividend USD 1.63 per Share - IE Tax</t>
        </is>
      </c>
      <c r="D71" t="inlineStr">
        <is>
          <t>USD</t>
        </is>
      </c>
      <c r="E71" t="n">
        <v>-2.85</v>
      </c>
      <c r="F71" t="n">
        <v>-2.85</v>
      </c>
      <c r="G71" t="n">
        <v>88.2</v>
      </c>
      <c r="H71" t="n">
        <v>-251</v>
      </c>
    </row>
    <row r="72">
      <c r="A72" t="inlineStr">
        <is>
          <t>CY2025</t>
        </is>
      </c>
      <c r="B72" s="2" t="n">
        <v>45992</v>
      </c>
      <c r="C72" t="inlineStr">
        <is>
          <t>WFC(US9497461015) Cash Dividend USD 0.45 per Share - US Tax</t>
        </is>
      </c>
      <c r="D72" t="inlineStr">
        <is>
          <t>USD</t>
        </is>
      </c>
      <c r="E72" t="n">
        <v>-1.35</v>
      </c>
      <c r="F72" t="n">
        <v>-1.35</v>
      </c>
      <c r="G72" t="n">
        <v>88.95</v>
      </c>
      <c r="H72" t="n">
        <v>-120</v>
      </c>
    </row>
    <row r="73">
      <c r="A73" t="inlineStr">
        <is>
          <t>CY2025</t>
        </is>
      </c>
      <c r="B73" s="2" t="n">
        <v>45995</v>
      </c>
      <c r="C73" t="inlineStr">
        <is>
          <t>IEF(US4642874402) Cash Dividend USD 0.288439 per Share - US Tax</t>
        </is>
      </c>
      <c r="D73" t="inlineStr">
        <is>
          <t>USD</t>
        </is>
      </c>
      <c r="E73" t="n">
        <v>-0.72</v>
      </c>
      <c r="F73" t="n">
        <v>-0.72</v>
      </c>
      <c r="G73" t="n">
        <v>88.95</v>
      </c>
      <c r="H73" t="n">
        <v>-64</v>
      </c>
    </row>
    <row r="74">
      <c r="A74" t="inlineStr">
        <is>
          <t>CY2025</t>
        </is>
      </c>
      <c r="B74" s="2" t="n">
        <v>45995</v>
      </c>
      <c r="C74" t="inlineStr">
        <is>
          <t>IEF(US4642874402) Cash Dividend USD 0.288439 per Share - US Tax</t>
        </is>
      </c>
      <c r="D74" t="inlineStr">
        <is>
          <t>USD</t>
        </is>
      </c>
      <c r="E74" t="n">
        <v>0.72</v>
      </c>
      <c r="F74" t="n">
        <v>0.72</v>
      </c>
      <c r="G74" t="n">
        <v>88.95</v>
      </c>
      <c r="H74" t="n">
        <v>64</v>
      </c>
    </row>
    <row r="75">
      <c r="A75" t="inlineStr">
        <is>
          <t>CY2025</t>
        </is>
      </c>
      <c r="B75" s="2" t="n">
        <v>45995</v>
      </c>
      <c r="C75" t="inlineStr">
        <is>
          <t>TIP(US4642871762) Cash Dividend USD 0.322417 per Share - US Tax</t>
        </is>
      </c>
      <c r="D75" t="inlineStr">
        <is>
          <t>USD</t>
        </is>
      </c>
      <c r="E75" t="n">
        <v>-0.65</v>
      </c>
      <c r="F75" t="n">
        <v>-0.65</v>
      </c>
      <c r="G75" t="n">
        <v>88.95</v>
      </c>
      <c r="H75" t="n">
        <v>-58</v>
      </c>
    </row>
    <row r="76">
      <c r="A76" t="inlineStr">
        <is>
          <t>CY2025</t>
        </is>
      </c>
      <c r="B76" s="2" t="n">
        <v>45995</v>
      </c>
      <c r="C76" t="inlineStr">
        <is>
          <t>TIP(US4642871762) Cash Dividend USD 0.322417 per Share - US Tax</t>
        </is>
      </c>
      <c r="D76" t="inlineStr">
        <is>
          <t>USD</t>
        </is>
      </c>
      <c r="E76" t="n">
        <v>0.65</v>
      </c>
      <c r="F76" t="n">
        <v>0.65</v>
      </c>
      <c r="G76" t="n">
        <v>88.95</v>
      </c>
      <c r="H76" t="n">
        <v>58</v>
      </c>
    </row>
    <row r="77">
      <c r="A77" t="inlineStr">
        <is>
          <t>CY2025</t>
        </is>
      </c>
      <c r="B77" s="2" t="n">
        <v>46001</v>
      </c>
      <c r="C77" t="inlineStr">
        <is>
          <t>4568.T(JP3475350009) Cash Dividend JPY 39 per Share - JP Tax</t>
        </is>
      </c>
      <c r="D77" t="inlineStr">
        <is>
          <t>JPY</t>
        </is>
      </c>
      <c r="E77" t="n">
        <v>-597</v>
      </c>
      <c r="F77" t="n">
        <v>-3.8105</v>
      </c>
      <c r="G77" t="n">
        <v>88.95</v>
      </c>
      <c r="H77" t="n">
        <v>-339</v>
      </c>
    </row>
    <row r="78">
      <c r="A78" t="inlineStr">
        <is>
          <t>CY2025</t>
        </is>
      </c>
      <c r="B78" s="2" t="n">
        <v>46010</v>
      </c>
      <c r="C78" t="inlineStr">
        <is>
          <t>AAXJ(US4642881829) Cash Dividend USD 1.12455 per Share - US Tax</t>
        </is>
      </c>
      <c r="D78" t="inlineStr">
        <is>
          <t>USD</t>
        </is>
      </c>
      <c r="E78" t="n">
        <v>-1.69</v>
      </c>
      <c r="F78" t="n">
        <v>-1.69</v>
      </c>
      <c r="G78" t="n">
        <v>88.95</v>
      </c>
      <c r="H78" t="n">
        <v>-150</v>
      </c>
    </row>
    <row r="79">
      <c r="A79" t="inlineStr">
        <is>
          <t>CY2025</t>
        </is>
      </c>
      <c r="B79" s="2" t="n">
        <v>46010</v>
      </c>
      <c r="C79" t="inlineStr">
        <is>
          <t>AAXJ(US4642881829) Cash Dividend USD 1.12455 per Share - US Tax</t>
        </is>
      </c>
      <c r="D79" t="inlineStr">
        <is>
          <t>USD</t>
        </is>
      </c>
      <c r="E79" t="n">
        <v>1.69</v>
      </c>
      <c r="F79" t="n">
        <v>1.69</v>
      </c>
      <c r="G79" t="n">
        <v>88.95</v>
      </c>
      <c r="H79" t="n">
        <v>150</v>
      </c>
    </row>
    <row r="80">
      <c r="A80" t="inlineStr">
        <is>
          <t>CY2025</t>
        </is>
      </c>
      <c r="B80" s="2" t="n">
        <v>46010</v>
      </c>
      <c r="C80" t="inlineStr">
        <is>
          <t>AAXJ(US4642881829) Cash Dividend USD 1.12455 per Share - US Tax</t>
        </is>
      </c>
      <c r="D80" t="inlineStr">
        <is>
          <t>USD</t>
        </is>
      </c>
      <c r="E80" t="n">
        <v>-1.66</v>
      </c>
      <c r="F80" t="n">
        <v>-1.66</v>
      </c>
      <c r="G80" t="n">
        <v>88.95</v>
      </c>
      <c r="H80" t="n">
        <v>-148</v>
      </c>
    </row>
    <row r="81">
      <c r="A81" t="inlineStr">
        <is>
          <t>CY2025</t>
        </is>
      </c>
      <c r="B81" s="2" t="n">
        <v>46010</v>
      </c>
      <c r="C81" t="inlineStr">
        <is>
          <t>ICLN(US4642882249) Cash Dividend USD 0.128205 per Share - US Tax</t>
        </is>
      </c>
      <c r="D81" t="inlineStr">
        <is>
          <t>USD</t>
        </is>
      </c>
      <c r="E81" t="n">
        <v>-0.96</v>
      </c>
      <c r="F81" t="n">
        <v>-0.96</v>
      </c>
      <c r="G81" t="n">
        <v>88.95</v>
      </c>
      <c r="H81" t="n">
        <v>-85</v>
      </c>
    </row>
    <row r="82">
      <c r="A82" t="inlineStr">
        <is>
          <t>CY2025</t>
        </is>
      </c>
      <c r="B82" s="2" t="n">
        <v>46010</v>
      </c>
      <c r="C82" t="inlineStr">
        <is>
          <t>IWR(US4642874998) Cash Dividend USD 0.393709 per Share - US Tax</t>
        </is>
      </c>
      <c r="D82" t="inlineStr">
        <is>
          <t>USD</t>
        </is>
      </c>
      <c r="E82" t="n">
        <v>-0.79</v>
      </c>
      <c r="F82" t="n">
        <v>-0.79</v>
      </c>
      <c r="G82" t="n">
        <v>88.95</v>
      </c>
      <c r="H82" t="n">
        <v>-70</v>
      </c>
    </row>
    <row r="83">
      <c r="A83" t="inlineStr">
        <is>
          <t>CY2025</t>
        </is>
      </c>
      <c r="B83" s="2" t="n">
        <v>46010</v>
      </c>
      <c r="C83" t="inlineStr">
        <is>
          <t>IWR(US4642874998) Cash Dividend USD 0.393709 per Share - US Tax</t>
        </is>
      </c>
      <c r="D83" t="inlineStr">
        <is>
          <t>USD</t>
        </is>
      </c>
      <c r="E83" t="n">
        <v>0.79</v>
      </c>
      <c r="F83" t="n">
        <v>0.79</v>
      </c>
      <c r="G83" t="n">
        <v>88.95</v>
      </c>
      <c r="H83" t="n">
        <v>70</v>
      </c>
    </row>
    <row r="84">
      <c r="A84" t="inlineStr">
        <is>
          <t>CY2025</t>
        </is>
      </c>
      <c r="B84" s="2" t="n">
        <v>46010</v>
      </c>
      <c r="C84" t="inlineStr">
        <is>
          <t>IWR(US4642874998) Cash Dividend USD 0.393709 per Share - US Tax</t>
        </is>
      </c>
      <c r="D84" t="inlineStr">
        <is>
          <t>USD</t>
        </is>
      </c>
      <c r="E84" t="n">
        <v>-0.78</v>
      </c>
      <c r="F84" t="n">
        <v>-0.78</v>
      </c>
      <c r="G84" t="n">
        <v>88.95</v>
      </c>
      <c r="H84" t="n">
        <v>-69</v>
      </c>
    </row>
    <row r="85">
      <c r="A85" t="inlineStr">
        <is>
          <t>CY2025</t>
        </is>
      </c>
      <c r="B85" s="2" t="n">
        <v>46014</v>
      </c>
      <c r="C85" t="inlineStr">
        <is>
          <t>VT(US9220427424) Cash Dividend USD 1.1152 per Share - US Tax</t>
        </is>
      </c>
      <c r="D85" t="inlineStr">
        <is>
          <t>USD</t>
        </is>
      </c>
      <c r="E85" t="n">
        <v>-2.23</v>
      </c>
      <c r="F85" t="n">
        <v>-2.23</v>
      </c>
      <c r="G85" t="n">
        <v>88.95</v>
      </c>
      <c r="H85" t="n">
        <v>-198</v>
      </c>
    </row>
    <row r="86">
      <c r="A86" t="inlineStr">
        <is>
          <t>CY2025</t>
        </is>
      </c>
      <c r="B86" s="2" t="n">
        <v>46015</v>
      </c>
      <c r="C86" t="inlineStr">
        <is>
          <t>IEF(US4642874402) Cash Dividend USD 0.312713 per Share - US Tax</t>
        </is>
      </c>
      <c r="D86" t="inlineStr">
        <is>
          <t>USD</t>
        </is>
      </c>
      <c r="E86" t="n">
        <v>-0.78</v>
      </c>
      <c r="F86" t="n">
        <v>-0.78</v>
      </c>
      <c r="G86" t="n">
        <v>88.95</v>
      </c>
      <c r="H86" t="n">
        <v>-69</v>
      </c>
    </row>
    <row r="87">
      <c r="A87" t="inlineStr">
        <is>
          <t>CY2025</t>
        </is>
      </c>
      <c r="B87" s="2" t="n">
        <v>46015</v>
      </c>
      <c r="C87" t="inlineStr">
        <is>
          <t>IEF(US4642874402) Cash Dividend USD 0.312713 per Share - US Tax</t>
        </is>
      </c>
      <c r="D87" t="inlineStr">
        <is>
          <t>USD</t>
        </is>
      </c>
      <c r="E87" t="n">
        <v>0.78</v>
      </c>
      <c r="F87" t="n">
        <v>0.78</v>
      </c>
      <c r="G87" t="n">
        <v>88.95</v>
      </c>
      <c r="H87" t="n">
        <v>69</v>
      </c>
    </row>
    <row r="88">
      <c r="A88" t="inlineStr">
        <is>
          <t>CY2025</t>
        </is>
      </c>
      <c r="B88" s="2" t="n">
        <v>46015</v>
      </c>
      <c r="C88" t="inlineStr">
        <is>
          <t>TIP(US4642871762) Cash Dividend USD 0.341961 per Share - US Tax</t>
        </is>
      </c>
      <c r="D88" t="inlineStr">
        <is>
          <t>USD</t>
        </is>
      </c>
      <c r="E88" t="n">
        <v>-0.6899999999999999</v>
      </c>
      <c r="F88" t="n">
        <v>-0.6899999999999999</v>
      </c>
      <c r="G88" t="n">
        <v>88.95</v>
      </c>
      <c r="H88" t="n">
        <v>-61</v>
      </c>
    </row>
    <row r="89">
      <c r="A89" t="inlineStr">
        <is>
          <t>CY2025</t>
        </is>
      </c>
      <c r="B89" s="2" t="n">
        <v>46015</v>
      </c>
      <c r="C89" t="inlineStr">
        <is>
          <t>TIP(US4642871762) Cash Dividend USD 0.341961 per Share - US Tax</t>
        </is>
      </c>
      <c r="D89" t="inlineStr">
        <is>
          <t>USD</t>
        </is>
      </c>
      <c r="E89" t="n">
        <v>0.6899999999999999</v>
      </c>
      <c r="F89" t="n">
        <v>0.6899999999999999</v>
      </c>
      <c r="G89" t="n">
        <v>88.95</v>
      </c>
      <c r="H89" t="n">
        <v>61</v>
      </c>
    </row>
    <row r="90">
      <c r="A90" t="inlineStr">
        <is>
          <t>CY2025</t>
        </is>
      </c>
      <c r="B90" s="2" t="n">
        <v>46015</v>
      </c>
      <c r="C90" t="inlineStr">
        <is>
          <t>VTV(US9229087443) Cash Dividend USD 0.9862 per Share - US Tax</t>
        </is>
      </c>
      <c r="D90" t="inlineStr">
        <is>
          <t>USD</t>
        </is>
      </c>
      <c r="E90" t="n">
        <v>-1.48</v>
      </c>
      <c r="F90" t="n">
        <v>-1.48</v>
      </c>
      <c r="G90" t="n">
        <v>88.95</v>
      </c>
      <c r="H90" t="n">
        <v>-132</v>
      </c>
    </row>
    <row r="91">
      <c r="A91" t="inlineStr">
        <is>
          <t>CY2025</t>
        </is>
      </c>
      <c r="B91" s="2" t="n">
        <v>46022</v>
      </c>
      <c r="C91" t="inlineStr">
        <is>
          <t>QQQ(US46090E1038) Cash Dividend USD 0.79408 per Share - US Tax</t>
        </is>
      </c>
      <c r="D91" t="inlineStr">
        <is>
          <t>USD</t>
        </is>
      </c>
      <c r="E91" t="n">
        <v>-0.4</v>
      </c>
      <c r="F91" t="n">
        <v>-0.4</v>
      </c>
      <c r="G91" t="n">
        <v>88.95</v>
      </c>
      <c r="H91" t="n">
        <v>-36</v>
      </c>
    </row>
    <row r="92">
      <c r="A92" t="inlineStr">
        <is>
          <t>FY2025-26</t>
        </is>
      </c>
      <c r="B92" s="2" t="n">
        <v>45967</v>
      </c>
      <c r="C92" t="inlineStr">
        <is>
          <t>ASML(NL0010273215) Cash Dividend EUR 1.60 per Share - NL Tax</t>
        </is>
      </c>
      <c r="D92" t="inlineStr">
        <is>
          <t>EUR</t>
        </is>
      </c>
      <c r="E92" t="n">
        <v>-0.24</v>
      </c>
      <c r="F92" t="n">
        <v>-0.2819</v>
      </c>
      <c r="G92" t="n">
        <v>88.2</v>
      </c>
      <c r="H92" t="n">
        <v>-25</v>
      </c>
    </row>
    <row r="93">
      <c r="A93" t="inlineStr">
        <is>
          <t>FY2025-26</t>
        </is>
      </c>
      <c r="B93" s="2" t="n">
        <v>46071</v>
      </c>
      <c r="C93" t="inlineStr">
        <is>
          <t>ASML(NL0010273215) Cash Dividend EUR 1.60 per Share - NL Tax</t>
        </is>
      </c>
      <c r="D93" t="inlineStr">
        <is>
          <t>EUR</t>
        </is>
      </c>
      <c r="E93" t="n">
        <v>-0.36</v>
      </c>
      <c r="F93" t="n">
        <v>-0.4229</v>
      </c>
      <c r="G93" t="n">
        <v>91.34999999999999</v>
      </c>
      <c r="H93" t="n">
        <v>-39</v>
      </c>
    </row>
    <row r="94">
      <c r="A94" t="inlineStr">
        <is>
          <t>FY2025-26</t>
        </is>
      </c>
      <c r="B94" s="2" t="n">
        <v>45954</v>
      </c>
      <c r="C94" t="inlineStr">
        <is>
          <t>1919(CNE1000002J7) Cash Dividend HKD 0.613944 per Share - CN Tax</t>
        </is>
      </c>
      <c r="D94" t="inlineStr">
        <is>
          <t>HKD</t>
        </is>
      </c>
      <c r="E94" t="n">
        <v>-30.7</v>
      </c>
      <c r="F94" t="n">
        <v>-3.9446</v>
      </c>
      <c r="G94" t="n">
        <v>88.34999999999999</v>
      </c>
      <c r="H94" t="n">
        <v>-349</v>
      </c>
    </row>
    <row r="95">
      <c r="A95" t="inlineStr">
        <is>
          <t>FY2025-26</t>
        </is>
      </c>
      <c r="B95" s="2" t="n">
        <v>46001</v>
      </c>
      <c r="C95" t="inlineStr">
        <is>
          <t>4568.T(JP3475350009) Cash Dividend JPY 39 per Share - JP Tax</t>
        </is>
      </c>
      <c r="D95" t="inlineStr">
        <is>
          <t>JPY</t>
        </is>
      </c>
      <c r="E95" t="n">
        <v>-597</v>
      </c>
      <c r="F95" t="n">
        <v>-3.8105</v>
      </c>
      <c r="G95" t="n">
        <v>88.95</v>
      </c>
      <c r="H95" t="n">
        <v>-339</v>
      </c>
    </row>
    <row r="96">
      <c r="A96" t="inlineStr">
        <is>
          <t>FY2025-26</t>
        </is>
      </c>
      <c r="B96" s="2" t="n">
        <v>45751</v>
      </c>
      <c r="C96" t="inlineStr">
        <is>
          <t>TIP(US4642871762) Cash Dividend USD 0.70918 per Share - US Tax</t>
        </is>
      </c>
      <c r="D96" t="inlineStr">
        <is>
          <t>USD</t>
        </is>
      </c>
      <c r="E96" t="n">
        <v>-1.42</v>
      </c>
      <c r="F96" t="n">
        <v>-1.42</v>
      </c>
      <c r="G96" t="n">
        <v>85.09999999999999</v>
      </c>
      <c r="H96" t="n">
        <v>-121</v>
      </c>
    </row>
    <row r="97">
      <c r="A97" t="inlineStr">
        <is>
          <t>FY2025-26</t>
        </is>
      </c>
      <c r="B97" s="2" t="n">
        <v>45751</v>
      </c>
      <c r="C97" t="inlineStr">
        <is>
          <t>TIP(US4642871762) Cash Dividend USD 0.70918 per Share - US Tax</t>
        </is>
      </c>
      <c r="D97" t="inlineStr">
        <is>
          <t>USD</t>
        </is>
      </c>
      <c r="E97" t="n">
        <v>1.42</v>
      </c>
      <c r="F97" t="n">
        <v>1.42</v>
      </c>
      <c r="G97" t="n">
        <v>85.09999999999999</v>
      </c>
      <c r="H97" t="n">
        <v>121</v>
      </c>
    </row>
    <row r="98">
      <c r="A98" t="inlineStr">
        <is>
          <t>FY2025-26</t>
        </is>
      </c>
      <c r="B98" s="2" t="n">
        <v>45757</v>
      </c>
      <c r="C98" t="inlineStr">
        <is>
          <t>TSM(US8740391003) Cash Dividend USD 0.677693 per Share - TW Tax</t>
        </is>
      </c>
      <c r="D98" t="inlineStr">
        <is>
          <t>USD</t>
        </is>
      </c>
      <c r="E98" t="n">
        <v>-0.31</v>
      </c>
      <c r="F98" t="n">
        <v>-0.31</v>
      </c>
      <c r="G98" t="n">
        <v>85.09999999999999</v>
      </c>
      <c r="H98" t="n">
        <v>-26</v>
      </c>
    </row>
    <row r="99">
      <c r="A99" t="inlineStr">
        <is>
          <t>FY2025-26</t>
        </is>
      </c>
      <c r="B99" s="2" t="n">
        <v>45772</v>
      </c>
      <c r="C99" t="inlineStr">
        <is>
          <t>GE(US3696043013) Cash Dividend USD 0.36 per Share - US Tax</t>
        </is>
      </c>
      <c r="D99" t="inlineStr">
        <is>
          <t>USD</t>
        </is>
      </c>
      <c r="E99" t="n">
        <v>-0.39</v>
      </c>
      <c r="F99" t="n">
        <v>-0.39</v>
      </c>
      <c r="G99" t="n">
        <v>85.09999999999999</v>
      </c>
      <c r="H99" t="n">
        <v>-33</v>
      </c>
    </row>
    <row r="100">
      <c r="A100" t="inlineStr">
        <is>
          <t>FY2025-26</t>
        </is>
      </c>
      <c r="B100" s="2" t="n">
        <v>45782</v>
      </c>
      <c r="C100" t="inlineStr">
        <is>
          <t>BX(US09260D1072) Cash Dividend USD 0.93 per Share - US Tax</t>
        </is>
      </c>
      <c r="D100" t="inlineStr">
        <is>
          <t>USD</t>
        </is>
      </c>
      <c r="E100" t="n">
        <v>-4.63</v>
      </c>
      <c r="F100" t="n">
        <v>-4.63</v>
      </c>
      <c r="G100" t="n">
        <v>84.25</v>
      </c>
      <c r="H100" t="n">
        <v>-390</v>
      </c>
    </row>
    <row r="101">
      <c r="A101" t="inlineStr">
        <is>
          <t>FY2025-26</t>
        </is>
      </c>
      <c r="B101" s="2" t="n">
        <v>45782</v>
      </c>
      <c r="C101" t="inlineStr">
        <is>
          <t>BX(US09260D1072) Cash Dividend USD 0.93 per Share - US Tax</t>
        </is>
      </c>
      <c r="D101" t="inlineStr">
        <is>
          <t>USD</t>
        </is>
      </c>
      <c r="E101" t="n">
        <v>4.63</v>
      </c>
      <c r="F101" t="n">
        <v>4.63</v>
      </c>
      <c r="G101" t="n">
        <v>84.25</v>
      </c>
      <c r="H101" t="n">
        <v>390</v>
      </c>
    </row>
    <row r="102">
      <c r="A102" t="inlineStr">
        <is>
          <t>FY2025-26</t>
        </is>
      </c>
      <c r="B102" s="2" t="n">
        <v>45782</v>
      </c>
      <c r="C102" t="inlineStr">
        <is>
          <t>BX(US09260D1072) Cash Dividend USD 0.93 per Share - US Tax</t>
        </is>
      </c>
      <c r="D102" t="inlineStr">
        <is>
          <t>USD</t>
        </is>
      </c>
      <c r="E102" t="n">
        <v>-2.33</v>
      </c>
      <c r="F102" t="n">
        <v>-2.33</v>
      </c>
      <c r="G102" t="n">
        <v>84.25</v>
      </c>
      <c r="H102" t="n">
        <v>-196</v>
      </c>
    </row>
    <row r="103">
      <c r="A103" t="inlineStr">
        <is>
          <t>FY2025-26</t>
        </is>
      </c>
      <c r="B103" s="2" t="n">
        <v>45783</v>
      </c>
      <c r="C103" t="inlineStr">
        <is>
          <t>TIP(US4642871762) Cash Dividend USD 0.534953 per Share - US Tax</t>
        </is>
      </c>
      <c r="D103" t="inlineStr">
        <is>
          <t>USD</t>
        </is>
      </c>
      <c r="E103" t="n">
        <v>-1.07</v>
      </c>
      <c r="F103" t="n">
        <v>-1.07</v>
      </c>
      <c r="G103" t="n">
        <v>84.25</v>
      </c>
      <c r="H103" t="n">
        <v>-90</v>
      </c>
    </row>
    <row r="104">
      <c r="A104" t="inlineStr">
        <is>
          <t>FY2025-26</t>
        </is>
      </c>
      <c r="B104" s="2" t="n">
        <v>45783</v>
      </c>
      <c r="C104" t="inlineStr">
        <is>
          <t>TIP(US4642871762) Cash Dividend USD 0.534953 per Share - US Tax</t>
        </is>
      </c>
      <c r="D104" t="inlineStr">
        <is>
          <t>USD</t>
        </is>
      </c>
      <c r="E104" t="n">
        <v>1.07</v>
      </c>
      <c r="F104" t="n">
        <v>1.07</v>
      </c>
      <c r="G104" t="n">
        <v>84.25</v>
      </c>
      <c r="H104" t="n">
        <v>90</v>
      </c>
    </row>
    <row r="105">
      <c r="A105" t="inlineStr">
        <is>
          <t>FY2025-26</t>
        </is>
      </c>
      <c r="B105" s="2" t="n">
        <v>45786</v>
      </c>
      <c r="C105" t="inlineStr">
        <is>
          <t>GD(US3695501086) Cash Dividend USD 1.50 per Share - US Tax</t>
        </is>
      </c>
      <c r="D105" t="inlineStr">
        <is>
          <t>USD</t>
        </is>
      </c>
      <c r="E105" t="n">
        <v>-0.9</v>
      </c>
      <c r="F105" t="n">
        <v>-0.9</v>
      </c>
      <c r="G105" t="n">
        <v>84.25</v>
      </c>
      <c r="H105" t="n">
        <v>-76</v>
      </c>
    </row>
    <row r="106">
      <c r="A106" t="inlineStr">
        <is>
          <t>FY2025-26</t>
        </is>
      </c>
      <c r="B106" s="2" t="n">
        <v>45792</v>
      </c>
      <c r="C106" t="inlineStr">
        <is>
          <t>ACN(IE00B4BNMY34) Cash Dividend USD 1.48 per Share - IE Tax</t>
        </is>
      </c>
      <c r="D106" t="inlineStr">
        <is>
          <t>USD</t>
        </is>
      </c>
      <c r="E106" t="n">
        <v>-2.59</v>
      </c>
      <c r="F106" t="n">
        <v>-2.59</v>
      </c>
      <c r="G106" t="n">
        <v>84.25</v>
      </c>
      <c r="H106" t="n">
        <v>-218</v>
      </c>
    </row>
    <row r="107">
      <c r="A107" t="inlineStr">
        <is>
          <t>FY2025-26</t>
        </is>
      </c>
      <c r="B107" s="2" t="n">
        <v>45797</v>
      </c>
      <c r="C107" t="inlineStr">
        <is>
          <t>CAT(US1491231015) Cash Dividend USD 1.41 per Share - US Tax</t>
        </is>
      </c>
      <c r="D107" t="inlineStr">
        <is>
          <t>USD</t>
        </is>
      </c>
      <c r="E107" t="n">
        <v>-2.17</v>
      </c>
      <c r="F107" t="n">
        <v>-2.17</v>
      </c>
      <c r="G107" t="n">
        <v>84.25</v>
      </c>
      <c r="H107" t="n">
        <v>-183</v>
      </c>
    </row>
    <row r="108">
      <c r="A108" t="inlineStr">
        <is>
          <t>FY2025-26</t>
        </is>
      </c>
      <c r="B108" s="2" t="n">
        <v>45810</v>
      </c>
      <c r="C108" t="inlineStr">
        <is>
          <t>TGT(US87612E1064) Cash Dividend USD 1.12 per Share - US Tax</t>
        </is>
      </c>
      <c r="D108" t="inlineStr">
        <is>
          <t>USD</t>
        </is>
      </c>
      <c r="E108" t="n">
        <v>-5.87</v>
      </c>
      <c r="F108" t="n">
        <v>-5.87</v>
      </c>
      <c r="G108" t="n">
        <v>85.09999999999999</v>
      </c>
      <c r="H108" t="n">
        <v>-500</v>
      </c>
    </row>
    <row r="109">
      <c r="A109" t="inlineStr">
        <is>
          <t>FY2025-26</t>
        </is>
      </c>
      <c r="B109" s="2" t="n">
        <v>45813</v>
      </c>
      <c r="C109" t="inlineStr">
        <is>
          <t>TIP(US4642871762) Cash Dividend USD 0.273105 per Share - US Tax</t>
        </is>
      </c>
      <c r="D109" t="inlineStr">
        <is>
          <t>USD</t>
        </is>
      </c>
      <c r="E109" t="n">
        <v>-0.55</v>
      </c>
      <c r="F109" t="n">
        <v>-0.55</v>
      </c>
      <c r="G109" t="n">
        <v>85.09999999999999</v>
      </c>
      <c r="H109" t="n">
        <v>-47</v>
      </c>
    </row>
    <row r="110">
      <c r="A110" t="inlineStr">
        <is>
          <t>FY2025-26</t>
        </is>
      </c>
      <c r="B110" s="2" t="n">
        <v>45813</v>
      </c>
      <c r="C110" t="inlineStr">
        <is>
          <t>TIP(US4642871762) Cash Dividend USD 0.273105 per Share - US Tax</t>
        </is>
      </c>
      <c r="D110" t="inlineStr">
        <is>
          <t>USD</t>
        </is>
      </c>
      <c r="E110" t="n">
        <v>0.55</v>
      </c>
      <c r="F110" t="n">
        <v>0.55</v>
      </c>
      <c r="G110" t="n">
        <v>85.09999999999999</v>
      </c>
      <c r="H110" t="n">
        <v>47</v>
      </c>
    </row>
    <row r="111">
      <c r="A111" t="inlineStr">
        <is>
          <t>FY2025-26</t>
        </is>
      </c>
      <c r="B111" s="2" t="n">
        <v>45818</v>
      </c>
      <c r="C111" t="inlineStr">
        <is>
          <t>LLY(US5324571083) Cash Dividend USD 1.50 per Share - US Tax</t>
        </is>
      </c>
      <c r="D111" t="inlineStr">
        <is>
          <t>USD</t>
        </is>
      </c>
      <c r="E111" t="n">
        <v>-1.14</v>
      </c>
      <c r="F111" t="n">
        <v>-1.14</v>
      </c>
      <c r="G111" t="n">
        <v>85.09999999999999</v>
      </c>
      <c r="H111" t="n">
        <v>-97</v>
      </c>
    </row>
    <row r="112">
      <c r="A112" t="inlineStr">
        <is>
          <t>FY2025-26</t>
        </is>
      </c>
      <c r="B112" s="2" t="n">
        <v>45818</v>
      </c>
      <c r="C112" t="inlineStr">
        <is>
          <t>XOM(US30231G1022) Cash Dividend USD 0.99 per Share - US Tax</t>
        </is>
      </c>
      <c r="D112" t="inlineStr">
        <is>
          <t>USD</t>
        </is>
      </c>
      <c r="E112" t="n">
        <v>-5.35</v>
      </c>
      <c r="F112" t="n">
        <v>-5.35</v>
      </c>
      <c r="G112" t="n">
        <v>85.09999999999999</v>
      </c>
      <c r="H112" t="n">
        <v>-455</v>
      </c>
    </row>
    <row r="113">
      <c r="A113" t="inlineStr">
        <is>
          <t>FY2025-26</t>
        </is>
      </c>
      <c r="B113" s="2" t="n">
        <v>45820</v>
      </c>
      <c r="C113" t="inlineStr">
        <is>
          <t>RTX(US75513E1010) Cash Dividend USD 0.68 per Share - US Tax</t>
        </is>
      </c>
      <c r="D113" t="inlineStr">
        <is>
          <t>USD</t>
        </is>
      </c>
      <c r="E113" t="n">
        <v>-2.29</v>
      </c>
      <c r="F113" t="n">
        <v>-2.29</v>
      </c>
      <c r="G113" t="n">
        <v>85.09999999999999</v>
      </c>
      <c r="H113" t="n">
        <v>-195</v>
      </c>
    </row>
    <row r="114">
      <c r="A114" t="inlineStr">
        <is>
          <t>FY2025-26</t>
        </is>
      </c>
      <c r="B114" s="2" t="n">
        <v>45835</v>
      </c>
      <c r="C114" t="inlineStr">
        <is>
          <t>BAC(US0605051046) Cash Dividend USD 0.26 per Share - US Tax</t>
        </is>
      </c>
      <c r="D114" t="inlineStr">
        <is>
          <t>USD</t>
        </is>
      </c>
      <c r="E114" t="n">
        <v>-3.37</v>
      </c>
      <c r="F114" t="n">
        <v>-3.37</v>
      </c>
      <c r="G114" t="n">
        <v>85.09999999999999</v>
      </c>
      <c r="H114" t="n">
        <v>-287</v>
      </c>
    </row>
    <row r="115">
      <c r="A115" t="inlineStr">
        <is>
          <t>FY2025-26</t>
        </is>
      </c>
      <c r="B115" s="2" t="n">
        <v>45845</v>
      </c>
      <c r="C115" t="inlineStr">
        <is>
          <t>TIP(US4642871762) Cash Dividend USD 0.379923 per Share - US Tax</t>
        </is>
      </c>
      <c r="D115" t="inlineStr">
        <is>
          <t>USD</t>
        </is>
      </c>
      <c r="E115" t="n">
        <v>-0.76</v>
      </c>
      <c r="F115" t="n">
        <v>-0.76</v>
      </c>
      <c r="G115" t="n">
        <v>85.09999999999999</v>
      </c>
      <c r="H115" t="n">
        <v>-65</v>
      </c>
    </row>
    <row r="116">
      <c r="A116" t="inlineStr">
        <is>
          <t>FY2025-26</t>
        </is>
      </c>
      <c r="B116" s="2" t="n">
        <v>45845</v>
      </c>
      <c r="C116" t="inlineStr">
        <is>
          <t>TIP(US4642871762) Cash Dividend USD 0.379923 per Share - US Tax</t>
        </is>
      </c>
      <c r="D116" t="inlineStr">
        <is>
          <t>USD</t>
        </is>
      </c>
      <c r="E116" t="n">
        <v>0.76</v>
      </c>
      <c r="F116" t="n">
        <v>0.76</v>
      </c>
      <c r="G116" t="n">
        <v>85.09999999999999</v>
      </c>
      <c r="H116" t="n">
        <v>65</v>
      </c>
    </row>
    <row r="117">
      <c r="A117" t="inlineStr">
        <is>
          <t>FY2025-26</t>
        </is>
      </c>
      <c r="B117" s="2" t="n">
        <v>45848</v>
      </c>
      <c r="C117" t="inlineStr">
        <is>
          <t>TSM(US8740391003) Cash Dividend USD 0.780305 per Share - TW Tax</t>
        </is>
      </c>
      <c r="D117" t="inlineStr">
        <is>
          <t>USD</t>
        </is>
      </c>
      <c r="E117" t="n">
        <v>-1.15</v>
      </c>
      <c r="F117" t="n">
        <v>-1.15</v>
      </c>
      <c r="G117" t="n">
        <v>85.09999999999999</v>
      </c>
      <c r="H117" t="n">
        <v>-98</v>
      </c>
    </row>
    <row r="118">
      <c r="A118" t="inlineStr">
        <is>
          <t>FY2025-26</t>
        </is>
      </c>
      <c r="B118" s="2" t="n">
        <v>45863</v>
      </c>
      <c r="C118" t="inlineStr">
        <is>
          <t>GE(US3696043013) Cash Dividend USD 0.36 per Share - US Tax</t>
        </is>
      </c>
      <c r="D118" t="inlineStr">
        <is>
          <t>USD</t>
        </is>
      </c>
      <c r="E118" t="n">
        <v>-1.29</v>
      </c>
      <c r="F118" t="n">
        <v>-1.29</v>
      </c>
      <c r="G118" t="n">
        <v>85.09999999999999</v>
      </c>
      <c r="H118" t="n">
        <v>-110</v>
      </c>
    </row>
    <row r="119">
      <c r="A119" t="inlineStr">
        <is>
          <t>FY2025-26</t>
        </is>
      </c>
      <c r="B119" s="2" t="n">
        <v>45875</v>
      </c>
      <c r="C119" t="inlineStr">
        <is>
          <t>TIP(US4642871762) Cash Dividend USD 0.264488 per Share - US Tax</t>
        </is>
      </c>
      <c r="D119" t="inlineStr">
        <is>
          <t>USD</t>
        </is>
      </c>
      <c r="E119" t="n">
        <v>-0.53</v>
      </c>
      <c r="F119" t="n">
        <v>-0.53</v>
      </c>
      <c r="G119" t="n">
        <v>87.15000000000001</v>
      </c>
      <c r="H119" t="n">
        <v>-46</v>
      </c>
    </row>
    <row r="120">
      <c r="A120" t="inlineStr">
        <is>
          <t>FY2025-26</t>
        </is>
      </c>
      <c r="B120" s="2" t="n">
        <v>45875</v>
      </c>
      <c r="C120" t="inlineStr">
        <is>
          <t>TIP(US4642871762) Cash Dividend USD 0.264488 per Share - US Tax</t>
        </is>
      </c>
      <c r="D120" t="inlineStr">
        <is>
          <t>USD</t>
        </is>
      </c>
      <c r="E120" t="n">
        <v>0.53</v>
      </c>
      <c r="F120" t="n">
        <v>0.53</v>
      </c>
      <c r="G120" t="n">
        <v>87.15000000000001</v>
      </c>
      <c r="H120" t="n">
        <v>46</v>
      </c>
    </row>
    <row r="121">
      <c r="A121" t="inlineStr">
        <is>
          <t>FY2025-26</t>
        </is>
      </c>
      <c r="B121" s="2" t="n">
        <v>45877</v>
      </c>
      <c r="C121" t="inlineStr">
        <is>
          <t>GD(US3695501086) Cash Dividend USD 1.50 per Share - US Tax</t>
        </is>
      </c>
      <c r="D121" t="inlineStr">
        <is>
          <t>USD</t>
        </is>
      </c>
      <c r="E121" t="n">
        <v>-0.9</v>
      </c>
      <c r="F121" t="n">
        <v>-0.9</v>
      </c>
      <c r="G121" t="n">
        <v>87.15000000000001</v>
      </c>
      <c r="H121" t="n">
        <v>-78</v>
      </c>
    </row>
    <row r="122">
      <c r="A122" t="inlineStr">
        <is>
          <t>FY2025-26</t>
        </is>
      </c>
      <c r="B122" s="2" t="n">
        <v>45884</v>
      </c>
      <c r="C122" t="inlineStr">
        <is>
          <t>ACN(IE00B4BNMY34) Cash Dividend USD 1.48 per Share - IE Tax</t>
        </is>
      </c>
      <c r="D122" t="inlineStr">
        <is>
          <t>USD</t>
        </is>
      </c>
      <c r="E122" t="n">
        <v>-2.59</v>
      </c>
      <c r="F122" t="n">
        <v>-2.59</v>
      </c>
      <c r="G122" t="n">
        <v>87.15000000000001</v>
      </c>
      <c r="H122" t="n">
        <v>-226</v>
      </c>
    </row>
    <row r="123">
      <c r="A123" t="inlineStr">
        <is>
          <t>FY2025-26</t>
        </is>
      </c>
      <c r="B123" s="2" t="n">
        <v>45889</v>
      </c>
      <c r="C123" t="inlineStr">
        <is>
          <t>CAT(US1491231015) Cash Dividend USD 1.51 per Share - US Tax</t>
        </is>
      </c>
      <c r="D123" t="inlineStr">
        <is>
          <t>USD</t>
        </is>
      </c>
      <c r="E123" t="n">
        <v>-2.32</v>
      </c>
      <c r="F123" t="n">
        <v>-2.32</v>
      </c>
      <c r="G123" t="n">
        <v>87.15000000000001</v>
      </c>
      <c r="H123" t="n">
        <v>-202</v>
      </c>
    </row>
    <row r="124">
      <c r="A124" t="inlineStr">
        <is>
          <t>FY2025-26</t>
        </is>
      </c>
      <c r="B124" s="2" t="n">
        <v>45905</v>
      </c>
      <c r="C124" t="inlineStr">
        <is>
          <t>IEF(US4642874402) Cash Dividend USD 0.314136 per Share - US Tax</t>
        </is>
      </c>
      <c r="D124" t="inlineStr">
        <is>
          <t>USD</t>
        </is>
      </c>
      <c r="E124" t="n">
        <v>-0.79</v>
      </c>
      <c r="F124" t="n">
        <v>-0.79</v>
      </c>
      <c r="G124" t="n">
        <v>87.7</v>
      </c>
      <c r="H124" t="n">
        <v>-69</v>
      </c>
    </row>
    <row r="125">
      <c r="A125" t="inlineStr">
        <is>
          <t>FY2025-26</t>
        </is>
      </c>
      <c r="B125" s="2" t="n">
        <v>45905</v>
      </c>
      <c r="C125" t="inlineStr">
        <is>
          <t>IEF(US4642874402) Cash Dividend USD 0.314136 per Share - US Tax</t>
        </is>
      </c>
      <c r="D125" t="inlineStr">
        <is>
          <t>USD</t>
        </is>
      </c>
      <c r="E125" t="n">
        <v>0.79</v>
      </c>
      <c r="F125" t="n">
        <v>0.79</v>
      </c>
      <c r="G125" t="n">
        <v>87.7</v>
      </c>
      <c r="H125" t="n">
        <v>69</v>
      </c>
    </row>
    <row r="126">
      <c r="A126" t="inlineStr">
        <is>
          <t>FY2025-26</t>
        </is>
      </c>
      <c r="B126" s="2" t="n">
        <v>45905</v>
      </c>
      <c r="C126" t="inlineStr">
        <is>
          <t>TIP(US4642871762) Cash Dividend USD 0.417238 per Share - US Tax</t>
        </is>
      </c>
      <c r="D126" t="inlineStr">
        <is>
          <t>USD</t>
        </is>
      </c>
      <c r="E126" t="n">
        <v>-0.84</v>
      </c>
      <c r="F126" t="n">
        <v>-0.84</v>
      </c>
      <c r="G126" t="n">
        <v>87.7</v>
      </c>
      <c r="H126" t="n">
        <v>-74</v>
      </c>
    </row>
    <row r="127">
      <c r="A127" t="inlineStr">
        <is>
          <t>FY2025-26</t>
        </is>
      </c>
      <c r="B127" s="2" t="n">
        <v>45905</v>
      </c>
      <c r="C127" t="inlineStr">
        <is>
          <t>TIP(US4642871762) Cash Dividend USD 0.417238 per Share - US Tax</t>
        </is>
      </c>
      <c r="D127" t="inlineStr">
        <is>
          <t>USD</t>
        </is>
      </c>
      <c r="E127" t="n">
        <v>0.84</v>
      </c>
      <c r="F127" t="n">
        <v>0.84</v>
      </c>
      <c r="G127" t="n">
        <v>87.7</v>
      </c>
      <c r="H127" t="n">
        <v>74</v>
      </c>
    </row>
    <row r="128">
      <c r="A128" t="inlineStr">
        <is>
          <t>FY2025-26</t>
        </is>
      </c>
      <c r="B128" s="2" t="n">
        <v>45919</v>
      </c>
      <c r="C128" t="inlineStr">
        <is>
          <t>IWR(US4642874998) Cash Dividend USD 0.322439 per Share - US Tax</t>
        </is>
      </c>
      <c r="D128" t="inlineStr">
        <is>
          <t>USD</t>
        </is>
      </c>
      <c r="E128" t="n">
        <v>-0.65</v>
      </c>
      <c r="F128" t="n">
        <v>-0.65</v>
      </c>
      <c r="G128" t="n">
        <v>87.7</v>
      </c>
      <c r="H128" t="n">
        <v>-57</v>
      </c>
    </row>
    <row r="129">
      <c r="A129" t="inlineStr">
        <is>
          <t>FY2025-26</t>
        </is>
      </c>
      <c r="B129" s="2" t="n">
        <v>45919</v>
      </c>
      <c r="C129" t="inlineStr">
        <is>
          <t>IWR(US4642874998) Cash Dividend USD 0.322439 per Share - US Tax</t>
        </is>
      </c>
      <c r="D129" t="inlineStr">
        <is>
          <t>USD</t>
        </is>
      </c>
      <c r="E129" t="n">
        <v>0.65</v>
      </c>
      <c r="F129" t="n">
        <v>0.65</v>
      </c>
      <c r="G129" t="n">
        <v>87.7</v>
      </c>
      <c r="H129" t="n">
        <v>57</v>
      </c>
    </row>
    <row r="130">
      <c r="A130" t="inlineStr">
        <is>
          <t>FY2025-26</t>
        </is>
      </c>
      <c r="B130" s="2" t="n">
        <v>45919</v>
      </c>
      <c r="C130" t="inlineStr">
        <is>
          <t>IWR(US4642874998) Cash Dividend USD 0.322439 per Share - US Tax</t>
        </is>
      </c>
      <c r="D130" t="inlineStr">
        <is>
          <t>USD</t>
        </is>
      </c>
      <c r="E130" t="n">
        <v>-0.64</v>
      </c>
      <c r="F130" t="n">
        <v>-0.64</v>
      </c>
      <c r="G130" t="n">
        <v>87.7</v>
      </c>
      <c r="H130" t="n">
        <v>-56</v>
      </c>
    </row>
    <row r="131">
      <c r="A131" t="inlineStr">
        <is>
          <t>FY2025-26</t>
        </is>
      </c>
      <c r="B131" s="2" t="n">
        <v>45923</v>
      </c>
      <c r="C131" t="inlineStr">
        <is>
          <t>VT(US9220427424) Cash Dividend USD 0.4781 per Share - US Tax</t>
        </is>
      </c>
      <c r="D131" t="inlineStr">
        <is>
          <t>USD</t>
        </is>
      </c>
      <c r="E131" t="n">
        <v>-0.96</v>
      </c>
      <c r="F131" t="n">
        <v>-0.96</v>
      </c>
      <c r="G131" t="n">
        <v>87.7</v>
      </c>
      <c r="H131" t="n">
        <v>-84</v>
      </c>
    </row>
    <row r="132">
      <c r="A132" t="inlineStr">
        <is>
          <t>FY2025-26</t>
        </is>
      </c>
      <c r="B132" s="2" t="n">
        <v>45931</v>
      </c>
      <c r="C132" t="inlineStr">
        <is>
          <t>VTV(US9229087443) Cash Dividend USD 0.9433 per Share - US Tax</t>
        </is>
      </c>
      <c r="D132" t="inlineStr">
        <is>
          <t>USD</t>
        </is>
      </c>
      <c r="E132" t="n">
        <v>-1.42</v>
      </c>
      <c r="F132" t="n">
        <v>-1.42</v>
      </c>
      <c r="G132" t="n">
        <v>88.34999999999999</v>
      </c>
      <c r="H132" t="n">
        <v>-125</v>
      </c>
    </row>
    <row r="133">
      <c r="A133" t="inlineStr">
        <is>
          <t>FY2025-26</t>
        </is>
      </c>
      <c r="B133" s="2" t="n">
        <v>45936</v>
      </c>
      <c r="C133" t="inlineStr">
        <is>
          <t>IEF(US4642874402) Cash Dividend USD 0.294485 per Share - US Tax</t>
        </is>
      </c>
      <c r="D133" t="inlineStr">
        <is>
          <t>USD</t>
        </is>
      </c>
      <c r="E133" t="n">
        <v>-0.74</v>
      </c>
      <c r="F133" t="n">
        <v>-0.74</v>
      </c>
      <c r="G133" t="n">
        <v>88.34999999999999</v>
      </c>
      <c r="H133" t="n">
        <v>-65</v>
      </c>
    </row>
    <row r="134">
      <c r="A134" t="inlineStr">
        <is>
          <t>FY2025-26</t>
        </is>
      </c>
      <c r="B134" s="2" t="n">
        <v>45936</v>
      </c>
      <c r="C134" t="inlineStr">
        <is>
          <t>IEF(US4642874402) Cash Dividend USD 0.294485 per Share - US Tax</t>
        </is>
      </c>
      <c r="D134" t="inlineStr">
        <is>
          <t>USD</t>
        </is>
      </c>
      <c r="E134" t="n">
        <v>0.74</v>
      </c>
      <c r="F134" t="n">
        <v>0.74</v>
      </c>
      <c r="G134" t="n">
        <v>88.34999999999999</v>
      </c>
      <c r="H134" t="n">
        <v>65</v>
      </c>
    </row>
    <row r="135">
      <c r="A135" t="inlineStr">
        <is>
          <t>FY2025-26</t>
        </is>
      </c>
      <c r="B135" s="2" t="n">
        <v>45936</v>
      </c>
      <c r="C135" t="inlineStr">
        <is>
          <t>TIP(US4642871762) Cash Dividend USD 0.198069 per Share - US Tax</t>
        </is>
      </c>
      <c r="D135" t="inlineStr">
        <is>
          <t>USD</t>
        </is>
      </c>
      <c r="E135" t="n">
        <v>-0.4</v>
      </c>
      <c r="F135" t="n">
        <v>-0.4</v>
      </c>
      <c r="G135" t="n">
        <v>88.34999999999999</v>
      </c>
      <c r="H135" t="n">
        <v>-35</v>
      </c>
    </row>
    <row r="136">
      <c r="A136" t="inlineStr">
        <is>
          <t>FY2025-26</t>
        </is>
      </c>
      <c r="B136" s="2" t="n">
        <v>45936</v>
      </c>
      <c r="C136" t="inlineStr">
        <is>
          <t>TIP(US4642871762) Cash Dividend USD 0.198069 per Share - US Tax</t>
        </is>
      </c>
      <c r="D136" t="inlineStr">
        <is>
          <t>USD</t>
        </is>
      </c>
      <c r="E136" t="n">
        <v>0.4</v>
      </c>
      <c r="F136" t="n">
        <v>0.4</v>
      </c>
      <c r="G136" t="n">
        <v>88.34999999999999</v>
      </c>
      <c r="H136" t="n">
        <v>35</v>
      </c>
    </row>
    <row r="137">
      <c r="A137" t="inlineStr">
        <is>
          <t>FY2025-26</t>
        </is>
      </c>
      <c r="B137" s="2" t="n">
        <v>45961</v>
      </c>
      <c r="C137" t="inlineStr">
        <is>
          <t>QQQ(US46090E1038) Cash Dividend USD 0.69395 per Share - US Tax</t>
        </is>
      </c>
      <c r="D137" t="inlineStr">
        <is>
          <t>USD</t>
        </is>
      </c>
      <c r="E137" t="n">
        <v>-0.35</v>
      </c>
      <c r="F137" t="n">
        <v>-0.35</v>
      </c>
      <c r="G137" t="n">
        <v>88.34999999999999</v>
      </c>
      <c r="H137" t="n">
        <v>-31</v>
      </c>
    </row>
    <row r="138">
      <c r="A138" t="inlineStr">
        <is>
          <t>FY2025-26</t>
        </is>
      </c>
      <c r="B138" s="2" t="n">
        <v>45967</v>
      </c>
      <c r="C138" t="inlineStr">
        <is>
          <t>IEF(US4642874402) Cash Dividend USD 0.303792 per Share - US Tax</t>
        </is>
      </c>
      <c r="D138" t="inlineStr">
        <is>
          <t>USD</t>
        </is>
      </c>
      <c r="E138" t="n">
        <v>-0.76</v>
      </c>
      <c r="F138" t="n">
        <v>-0.76</v>
      </c>
      <c r="G138" t="n">
        <v>88.2</v>
      </c>
      <c r="H138" t="n">
        <v>-67</v>
      </c>
    </row>
    <row r="139">
      <c r="A139" t="inlineStr">
        <is>
          <t>FY2025-26</t>
        </is>
      </c>
      <c r="B139" s="2" t="n">
        <v>45967</v>
      </c>
      <c r="C139" t="inlineStr">
        <is>
          <t>IEF(US4642874402) Cash Dividend USD 0.303792 per Share - US Tax</t>
        </is>
      </c>
      <c r="D139" t="inlineStr">
        <is>
          <t>USD</t>
        </is>
      </c>
      <c r="E139" t="n">
        <v>0.76</v>
      </c>
      <c r="F139" t="n">
        <v>0.76</v>
      </c>
      <c r="G139" t="n">
        <v>88.2</v>
      </c>
      <c r="H139" t="n">
        <v>67</v>
      </c>
    </row>
    <row r="140">
      <c r="A140" t="inlineStr">
        <is>
          <t>FY2025-26</t>
        </is>
      </c>
      <c r="B140" s="2" t="n">
        <v>45967</v>
      </c>
      <c r="C140" t="inlineStr">
        <is>
          <t>TIP(US4642871762) Cash Dividend USD 0.360933 per Share - US Tax</t>
        </is>
      </c>
      <c r="D140" t="inlineStr">
        <is>
          <t>USD</t>
        </is>
      </c>
      <c r="E140" t="n">
        <v>-0.72</v>
      </c>
      <c r="F140" t="n">
        <v>-0.72</v>
      </c>
      <c r="G140" t="n">
        <v>88.2</v>
      </c>
      <c r="H140" t="n">
        <v>-64</v>
      </c>
    </row>
    <row r="141">
      <c r="A141" t="inlineStr">
        <is>
          <t>FY2025-26</t>
        </is>
      </c>
      <c r="B141" s="2" t="n">
        <v>45967</v>
      </c>
      <c r="C141" t="inlineStr">
        <is>
          <t>TIP(US4642871762) Cash Dividend USD 0.360933 per Share - US Tax</t>
        </is>
      </c>
      <c r="D141" t="inlineStr">
        <is>
          <t>USD</t>
        </is>
      </c>
      <c r="E141" t="n">
        <v>0.72</v>
      </c>
      <c r="F141" t="n">
        <v>0.72</v>
      </c>
      <c r="G141" t="n">
        <v>88.2</v>
      </c>
      <c r="H141" t="n">
        <v>64</v>
      </c>
    </row>
    <row r="142">
      <c r="A142" t="inlineStr">
        <is>
          <t>FY2025-26</t>
        </is>
      </c>
      <c r="B142" s="2" t="n">
        <v>45974</v>
      </c>
      <c r="C142" t="inlineStr">
        <is>
          <t>AAPL(US0378331005) Cash Dividend USD 0.26 per Share - US Tax</t>
        </is>
      </c>
      <c r="D142" t="inlineStr">
        <is>
          <t>USD</t>
        </is>
      </c>
      <c r="E142" t="n">
        <v>-0.26</v>
      </c>
      <c r="F142" t="n">
        <v>-0.26</v>
      </c>
      <c r="G142" t="n">
        <v>88.2</v>
      </c>
      <c r="H142" t="n">
        <v>-23</v>
      </c>
    </row>
    <row r="143">
      <c r="A143" t="inlineStr">
        <is>
          <t>FY2025-26</t>
        </is>
      </c>
      <c r="B143" s="2" t="n">
        <v>45975</v>
      </c>
      <c r="C143" t="inlineStr">
        <is>
          <t>ACN(IE00B4BNMY34) Cash Dividend USD 1.63 per Share - IE Tax</t>
        </is>
      </c>
      <c r="D143" t="inlineStr">
        <is>
          <t>USD</t>
        </is>
      </c>
      <c r="E143" t="n">
        <v>-2.85</v>
      </c>
      <c r="F143" t="n">
        <v>-2.85</v>
      </c>
      <c r="G143" t="n">
        <v>88.2</v>
      </c>
      <c r="H143" t="n">
        <v>-251</v>
      </c>
    </row>
    <row r="144">
      <c r="A144" t="inlineStr">
        <is>
          <t>FY2025-26</t>
        </is>
      </c>
      <c r="B144" s="2" t="n">
        <v>45992</v>
      </c>
      <c r="C144" t="inlineStr">
        <is>
          <t>WFC(US9497461015) Cash Dividend USD 0.45 per Share - US Tax</t>
        </is>
      </c>
      <c r="D144" t="inlineStr">
        <is>
          <t>USD</t>
        </is>
      </c>
      <c r="E144" t="n">
        <v>-1.35</v>
      </c>
      <c r="F144" t="n">
        <v>-1.35</v>
      </c>
      <c r="G144" t="n">
        <v>88.95</v>
      </c>
      <c r="H144" t="n">
        <v>-120</v>
      </c>
    </row>
    <row r="145">
      <c r="A145" t="inlineStr">
        <is>
          <t>FY2025-26</t>
        </is>
      </c>
      <c r="B145" s="2" t="n">
        <v>45995</v>
      </c>
      <c r="C145" t="inlineStr">
        <is>
          <t>IEF(US4642874402) Cash Dividend USD 0.288439 per Share - US Tax</t>
        </is>
      </c>
      <c r="D145" t="inlineStr">
        <is>
          <t>USD</t>
        </is>
      </c>
      <c r="E145" t="n">
        <v>-0.72</v>
      </c>
      <c r="F145" t="n">
        <v>-0.72</v>
      </c>
      <c r="G145" t="n">
        <v>88.95</v>
      </c>
      <c r="H145" t="n">
        <v>-64</v>
      </c>
    </row>
    <row r="146">
      <c r="A146" t="inlineStr">
        <is>
          <t>FY2025-26</t>
        </is>
      </c>
      <c r="B146" s="2" t="n">
        <v>45995</v>
      </c>
      <c r="C146" t="inlineStr">
        <is>
          <t>IEF(US4642874402) Cash Dividend USD 0.288439 per Share - US Tax</t>
        </is>
      </c>
      <c r="D146" t="inlineStr">
        <is>
          <t>USD</t>
        </is>
      </c>
      <c r="E146" t="n">
        <v>0.72</v>
      </c>
      <c r="F146" t="n">
        <v>0.72</v>
      </c>
      <c r="G146" t="n">
        <v>88.95</v>
      </c>
      <c r="H146" t="n">
        <v>64</v>
      </c>
    </row>
    <row r="147">
      <c r="A147" t="inlineStr">
        <is>
          <t>FY2025-26</t>
        </is>
      </c>
      <c r="B147" s="2" t="n">
        <v>45995</v>
      </c>
      <c r="C147" t="inlineStr">
        <is>
          <t>TIP(US4642871762) Cash Dividend USD 0.322417 per Share - US Tax</t>
        </is>
      </c>
      <c r="D147" t="inlineStr">
        <is>
          <t>USD</t>
        </is>
      </c>
      <c r="E147" t="n">
        <v>-0.65</v>
      </c>
      <c r="F147" t="n">
        <v>-0.65</v>
      </c>
      <c r="G147" t="n">
        <v>88.95</v>
      </c>
      <c r="H147" t="n">
        <v>-58</v>
      </c>
    </row>
    <row r="148">
      <c r="A148" t="inlineStr">
        <is>
          <t>FY2025-26</t>
        </is>
      </c>
      <c r="B148" s="2" t="n">
        <v>45995</v>
      </c>
      <c r="C148" t="inlineStr">
        <is>
          <t>TIP(US4642871762) Cash Dividend USD 0.322417 per Share - US Tax</t>
        </is>
      </c>
      <c r="D148" t="inlineStr">
        <is>
          <t>USD</t>
        </is>
      </c>
      <c r="E148" t="n">
        <v>0.65</v>
      </c>
      <c r="F148" t="n">
        <v>0.65</v>
      </c>
      <c r="G148" t="n">
        <v>88.95</v>
      </c>
      <c r="H148" t="n">
        <v>58</v>
      </c>
    </row>
    <row r="149">
      <c r="A149" t="inlineStr">
        <is>
          <t>FY2025-26</t>
        </is>
      </c>
      <c r="B149" s="2" t="n">
        <v>46010</v>
      </c>
      <c r="C149" t="inlineStr">
        <is>
          <t>AAXJ(US4642881829) Cash Dividend USD 1.12455 per Share - US Tax</t>
        </is>
      </c>
      <c r="D149" t="inlineStr">
        <is>
          <t>USD</t>
        </is>
      </c>
      <c r="E149" t="n">
        <v>-1.69</v>
      </c>
      <c r="F149" t="n">
        <v>-1.69</v>
      </c>
      <c r="G149" t="n">
        <v>88.95</v>
      </c>
      <c r="H149" t="n">
        <v>-150</v>
      </c>
    </row>
    <row r="150">
      <c r="A150" t="inlineStr">
        <is>
          <t>FY2025-26</t>
        </is>
      </c>
      <c r="B150" s="2" t="n">
        <v>46010</v>
      </c>
      <c r="C150" t="inlineStr">
        <is>
          <t>AAXJ(US4642881829) Cash Dividend USD 1.12455 per Share - US Tax</t>
        </is>
      </c>
      <c r="D150" t="inlineStr">
        <is>
          <t>USD</t>
        </is>
      </c>
      <c r="E150" t="n">
        <v>1.69</v>
      </c>
      <c r="F150" t="n">
        <v>1.69</v>
      </c>
      <c r="G150" t="n">
        <v>88.95</v>
      </c>
      <c r="H150" t="n">
        <v>150</v>
      </c>
    </row>
    <row r="151">
      <c r="A151" t="inlineStr">
        <is>
          <t>FY2025-26</t>
        </is>
      </c>
      <c r="B151" s="2" t="n">
        <v>46010</v>
      </c>
      <c r="C151" t="inlineStr">
        <is>
          <t>AAXJ(US4642881829) Cash Dividend USD 1.12455 per Share - US Tax</t>
        </is>
      </c>
      <c r="D151" t="inlineStr">
        <is>
          <t>USD</t>
        </is>
      </c>
      <c r="E151" t="n">
        <v>-1.66</v>
      </c>
      <c r="F151" t="n">
        <v>-1.66</v>
      </c>
      <c r="G151" t="n">
        <v>88.95</v>
      </c>
      <c r="H151" t="n">
        <v>-148</v>
      </c>
    </row>
    <row r="152">
      <c r="A152" t="inlineStr">
        <is>
          <t>FY2025-26</t>
        </is>
      </c>
      <c r="B152" s="2" t="n">
        <v>46010</v>
      </c>
      <c r="C152" t="inlineStr">
        <is>
          <t>ICLN(US4642882249) Cash Dividend USD 0.128205 per Share - US Tax</t>
        </is>
      </c>
      <c r="D152" t="inlineStr">
        <is>
          <t>USD</t>
        </is>
      </c>
      <c r="E152" t="n">
        <v>-0.96</v>
      </c>
      <c r="F152" t="n">
        <v>-0.96</v>
      </c>
      <c r="G152" t="n">
        <v>88.95</v>
      </c>
      <c r="H152" t="n">
        <v>-85</v>
      </c>
    </row>
    <row r="153">
      <c r="A153" t="inlineStr">
        <is>
          <t>FY2025-26</t>
        </is>
      </c>
      <c r="B153" s="2" t="n">
        <v>46010</v>
      </c>
      <c r="C153" t="inlineStr">
        <is>
          <t>IWR(US4642874998) Cash Dividend USD 0.393709 per Share - US Tax</t>
        </is>
      </c>
      <c r="D153" t="inlineStr">
        <is>
          <t>USD</t>
        </is>
      </c>
      <c r="E153" t="n">
        <v>-0.79</v>
      </c>
      <c r="F153" t="n">
        <v>-0.79</v>
      </c>
      <c r="G153" t="n">
        <v>88.95</v>
      </c>
      <c r="H153" t="n">
        <v>-70</v>
      </c>
    </row>
    <row r="154">
      <c r="A154" t="inlineStr">
        <is>
          <t>FY2025-26</t>
        </is>
      </c>
      <c r="B154" s="2" t="n">
        <v>46010</v>
      </c>
      <c r="C154" t="inlineStr">
        <is>
          <t>IWR(US4642874998) Cash Dividend USD 0.393709 per Share - US Tax</t>
        </is>
      </c>
      <c r="D154" t="inlineStr">
        <is>
          <t>USD</t>
        </is>
      </c>
      <c r="E154" t="n">
        <v>0.79</v>
      </c>
      <c r="F154" t="n">
        <v>0.79</v>
      </c>
      <c r="G154" t="n">
        <v>88.95</v>
      </c>
      <c r="H154" t="n">
        <v>70</v>
      </c>
    </row>
    <row r="155">
      <c r="A155" t="inlineStr">
        <is>
          <t>FY2025-26</t>
        </is>
      </c>
      <c r="B155" s="2" t="n">
        <v>46010</v>
      </c>
      <c r="C155" t="inlineStr">
        <is>
          <t>IWR(US4642874998) Cash Dividend USD 0.393709 per Share - US Tax</t>
        </is>
      </c>
      <c r="D155" t="inlineStr">
        <is>
          <t>USD</t>
        </is>
      </c>
      <c r="E155" t="n">
        <v>-0.78</v>
      </c>
      <c r="F155" t="n">
        <v>-0.78</v>
      </c>
      <c r="G155" t="n">
        <v>88.95</v>
      </c>
      <c r="H155" t="n">
        <v>-69</v>
      </c>
    </row>
    <row r="156">
      <c r="A156" t="inlineStr">
        <is>
          <t>FY2025-26</t>
        </is>
      </c>
      <c r="B156" s="2" t="n">
        <v>46014</v>
      </c>
      <c r="C156" t="inlineStr">
        <is>
          <t>VT(US9220427424) Cash Dividend USD 1.1152 per Share - US Tax</t>
        </is>
      </c>
      <c r="D156" t="inlineStr">
        <is>
          <t>USD</t>
        </is>
      </c>
      <c r="E156" t="n">
        <v>-2.23</v>
      </c>
      <c r="F156" t="n">
        <v>-2.23</v>
      </c>
      <c r="G156" t="n">
        <v>88.95</v>
      </c>
      <c r="H156" t="n">
        <v>-198</v>
      </c>
    </row>
    <row r="157">
      <c r="A157" t="inlineStr">
        <is>
          <t>FY2025-26</t>
        </is>
      </c>
      <c r="B157" s="2" t="n">
        <v>46015</v>
      </c>
      <c r="C157" t="inlineStr">
        <is>
          <t>IEF(US4642874402) Cash Dividend USD 0.312713 per Share - US Tax</t>
        </is>
      </c>
      <c r="D157" t="inlineStr">
        <is>
          <t>USD</t>
        </is>
      </c>
      <c r="E157" t="n">
        <v>-0.78</v>
      </c>
      <c r="F157" t="n">
        <v>-0.78</v>
      </c>
      <c r="G157" t="n">
        <v>88.95</v>
      </c>
      <c r="H157" t="n">
        <v>-69</v>
      </c>
    </row>
    <row r="158">
      <c r="A158" t="inlineStr">
        <is>
          <t>FY2025-26</t>
        </is>
      </c>
      <c r="B158" s="2" t="n">
        <v>46015</v>
      </c>
      <c r="C158" t="inlineStr">
        <is>
          <t>IEF(US4642874402) Cash Dividend USD 0.312713 per Share - US Tax</t>
        </is>
      </c>
      <c r="D158" t="inlineStr">
        <is>
          <t>USD</t>
        </is>
      </c>
      <c r="E158" t="n">
        <v>0.78</v>
      </c>
      <c r="F158" t="n">
        <v>0.78</v>
      </c>
      <c r="G158" t="n">
        <v>88.95</v>
      </c>
      <c r="H158" t="n">
        <v>69</v>
      </c>
    </row>
    <row r="159">
      <c r="A159" t="inlineStr">
        <is>
          <t>FY2025-26</t>
        </is>
      </c>
      <c r="B159" s="2" t="n">
        <v>46015</v>
      </c>
      <c r="C159" t="inlineStr">
        <is>
          <t>TIP(US4642871762) Cash Dividend USD 0.341961 per Share - US Tax</t>
        </is>
      </c>
      <c r="D159" t="inlineStr">
        <is>
          <t>USD</t>
        </is>
      </c>
      <c r="E159" t="n">
        <v>-0.6899999999999999</v>
      </c>
      <c r="F159" t="n">
        <v>-0.6899999999999999</v>
      </c>
      <c r="G159" t="n">
        <v>88.95</v>
      </c>
      <c r="H159" t="n">
        <v>-61</v>
      </c>
    </row>
    <row r="160">
      <c r="A160" t="inlineStr">
        <is>
          <t>FY2025-26</t>
        </is>
      </c>
      <c r="B160" s="2" t="n">
        <v>46015</v>
      </c>
      <c r="C160" t="inlineStr">
        <is>
          <t>TIP(US4642871762) Cash Dividend USD 0.341961 per Share - US Tax</t>
        </is>
      </c>
      <c r="D160" t="inlineStr">
        <is>
          <t>USD</t>
        </is>
      </c>
      <c r="E160" t="n">
        <v>0.6899999999999999</v>
      </c>
      <c r="F160" t="n">
        <v>0.6899999999999999</v>
      </c>
      <c r="G160" t="n">
        <v>88.95</v>
      </c>
      <c r="H160" t="n">
        <v>61</v>
      </c>
    </row>
    <row r="161">
      <c r="A161" t="inlineStr">
        <is>
          <t>FY2025-26</t>
        </is>
      </c>
      <c r="B161" s="2" t="n">
        <v>46015</v>
      </c>
      <c r="C161" t="inlineStr">
        <is>
          <t>VTV(US9229087443) Cash Dividend USD 0.9862 per Share - US Tax</t>
        </is>
      </c>
      <c r="D161" t="inlineStr">
        <is>
          <t>USD</t>
        </is>
      </c>
      <c r="E161" t="n">
        <v>-1.48</v>
      </c>
      <c r="F161" t="n">
        <v>-1.48</v>
      </c>
      <c r="G161" t="n">
        <v>88.95</v>
      </c>
      <c r="H161" t="n">
        <v>-132</v>
      </c>
    </row>
    <row r="162">
      <c r="A162" t="inlineStr">
        <is>
          <t>FY2025-26</t>
        </is>
      </c>
      <c r="B162" s="2" t="n">
        <v>46022</v>
      </c>
      <c r="C162" t="inlineStr">
        <is>
          <t>QQQ(US46090E1038) Cash Dividend USD 0.79408 per Share - US Tax</t>
        </is>
      </c>
      <c r="D162" t="inlineStr">
        <is>
          <t>USD</t>
        </is>
      </c>
      <c r="E162" t="n">
        <v>-0.4</v>
      </c>
      <c r="F162" t="n">
        <v>-0.4</v>
      </c>
      <c r="G162" t="n">
        <v>88.95</v>
      </c>
      <c r="H162" t="n">
        <v>-36</v>
      </c>
    </row>
    <row r="163">
      <c r="A163" t="inlineStr">
        <is>
          <t>FY2025-26</t>
        </is>
      </c>
      <c r="B163" s="2" t="n">
        <v>46029</v>
      </c>
      <c r="C163" t="inlineStr">
        <is>
          <t>BOTZ(US37954Y7159) Cash Dividend USD 0.157961 per Share - US Tax</t>
        </is>
      </c>
      <c r="D163" t="inlineStr">
        <is>
          <t>USD</t>
        </is>
      </c>
      <c r="E163" t="n">
        <v>-0.75</v>
      </c>
      <c r="F163" t="n">
        <v>-0.75</v>
      </c>
      <c r="G163" t="n">
        <v>89.47</v>
      </c>
      <c r="H163" t="n">
        <v>-67</v>
      </c>
    </row>
    <row r="164">
      <c r="A164" t="inlineStr">
        <is>
          <t>FY2025-26</t>
        </is>
      </c>
      <c r="B164" s="2" t="n">
        <v>46029</v>
      </c>
      <c r="C164" t="inlineStr">
        <is>
          <t>COPX(US37954Y8306) Cash Dividend USD 1.672477 per Share - US Tax</t>
        </is>
      </c>
      <c r="D164" t="inlineStr">
        <is>
          <t>USD</t>
        </is>
      </c>
      <c r="E164" t="n">
        <v>-8.779999999999999</v>
      </c>
      <c r="F164" t="n">
        <v>-8.779999999999999</v>
      </c>
      <c r="G164" t="n">
        <v>89.47</v>
      </c>
      <c r="H164" t="n">
        <v>-786</v>
      </c>
    </row>
    <row r="165">
      <c r="A165" t="inlineStr">
        <is>
          <t>FY2025-26</t>
        </is>
      </c>
      <c r="B165" s="2" t="n">
        <v>46029</v>
      </c>
      <c r="C165" t="inlineStr">
        <is>
          <t>COPX(US37954Y8306) Cash Dividend USD 1.672477 per Share - US Tax</t>
        </is>
      </c>
      <c r="D165" t="inlineStr">
        <is>
          <t>USD</t>
        </is>
      </c>
      <c r="E165" t="n">
        <v>8.779999999999999</v>
      </c>
      <c r="F165" t="n">
        <v>8.779999999999999</v>
      </c>
      <c r="G165" t="n">
        <v>89.47</v>
      </c>
      <c r="H165" t="n">
        <v>786</v>
      </c>
    </row>
    <row r="166">
      <c r="A166" t="inlineStr">
        <is>
          <t>FY2025-26</t>
        </is>
      </c>
      <c r="B166" s="2" t="n">
        <v>46029</v>
      </c>
      <c r="C166" t="inlineStr">
        <is>
          <t>COPX(US37954Y8306) Cash Dividend USD 1.672477 per Share - US Tax</t>
        </is>
      </c>
      <c r="D166" t="inlineStr">
        <is>
          <t>USD</t>
        </is>
      </c>
      <c r="E166" t="n">
        <v>-8.77</v>
      </c>
      <c r="F166" t="n">
        <v>-8.77</v>
      </c>
      <c r="G166" t="n">
        <v>89.47</v>
      </c>
      <c r="H166" t="n">
        <v>-785</v>
      </c>
    </row>
    <row r="167">
      <c r="A167" t="inlineStr">
        <is>
          <t>FY2025-26</t>
        </is>
      </c>
      <c r="B167" s="2" t="n">
        <v>46029</v>
      </c>
      <c r="C167" t="inlineStr">
        <is>
          <t>URA(US37954Y8710) Cash Dividend USD 2.084331 per Share - US Tax</t>
        </is>
      </c>
      <c r="D167" t="inlineStr">
        <is>
          <t>USD</t>
        </is>
      </c>
      <c r="E167" t="n">
        <v>-26.06</v>
      </c>
      <c r="F167" t="n">
        <v>-26.06</v>
      </c>
      <c r="G167" t="n">
        <v>89.47</v>
      </c>
      <c r="H167" t="n">
        <v>-2332</v>
      </c>
    </row>
    <row r="168">
      <c r="A168" t="inlineStr">
        <is>
          <t>FY2025-26</t>
        </is>
      </c>
      <c r="B168" s="2" t="n">
        <v>46029</v>
      </c>
      <c r="C168" t="inlineStr">
        <is>
          <t>URA(US37954Y8710) Cash Dividend USD 2.084331 per Share - US Tax</t>
        </is>
      </c>
      <c r="D168" t="inlineStr">
        <is>
          <t>USD</t>
        </is>
      </c>
      <c r="E168" t="n">
        <v>26.06</v>
      </c>
      <c r="F168" t="n">
        <v>26.06</v>
      </c>
      <c r="G168" t="n">
        <v>89.47</v>
      </c>
      <c r="H168" t="n">
        <v>2332</v>
      </c>
    </row>
    <row r="169">
      <c r="A169" t="inlineStr">
        <is>
          <t>FY2025-26</t>
        </is>
      </c>
      <c r="B169" s="2" t="n">
        <v>46029</v>
      </c>
      <c r="C169" t="inlineStr">
        <is>
          <t>URA(US37954Y8710) Cash Dividend USD 2.084331 per Share - US Tax</t>
        </is>
      </c>
      <c r="D169" t="inlineStr">
        <is>
          <t>USD</t>
        </is>
      </c>
      <c r="E169" t="n">
        <v>-26.05</v>
      </c>
      <c r="F169" t="n">
        <v>-26.05</v>
      </c>
      <c r="G169" t="n">
        <v>89.47</v>
      </c>
      <c r="H169" t="n">
        <v>-2331</v>
      </c>
    </row>
    <row r="170">
      <c r="A170" t="inlineStr">
        <is>
          <t>FY2025-26</t>
        </is>
      </c>
      <c r="B170" s="2" t="n">
        <v>46058</v>
      </c>
      <c r="C170" t="inlineStr">
        <is>
          <t>IEF(US4642874402) Cash Dividend USD 0.311986 per Share - US Tax</t>
        </is>
      </c>
      <c r="D170" t="inlineStr">
        <is>
          <t>USD</t>
        </is>
      </c>
      <c r="E170" t="n">
        <v>-0.78</v>
      </c>
      <c r="F170" t="n">
        <v>-0.78</v>
      </c>
      <c r="G170" t="n">
        <v>91.34999999999999</v>
      </c>
      <c r="H170" t="n">
        <v>-71</v>
      </c>
    </row>
    <row r="171">
      <c r="A171" t="inlineStr">
        <is>
          <t>FY2025-26</t>
        </is>
      </c>
      <c r="B171" s="2" t="n">
        <v>46065</v>
      </c>
      <c r="C171" t="inlineStr">
        <is>
          <t>AAPL(US0378331005) Cash Dividend USD 0.26 per Share - US Tax</t>
        </is>
      </c>
      <c r="D171" t="inlineStr">
        <is>
          <t>USD</t>
        </is>
      </c>
      <c r="E171" t="n">
        <v>-0.26</v>
      </c>
      <c r="F171" t="n">
        <v>-0.26</v>
      </c>
      <c r="G171" t="n">
        <v>91.34999999999999</v>
      </c>
      <c r="H171" t="n">
        <v>-24</v>
      </c>
    </row>
    <row r="172">
      <c r="A172" t="inlineStr">
        <is>
          <t>FY2025-26</t>
        </is>
      </c>
      <c r="B172" s="2" t="n">
        <v>46066</v>
      </c>
      <c r="C172" t="inlineStr">
        <is>
          <t>ACN(IE00B4BNMY34) Cash Dividend USD 1.63 per Share - IE Tax</t>
        </is>
      </c>
      <c r="D172" t="inlineStr">
        <is>
          <t>USD</t>
        </is>
      </c>
      <c r="E172" t="n">
        <v>-2.85</v>
      </c>
      <c r="F172" t="n">
        <v>-2.85</v>
      </c>
      <c r="G172" t="n">
        <v>91.34999999999999</v>
      </c>
      <c r="H172" t="n">
        <v>-260</v>
      </c>
    </row>
    <row r="173">
      <c r="A173" t="inlineStr">
        <is>
          <t>FY2025-26</t>
        </is>
      </c>
      <c r="B173" s="2" t="n">
        <v>46082</v>
      </c>
      <c r="C173" t="inlineStr">
        <is>
          <t>WFC(US9497461015) Cash Dividend USD 0.45 per Share - US Tax</t>
        </is>
      </c>
      <c r="D173" t="inlineStr">
        <is>
          <t>USD</t>
        </is>
      </c>
      <c r="E173" t="n">
        <v>-1.35</v>
      </c>
      <c r="F173" t="n">
        <v>-1.35</v>
      </c>
      <c r="G173" t="n">
        <v>90.56</v>
      </c>
      <c r="H173" t="n">
        <v>-122</v>
      </c>
    </row>
    <row r="174">
      <c r="A174" t="inlineStr">
        <is>
          <t>FY2025-26</t>
        </is>
      </c>
      <c r="B174" s="2" t="n">
        <v>46083</v>
      </c>
      <c r="C174" t="inlineStr">
        <is>
          <t>V(US92826C8394) Cash Dividend USD 0.67 per Share - US Tax</t>
        </is>
      </c>
      <c r="D174" t="inlineStr">
        <is>
          <t>USD</t>
        </is>
      </c>
      <c r="E174" t="n">
        <v>-0.67</v>
      </c>
      <c r="F174" t="n">
        <v>-0.67</v>
      </c>
      <c r="G174" t="n">
        <v>90.56</v>
      </c>
      <c r="H174" t="n">
        <v>-61</v>
      </c>
    </row>
    <row r="175">
      <c r="A175" t="inlineStr">
        <is>
          <t>FY2025-26</t>
        </is>
      </c>
      <c r="B175" s="2" t="n">
        <v>46086</v>
      </c>
      <c r="C175" t="inlineStr">
        <is>
          <t>IEF(US4642874402) Cash Dividend USD 0.28276 per Share - US Tax</t>
        </is>
      </c>
      <c r="D175" t="inlineStr">
        <is>
          <t>USD</t>
        </is>
      </c>
      <c r="E175" t="n">
        <v>-0.71</v>
      </c>
      <c r="F175" t="n">
        <v>-0.71</v>
      </c>
      <c r="G175" t="n">
        <v>90.56</v>
      </c>
      <c r="H175" t="n">
        <v>-64</v>
      </c>
    </row>
    <row r="176">
      <c r="A176" t="inlineStr">
        <is>
          <t>FY2025-26</t>
        </is>
      </c>
      <c r="B176" s="2" t="n">
        <v>46091</v>
      </c>
      <c r="C176" t="inlineStr">
        <is>
          <t>AEP(US0255371017) Cash Dividend USD 0.95 per Share - US Tax</t>
        </is>
      </c>
      <c r="D176" t="inlineStr">
        <is>
          <t>USD</t>
        </is>
      </c>
      <c r="E176" t="n">
        <v>-4.28</v>
      </c>
      <c r="F176" t="n">
        <v>-4.28</v>
      </c>
      <c r="G176" t="n">
        <v>90.56</v>
      </c>
      <c r="H176" t="n">
        <v>-388</v>
      </c>
    </row>
    <row r="177">
      <c r="A177" t="inlineStr">
        <is>
          <t>FY2025-26</t>
        </is>
      </c>
      <c r="B177" s="2" t="n">
        <v>46101</v>
      </c>
      <c r="C177" t="inlineStr">
        <is>
          <t>IWR(US4642874998) Cash Dividend USD 0.261651 per Share - US Tax</t>
        </is>
      </c>
      <c r="D177" t="inlineStr">
        <is>
          <t>USD</t>
        </is>
      </c>
      <c r="E177" t="n">
        <v>-0.52</v>
      </c>
      <c r="F177" t="n">
        <v>-0.52</v>
      </c>
      <c r="G177" t="n">
        <v>90.56</v>
      </c>
      <c r="H177" t="n">
        <v>-47</v>
      </c>
    </row>
    <row r="178">
      <c r="A178" t="inlineStr">
        <is>
          <t>FY2025-26</t>
        </is>
      </c>
      <c r="B178" s="2" t="n">
        <v>46105</v>
      </c>
      <c r="C178" t="inlineStr">
        <is>
          <t>VT(US9220427424) Cash Dividend USD 0.3272 per Share - US Tax</t>
        </is>
      </c>
      <c r="D178" t="inlineStr">
        <is>
          <t>USD</t>
        </is>
      </c>
      <c r="E178" t="n">
        <v>-0.66</v>
      </c>
      <c r="F178" t="n">
        <v>-0.66</v>
      </c>
      <c r="G178" t="n">
        <v>90.56</v>
      </c>
      <c r="H178" t="n">
        <v>-60</v>
      </c>
    </row>
    <row r="179">
      <c r="A179" t="inlineStr">
        <is>
          <t>FY2025-26</t>
        </is>
      </c>
      <c r="B179" s="2" t="n">
        <v>46108</v>
      </c>
      <c r="C179" t="inlineStr">
        <is>
          <t>QQQ(US46090E1038) Cash Dividend USD 0.73282 per Share - US Tax</t>
        </is>
      </c>
      <c r="D179" t="inlineStr">
        <is>
          <t>USD</t>
        </is>
      </c>
      <c r="E179" t="n">
        <v>-0.37</v>
      </c>
      <c r="F179" t="n">
        <v>-0.37</v>
      </c>
      <c r="G179" t="n">
        <v>90.56</v>
      </c>
      <c r="H179" t="n">
        <v>-34</v>
      </c>
    </row>
    <row r="180">
      <c r="A180" t="inlineStr">
        <is>
          <t>FY2025-26</t>
        </is>
      </c>
      <c r="B180" s="2" t="n">
        <v>46112</v>
      </c>
      <c r="C180" t="inlineStr">
        <is>
          <t>VTV(US9229087443) Cash Dividend USD 1.0792 per Share - US Tax</t>
        </is>
      </c>
      <c r="D180" t="inlineStr">
        <is>
          <t>USD</t>
        </is>
      </c>
      <c r="E180" t="n">
        <v>-1.62</v>
      </c>
      <c r="F180" t="n">
        <v>-1.62</v>
      </c>
      <c r="G180" t="n">
        <v>90.56</v>
      </c>
      <c r="H180" t="n">
        <v>-147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GOOG</t>
        </is>
      </c>
      <c r="B5" t="inlineStr">
        <is>
          <t>USD</t>
        </is>
      </c>
      <c r="C5" t="n">
        <v>79</v>
      </c>
      <c r="D5" s="2" t="n">
        <v>45657</v>
      </c>
      <c r="E5" s="2" t="n">
        <v>45754</v>
      </c>
      <c r="F5">
        <f>E5-D5</f>
        <v/>
      </c>
      <c r="G5">
        <f>IF(F5&gt;730,"LTCG","STCG")</f>
        <v/>
      </c>
      <c r="H5" s="3" t="n">
        <v>11598.78</v>
      </c>
      <c r="I5" s="3" t="n">
        <v>7508.59</v>
      </c>
      <c r="J5" s="3" t="n">
        <v>1.34</v>
      </c>
      <c r="K5" s="3" t="n">
        <v>1</v>
      </c>
      <c r="L5">
        <f>H5*K5</f>
        <v/>
      </c>
      <c r="M5">
        <f>I5*K5</f>
        <v/>
      </c>
      <c r="N5" s="3" t="n">
        <v>85.09999999999999</v>
      </c>
      <c r="O5" s="3" t="n">
        <v>84.15000000000001</v>
      </c>
      <c r="P5" s="3" t="n">
        <v>85.09999999999999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GOOG</t>
        </is>
      </c>
      <c r="B6" t="inlineStr">
        <is>
          <t>USD</t>
        </is>
      </c>
      <c r="C6" t="n">
        <v>28</v>
      </c>
      <c r="D6" s="2" t="n">
        <v>45657</v>
      </c>
      <c r="E6" s="2" t="n">
        <v>45805</v>
      </c>
      <c r="F6">
        <f>E6-D6</f>
        <v/>
      </c>
      <c r="G6">
        <f>IF(F6&gt;730,"LTCG","STCG")</f>
        <v/>
      </c>
      <c r="H6" s="3" t="n">
        <v>4917.7</v>
      </c>
      <c r="I6" s="3" t="n">
        <v>3706.85</v>
      </c>
      <c r="J6" s="3" t="n">
        <v>0.29</v>
      </c>
      <c r="K6" s="3" t="n">
        <v>1</v>
      </c>
      <c r="L6">
        <f>H6*K6</f>
        <v/>
      </c>
      <c r="M6">
        <f>I6*K6</f>
        <v/>
      </c>
      <c r="N6" s="3" t="n">
        <v>84.25</v>
      </c>
      <c r="O6" s="3" t="n">
        <v>84.15000000000001</v>
      </c>
      <c r="P6" s="3" t="n">
        <v>84.25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GOOG</t>
        </is>
      </c>
      <c r="B7" t="inlineStr">
        <is>
          <t>USD</t>
        </is>
      </c>
      <c r="C7" t="n">
        <v>72</v>
      </c>
      <c r="D7" s="2" t="n">
        <v>45747</v>
      </c>
      <c r="E7" s="2" t="n">
        <v>45805</v>
      </c>
      <c r="F7">
        <f>E7-D7</f>
        <v/>
      </c>
      <c r="G7">
        <f>IF(F7&gt;730,"LTCG","STCG")</f>
        <v/>
      </c>
      <c r="H7" s="3" t="n">
        <v>12645.51</v>
      </c>
      <c r="I7" s="3" t="n">
        <v>9531.91</v>
      </c>
      <c r="J7" s="3" t="n">
        <v>0.74</v>
      </c>
      <c r="K7" s="3" t="n">
        <v>1</v>
      </c>
      <c r="L7">
        <f>H7*K7</f>
        <v/>
      </c>
      <c r="M7">
        <f>I7*K7</f>
        <v/>
      </c>
      <c r="N7" s="3" t="n">
        <v>84.25</v>
      </c>
      <c r="O7" s="3" t="n">
        <v>86.95</v>
      </c>
      <c r="P7" s="3" t="n">
        <v>84.25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AMZN</t>
        </is>
      </c>
      <c r="B8" t="inlineStr">
        <is>
          <t>USD</t>
        </is>
      </c>
      <c r="C8" t="n">
        <v>3.57</v>
      </c>
      <c r="D8" s="2" t="n">
        <v>45685</v>
      </c>
      <c r="E8" s="2" t="n">
        <v>45863</v>
      </c>
      <c r="F8">
        <f>E8-D8</f>
        <v/>
      </c>
      <c r="G8">
        <f>IF(F8&gt;730,"LTCG","STCG")</f>
        <v/>
      </c>
      <c r="H8" s="3" t="n">
        <v>827.02</v>
      </c>
      <c r="I8" s="3" t="n">
        <v>679.52</v>
      </c>
      <c r="J8" s="3" t="n">
        <v>0.26</v>
      </c>
      <c r="K8" s="3" t="n">
        <v>1</v>
      </c>
      <c r="L8">
        <f>H8*K8</f>
        <v/>
      </c>
      <c r="M8">
        <f>I8*K8</f>
        <v/>
      </c>
      <c r="N8" s="3" t="n">
        <v>85.09999999999999</v>
      </c>
      <c r="O8" s="3" t="n">
        <v>85.2</v>
      </c>
      <c r="P8" s="3" t="n">
        <v>85.09999999999999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AMZN</t>
        </is>
      </c>
      <c r="B9" t="inlineStr">
        <is>
          <t>USD</t>
        </is>
      </c>
      <c r="C9" t="n">
        <v>10</v>
      </c>
      <c r="D9" s="2" t="n">
        <v>45754</v>
      </c>
      <c r="E9" s="2" t="n">
        <v>45863</v>
      </c>
      <c r="F9">
        <f>E9-D9</f>
        <v/>
      </c>
      <c r="G9">
        <f>IF(F9&gt;730,"LTCG","STCG")</f>
        <v/>
      </c>
      <c r="H9" s="3" t="n">
        <v>2316.6</v>
      </c>
      <c r="I9" s="3" t="n">
        <v>1903.42</v>
      </c>
      <c r="J9" s="3" t="n">
        <v>0.74</v>
      </c>
      <c r="K9" s="3" t="n">
        <v>1</v>
      </c>
      <c r="L9">
        <f>H9*K9</f>
        <v/>
      </c>
      <c r="M9">
        <f>I9*K9</f>
        <v/>
      </c>
      <c r="N9" s="3" t="n">
        <v>85.09999999999999</v>
      </c>
      <c r="O9" s="3" t="n">
        <v>85.09999999999999</v>
      </c>
      <c r="P9" s="3" t="n">
        <v>85.09999999999999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BAC</t>
        </is>
      </c>
      <c r="B10" t="inlineStr">
        <is>
          <t>USD</t>
        </is>
      </c>
      <c r="C10" t="n">
        <v>17.87</v>
      </c>
      <c r="D10" s="2" t="n">
        <v>45685</v>
      </c>
      <c r="E10" s="2" t="n">
        <v>45863</v>
      </c>
      <c r="F10">
        <f>E10-D10</f>
        <v/>
      </c>
      <c r="G10">
        <f>IF(F10&gt;730,"LTCG","STCG")</f>
        <v/>
      </c>
      <c r="H10" s="3" t="n">
        <v>857.85</v>
      </c>
      <c r="I10" s="3" t="n">
        <v>698.3</v>
      </c>
      <c r="J10" s="3" t="n">
        <v>0.35</v>
      </c>
      <c r="K10" s="3" t="n">
        <v>1</v>
      </c>
      <c r="L10">
        <f>H10*K10</f>
        <v/>
      </c>
      <c r="M10">
        <f>I10*K10</f>
        <v/>
      </c>
      <c r="N10" s="3" t="n">
        <v>85.09999999999999</v>
      </c>
      <c r="O10" s="3" t="n">
        <v>85.2</v>
      </c>
      <c r="P10" s="3" t="n">
        <v>85.09999999999999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BAC</t>
        </is>
      </c>
      <c r="B11" t="inlineStr">
        <is>
          <t>USD</t>
        </is>
      </c>
      <c r="C11" t="n">
        <v>34</v>
      </c>
      <c r="D11" s="2" t="n">
        <v>45754</v>
      </c>
      <c r="E11" s="2" t="n">
        <v>45863</v>
      </c>
      <c r="F11">
        <f>E11-D11</f>
        <v/>
      </c>
      <c r="G11">
        <f>IF(F11&gt;730,"LTCG","STCG")</f>
        <v/>
      </c>
      <c r="H11" s="3" t="n">
        <v>1632.17</v>
      </c>
      <c r="I11" s="3" t="n">
        <v>1328.61</v>
      </c>
      <c r="J11" s="3" t="n">
        <v>0.66</v>
      </c>
      <c r="K11" s="3" t="n">
        <v>1</v>
      </c>
      <c r="L11">
        <f>H11*K11</f>
        <v/>
      </c>
      <c r="M11">
        <f>I11*K11</f>
        <v/>
      </c>
      <c r="N11" s="3" t="n">
        <v>85.09999999999999</v>
      </c>
      <c r="O11" s="3" t="n">
        <v>85.09999999999999</v>
      </c>
      <c r="P11" s="3" t="n">
        <v>85.09999999999999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BLBD</t>
        </is>
      </c>
      <c r="B12" t="inlineStr">
        <is>
          <t>USD</t>
        </is>
      </c>
      <c r="C12" t="n">
        <v>21</v>
      </c>
      <c r="D12" s="2" t="n">
        <v>45685</v>
      </c>
      <c r="E12" s="2" t="n">
        <v>45863</v>
      </c>
      <c r="F12">
        <f>E12-D12</f>
        <v/>
      </c>
      <c r="G12">
        <f>IF(F12&gt;730,"LTCG","STCG")</f>
        <v/>
      </c>
      <c r="H12" s="3" t="n">
        <v>962.75</v>
      </c>
      <c r="I12" s="3" t="n">
        <v>733.48</v>
      </c>
      <c r="J12" s="3" t="n">
        <v>0.5</v>
      </c>
      <c r="K12" s="3" t="n">
        <v>1</v>
      </c>
      <c r="L12">
        <f>H12*K12</f>
        <v/>
      </c>
      <c r="M12">
        <f>I12*K12</f>
        <v/>
      </c>
      <c r="N12" s="3" t="n">
        <v>85.09999999999999</v>
      </c>
      <c r="O12" s="3" t="n">
        <v>85.2</v>
      </c>
      <c r="P12" s="3" t="n">
        <v>85.09999999999999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BLBD</t>
        </is>
      </c>
      <c r="B13" t="inlineStr">
        <is>
          <t>USD</t>
        </is>
      </c>
      <c r="C13" t="n">
        <v>21</v>
      </c>
      <c r="D13" s="2" t="n">
        <v>45754</v>
      </c>
      <c r="E13" s="2" t="n">
        <v>45863</v>
      </c>
      <c r="F13">
        <f>E13-D13</f>
        <v/>
      </c>
      <c r="G13">
        <f>IF(F13&gt;730,"LTCG","STCG")</f>
        <v/>
      </c>
      <c r="H13" s="3" t="n">
        <v>962.75</v>
      </c>
      <c r="I13" s="3" t="n">
        <v>733.48</v>
      </c>
      <c r="J13" s="3" t="n">
        <v>0.5</v>
      </c>
      <c r="K13" s="3" t="n">
        <v>1</v>
      </c>
      <c r="L13">
        <f>H13*K13</f>
        <v/>
      </c>
      <c r="M13">
        <f>I13*K13</f>
        <v/>
      </c>
      <c r="N13" s="3" t="n">
        <v>85.09999999999999</v>
      </c>
      <c r="O13" s="3" t="n">
        <v>85.09999999999999</v>
      </c>
      <c r="P13" s="3" t="n">
        <v>85.09999999999999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BX</t>
        </is>
      </c>
      <c r="B14" t="inlineStr">
        <is>
          <t>USD</t>
        </is>
      </c>
      <c r="C14" t="n">
        <v>6.92</v>
      </c>
      <c r="D14" s="2" t="n">
        <v>45685</v>
      </c>
      <c r="E14" s="2" t="n">
        <v>45863</v>
      </c>
      <c r="F14">
        <f>E14-D14</f>
        <v/>
      </c>
      <c r="G14">
        <f>IF(F14&gt;730,"LTCG","STCG")</f>
        <v/>
      </c>
      <c r="H14" s="3" t="n">
        <v>1236.01</v>
      </c>
      <c r="I14" s="3" t="n">
        <v>990.85</v>
      </c>
      <c r="J14" s="3" t="n">
        <v>0.35</v>
      </c>
      <c r="K14" s="3" t="n">
        <v>1</v>
      </c>
      <c r="L14">
        <f>H14*K14</f>
        <v/>
      </c>
      <c r="M14">
        <f>I14*K14</f>
        <v/>
      </c>
      <c r="N14" s="3" t="n">
        <v>85.09999999999999</v>
      </c>
      <c r="O14" s="3" t="n">
        <v>85.2</v>
      </c>
      <c r="P14" s="3" t="n">
        <v>85.09999999999999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/>
    </row>
    <row r="15">
      <c r="A15" t="inlineStr">
        <is>
          <t>BX</t>
        </is>
      </c>
      <c r="B15" t="inlineStr">
        <is>
          <t>USD</t>
        </is>
      </c>
      <c r="C15" t="n">
        <v>13</v>
      </c>
      <c r="D15" s="2" t="n">
        <v>45754</v>
      </c>
      <c r="E15" s="2" t="n">
        <v>45863</v>
      </c>
      <c r="F15">
        <f>E15-D15</f>
        <v/>
      </c>
      <c r="G15">
        <f>IF(F15&gt;730,"LTCG","STCG")</f>
        <v/>
      </c>
      <c r="H15" s="3" t="n">
        <v>2321.99</v>
      </c>
      <c r="I15" s="3" t="n">
        <v>1861.42</v>
      </c>
      <c r="J15" s="3" t="n">
        <v>0.66</v>
      </c>
      <c r="K15" s="3" t="n">
        <v>1</v>
      </c>
      <c r="L15">
        <f>H15*K15</f>
        <v/>
      </c>
      <c r="M15">
        <f>I15*K15</f>
        <v/>
      </c>
      <c r="N15" s="3" t="n">
        <v>85.09999999999999</v>
      </c>
      <c r="O15" s="3" t="n">
        <v>85.09999999999999</v>
      </c>
      <c r="P15" s="3" t="n">
        <v>85.09999999999999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CAT</t>
        </is>
      </c>
      <c r="B16" t="inlineStr">
        <is>
          <t>USD</t>
        </is>
      </c>
      <c r="C16" t="n">
        <v>2.15</v>
      </c>
      <c r="D16" s="2" t="n">
        <v>45685</v>
      </c>
      <c r="E16" s="2" t="n">
        <v>45863</v>
      </c>
      <c r="F16">
        <f>E16-D16</f>
        <v/>
      </c>
      <c r="G16">
        <f>IF(F16&gt;730,"LTCG","STCG")</f>
        <v/>
      </c>
      <c r="H16" s="3" t="n">
        <v>924.4400000000001</v>
      </c>
      <c r="I16" s="3" t="n">
        <v>679.0700000000001</v>
      </c>
      <c r="J16" s="3" t="n">
        <v>0.35</v>
      </c>
      <c r="K16" s="3" t="n">
        <v>1</v>
      </c>
      <c r="L16">
        <f>H16*K16</f>
        <v/>
      </c>
      <c r="M16">
        <f>I16*K16</f>
        <v/>
      </c>
      <c r="N16" s="3" t="n">
        <v>85.09999999999999</v>
      </c>
      <c r="O16" s="3" t="n">
        <v>85.2</v>
      </c>
      <c r="P16" s="3" t="n">
        <v>85.09999999999999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/>
    </row>
    <row r="17">
      <c r="A17" t="inlineStr">
        <is>
          <t>CAT</t>
        </is>
      </c>
      <c r="B17" t="inlineStr">
        <is>
          <t>USD</t>
        </is>
      </c>
      <c r="C17" t="n">
        <v>4</v>
      </c>
      <c r="D17" s="2" t="n">
        <v>45754</v>
      </c>
      <c r="E17" s="2" t="n">
        <v>45863</v>
      </c>
      <c r="F17">
        <f>E17-D17</f>
        <v/>
      </c>
      <c r="G17">
        <f>IF(F17&gt;730,"LTCG","STCG")</f>
        <v/>
      </c>
      <c r="H17" s="3" t="n">
        <v>1719.88</v>
      </c>
      <c r="I17" s="3" t="n">
        <v>1263.38</v>
      </c>
      <c r="J17" s="3" t="n">
        <v>0.65</v>
      </c>
      <c r="K17" s="3" t="n">
        <v>1</v>
      </c>
      <c r="L17">
        <f>H17*K17</f>
        <v/>
      </c>
      <c r="M17">
        <f>I17*K17</f>
        <v/>
      </c>
      <c r="N17" s="3" t="n">
        <v>85.09999999999999</v>
      </c>
      <c r="O17" s="3" t="n">
        <v>85.09999999999999</v>
      </c>
      <c r="P17" s="3" t="n">
        <v>85.09999999999999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>
      <c r="A18" t="inlineStr">
        <is>
          <t>GD</t>
        </is>
      </c>
      <c r="B18" t="inlineStr">
        <is>
          <t>USD</t>
        </is>
      </c>
      <c r="C18" t="n">
        <v>2.4</v>
      </c>
      <c r="D18" s="2" t="n">
        <v>45685</v>
      </c>
      <c r="E18" s="2" t="n">
        <v>45863</v>
      </c>
      <c r="F18">
        <f>E18-D18</f>
        <v/>
      </c>
      <c r="G18">
        <f>IF(F18&gt;730,"LTCG","STCG")</f>
        <v/>
      </c>
      <c r="H18" s="3" t="n">
        <v>750.35</v>
      </c>
      <c r="I18" s="3" t="n">
        <v>636.26</v>
      </c>
      <c r="J18" s="3" t="n">
        <v>1</v>
      </c>
      <c r="K18" s="3" t="n">
        <v>1</v>
      </c>
      <c r="L18">
        <f>H18*K18</f>
        <v/>
      </c>
      <c r="M18">
        <f>I18*K18</f>
        <v/>
      </c>
      <c r="N18" s="3" t="n">
        <v>85.09999999999999</v>
      </c>
      <c r="O18" s="3" t="n">
        <v>85.2</v>
      </c>
      <c r="P18" s="3" t="n">
        <v>85.09999999999999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  <c r="U18" t="inlineStr"/>
    </row>
    <row r="19">
      <c r="A19" t="inlineStr">
        <is>
          <t>GE</t>
        </is>
      </c>
      <c r="B19" t="inlineStr">
        <is>
          <t>USD</t>
        </is>
      </c>
      <c r="C19" t="n">
        <v>4.32</v>
      </c>
      <c r="D19" s="2" t="n">
        <v>45685</v>
      </c>
      <c r="E19" s="2" t="n">
        <v>45863</v>
      </c>
      <c r="F19">
        <f>E19-D19</f>
        <v/>
      </c>
      <c r="G19">
        <f>IF(F19&gt;730,"LTCG","STCG")</f>
        <v/>
      </c>
      <c r="H19" s="3" t="n">
        <v>1173.99</v>
      </c>
      <c r="I19" s="3" t="n">
        <v>748.5599999999999</v>
      </c>
      <c r="J19" s="3" t="n">
        <v>0.3</v>
      </c>
      <c r="K19" s="3" t="n">
        <v>1</v>
      </c>
      <c r="L19">
        <f>H19*K19</f>
        <v/>
      </c>
      <c r="M19">
        <f>I19*K19</f>
        <v/>
      </c>
      <c r="N19" s="3" t="n">
        <v>85.09999999999999</v>
      </c>
      <c r="O19" s="3" t="n">
        <v>85.2</v>
      </c>
      <c r="P19" s="3" t="n">
        <v>85.09999999999999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  <c r="U19" t="inlineStr"/>
    </row>
    <row r="20">
      <c r="A20" t="inlineStr">
        <is>
          <t>GE</t>
        </is>
      </c>
      <c r="B20" t="inlineStr">
        <is>
          <t>USD</t>
        </is>
      </c>
      <c r="C20" t="n">
        <v>10</v>
      </c>
      <c r="D20" s="2" t="n">
        <v>45754</v>
      </c>
      <c r="E20" s="2" t="n">
        <v>45863</v>
      </c>
      <c r="F20">
        <f>E20-D20</f>
        <v/>
      </c>
      <c r="G20">
        <f>IF(F20&gt;730,"LTCG","STCG")</f>
        <v/>
      </c>
      <c r="H20" s="3" t="n">
        <v>2717.57</v>
      </c>
      <c r="I20" s="3" t="n">
        <v>1732.77</v>
      </c>
      <c r="J20" s="3" t="n">
        <v>0.7</v>
      </c>
      <c r="K20" s="3" t="n">
        <v>1</v>
      </c>
      <c r="L20">
        <f>H20*K20</f>
        <v/>
      </c>
      <c r="M20">
        <f>I20*K20</f>
        <v/>
      </c>
      <c r="N20" s="3" t="n">
        <v>85.09999999999999</v>
      </c>
      <c r="O20" s="3" t="n">
        <v>85.09999999999999</v>
      </c>
      <c r="P20" s="3" t="n">
        <v>85.09999999999999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  <c r="U20" t="inlineStr"/>
    </row>
    <row r="21">
      <c r="A21" t="inlineStr">
        <is>
          <t>LLY</t>
        </is>
      </c>
      <c r="B21" t="inlineStr">
        <is>
          <t>USD</t>
        </is>
      </c>
      <c r="C21" t="n">
        <v>1.04</v>
      </c>
      <c r="D21" s="2" t="n">
        <v>45685</v>
      </c>
      <c r="E21" s="2" t="n">
        <v>45863</v>
      </c>
      <c r="F21">
        <f>E21-D21</f>
        <v/>
      </c>
      <c r="G21">
        <f>IF(F21&gt;730,"LTCG","STCG")</f>
        <v/>
      </c>
      <c r="H21" s="3" t="n">
        <v>841.9400000000001</v>
      </c>
      <c r="I21" s="3" t="n">
        <v>766.76</v>
      </c>
      <c r="J21" s="3" t="n">
        <v>0.17</v>
      </c>
      <c r="K21" s="3" t="n">
        <v>1</v>
      </c>
      <c r="L21">
        <f>H21*K21</f>
        <v/>
      </c>
      <c r="M21">
        <f>I21*K21</f>
        <v/>
      </c>
      <c r="N21" s="3" t="n">
        <v>85.09999999999999</v>
      </c>
      <c r="O21" s="3" t="n">
        <v>85.2</v>
      </c>
      <c r="P21" s="3" t="n">
        <v>85.09999999999999</v>
      </c>
      <c r="Q21">
        <f>L21*N21</f>
        <v/>
      </c>
      <c r="R21">
        <f>J21*P21</f>
        <v/>
      </c>
      <c r="S21">
        <f>M21*O21</f>
        <v/>
      </c>
      <c r="T21">
        <f>Q21-R21-S21</f>
        <v/>
      </c>
      <c r="U21" t="inlineStr"/>
    </row>
    <row r="22">
      <c r="A22" t="inlineStr">
        <is>
          <t>LLY</t>
        </is>
      </c>
      <c r="B22" t="inlineStr">
        <is>
          <t>USD</t>
        </is>
      </c>
      <c r="C22" t="n">
        <v>2</v>
      </c>
      <c r="D22" s="2" t="n">
        <v>45754</v>
      </c>
      <c r="E22" s="2" t="n">
        <v>45863</v>
      </c>
      <c r="F22">
        <f>E22-D22</f>
        <v/>
      </c>
      <c r="G22">
        <f>IF(F22&gt;730,"LTCG","STCG")</f>
        <v/>
      </c>
      <c r="H22" s="3" t="n">
        <v>1619.12</v>
      </c>
      <c r="I22" s="3" t="n">
        <v>1474.55</v>
      </c>
      <c r="J22" s="3" t="n">
        <v>0.33</v>
      </c>
      <c r="K22" s="3" t="n">
        <v>1</v>
      </c>
      <c r="L22">
        <f>H22*K22</f>
        <v/>
      </c>
      <c r="M22">
        <f>I22*K22</f>
        <v/>
      </c>
      <c r="N22" s="3" t="n">
        <v>85.09999999999999</v>
      </c>
      <c r="O22" s="3" t="n">
        <v>85.09999999999999</v>
      </c>
      <c r="P22" s="3" t="n">
        <v>85.09999999999999</v>
      </c>
      <c r="Q22">
        <f>L22*N22</f>
        <v/>
      </c>
      <c r="R22">
        <f>J22*P22</f>
        <v/>
      </c>
      <c r="S22">
        <f>M22*O22</f>
        <v/>
      </c>
      <c r="T22">
        <f>Q22-R22-S22</f>
        <v/>
      </c>
      <c r="U22" t="inlineStr"/>
    </row>
    <row r="23">
      <c r="A23" t="inlineStr">
        <is>
          <t>LLY</t>
        </is>
      </c>
      <c r="B23" t="inlineStr">
        <is>
          <t>USD</t>
        </is>
      </c>
      <c r="C23" t="n">
        <v>3</v>
      </c>
      <c r="D23" s="2" t="n">
        <v>45805</v>
      </c>
      <c r="E23" s="2" t="n">
        <v>45863</v>
      </c>
      <c r="F23">
        <f>E23-D23</f>
        <v/>
      </c>
      <c r="G23">
        <f>IF(F23&gt;730,"LTCG","STCG")</f>
        <v/>
      </c>
      <c r="H23" s="3" t="n">
        <v>2428.68</v>
      </c>
      <c r="I23" s="3" t="n">
        <v>2211.82</v>
      </c>
      <c r="J23" s="3" t="n">
        <v>0.5</v>
      </c>
      <c r="K23" s="3" t="n">
        <v>1</v>
      </c>
      <c r="L23">
        <f>H23*K23</f>
        <v/>
      </c>
      <c r="M23">
        <f>I23*K23</f>
        <v/>
      </c>
      <c r="N23" s="3" t="n">
        <v>85.09999999999999</v>
      </c>
      <c r="O23" s="3" t="n">
        <v>84.25</v>
      </c>
      <c r="P23" s="3" t="n">
        <v>85.09999999999999</v>
      </c>
      <c r="Q23">
        <f>L23*N23</f>
        <v/>
      </c>
      <c r="R23">
        <f>J23*P23</f>
        <v/>
      </c>
      <c r="S23">
        <f>M23*O23</f>
        <v/>
      </c>
      <c r="T23">
        <f>Q23-R23-S23</f>
        <v/>
      </c>
      <c r="U23" t="inlineStr"/>
    </row>
    <row r="24">
      <c r="A24" t="inlineStr">
        <is>
          <t>NFLX</t>
        </is>
      </c>
      <c r="B24" t="inlineStr">
        <is>
          <t>USD</t>
        </is>
      </c>
      <c r="C24" t="n">
        <v>0.86</v>
      </c>
      <c r="D24" s="2" t="n">
        <v>45685</v>
      </c>
      <c r="E24" s="2" t="n">
        <v>45863</v>
      </c>
      <c r="F24">
        <f>E24-D24</f>
        <v/>
      </c>
      <c r="G24">
        <f>IF(F24&gt;730,"LTCG","STCG")</f>
        <v/>
      </c>
      <c r="H24" s="3" t="n">
        <v>1016.58</v>
      </c>
      <c r="I24" s="3" t="n">
        <v>770.84</v>
      </c>
      <c r="J24" s="3" t="n">
        <v>0.3</v>
      </c>
      <c r="K24" s="3" t="n">
        <v>1</v>
      </c>
      <c r="L24">
        <f>H24*K24</f>
        <v/>
      </c>
      <c r="M24">
        <f>I24*K24</f>
        <v/>
      </c>
      <c r="N24" s="3" t="n">
        <v>85.09999999999999</v>
      </c>
      <c r="O24" s="3" t="n">
        <v>85.2</v>
      </c>
      <c r="P24" s="3" t="n">
        <v>85.09999999999999</v>
      </c>
      <c r="Q24">
        <f>L24*N24</f>
        <v/>
      </c>
      <c r="R24">
        <f>J24*P24</f>
        <v/>
      </c>
      <c r="S24">
        <f>M24*O24</f>
        <v/>
      </c>
      <c r="T24">
        <f>Q24-R24-S24</f>
        <v/>
      </c>
      <c r="U24" t="inlineStr"/>
    </row>
    <row r="25">
      <c r="A25" t="inlineStr">
        <is>
          <t>NFLX</t>
        </is>
      </c>
      <c r="B25" t="inlineStr">
        <is>
          <t>USD</t>
        </is>
      </c>
      <c r="C25" t="n">
        <v>2</v>
      </c>
      <c r="D25" s="2" t="n">
        <v>45754</v>
      </c>
      <c r="E25" s="2" t="n">
        <v>45863</v>
      </c>
      <c r="F25">
        <f>E25-D25</f>
        <v/>
      </c>
      <c r="G25">
        <f>IF(F25&gt;730,"LTCG","STCG")</f>
        <v/>
      </c>
      <c r="H25" s="3" t="n">
        <v>2364.14</v>
      </c>
      <c r="I25" s="3" t="n">
        <v>1792.66</v>
      </c>
      <c r="J25" s="3" t="n">
        <v>0.7</v>
      </c>
      <c r="K25" s="3" t="n">
        <v>1</v>
      </c>
      <c r="L25">
        <f>H25*K25</f>
        <v/>
      </c>
      <c r="M25">
        <f>I25*K25</f>
        <v/>
      </c>
      <c r="N25" s="3" t="n">
        <v>85.09999999999999</v>
      </c>
      <c r="O25" s="3" t="n">
        <v>85.09999999999999</v>
      </c>
      <c r="P25" s="3" t="n">
        <v>85.09999999999999</v>
      </c>
      <c r="Q25">
        <f>L25*N25</f>
        <v/>
      </c>
      <c r="R25">
        <f>J25*P25</f>
        <v/>
      </c>
      <c r="S25">
        <f>M25*O25</f>
        <v/>
      </c>
      <c r="T25">
        <f>Q25-R25-S25</f>
        <v/>
      </c>
      <c r="U25" t="inlineStr"/>
    </row>
    <row r="26">
      <c r="A26" t="inlineStr">
        <is>
          <t>RTX</t>
        </is>
      </c>
      <c r="B26" t="inlineStr">
        <is>
          <t>USD</t>
        </is>
      </c>
      <c r="C26" t="n">
        <v>6.72</v>
      </c>
      <c r="D26" s="2" t="n">
        <v>45685</v>
      </c>
      <c r="E26" s="2" t="n">
        <v>45863</v>
      </c>
      <c r="F26">
        <f>E26-D26</f>
        <v/>
      </c>
      <c r="G26">
        <f>IF(F26&gt;730,"LTCG","STCG")</f>
        <v/>
      </c>
      <c r="H26" s="3" t="n">
        <v>1040.86</v>
      </c>
      <c r="I26" s="3" t="n">
        <v>817.95</v>
      </c>
      <c r="J26" s="3" t="n">
        <v>0.5</v>
      </c>
      <c r="K26" s="3" t="n">
        <v>1</v>
      </c>
      <c r="L26">
        <f>H26*K26</f>
        <v/>
      </c>
      <c r="M26">
        <f>I26*K26</f>
        <v/>
      </c>
      <c r="N26" s="3" t="n">
        <v>85.09999999999999</v>
      </c>
      <c r="O26" s="3" t="n">
        <v>85.2</v>
      </c>
      <c r="P26" s="3" t="n">
        <v>85.09999999999999</v>
      </c>
      <c r="Q26">
        <f>L26*N26</f>
        <v/>
      </c>
      <c r="R26">
        <f>J26*P26</f>
        <v/>
      </c>
      <c r="S26">
        <f>M26*O26</f>
        <v/>
      </c>
      <c r="T26">
        <f>Q26-R26-S26</f>
        <v/>
      </c>
      <c r="U26" t="inlineStr"/>
    </row>
    <row r="27">
      <c r="A27" t="inlineStr">
        <is>
          <t>RTX</t>
        </is>
      </c>
      <c r="B27" t="inlineStr">
        <is>
          <t>USD</t>
        </is>
      </c>
      <c r="C27" t="n">
        <v>6.72</v>
      </c>
      <c r="D27" s="2" t="n">
        <v>45754</v>
      </c>
      <c r="E27" s="2" t="n">
        <v>45863</v>
      </c>
      <c r="F27">
        <f>E27-D27</f>
        <v/>
      </c>
      <c r="G27">
        <f>IF(F27&gt;730,"LTCG","STCG")</f>
        <v/>
      </c>
      <c r="H27" s="3" t="n">
        <v>1040.86</v>
      </c>
      <c r="I27" s="3" t="n">
        <v>817.95</v>
      </c>
      <c r="J27" s="3" t="n">
        <v>0.5</v>
      </c>
      <c r="K27" s="3" t="n">
        <v>1</v>
      </c>
      <c r="L27">
        <f>H27*K27</f>
        <v/>
      </c>
      <c r="M27">
        <f>I27*K27</f>
        <v/>
      </c>
      <c r="N27" s="3" t="n">
        <v>85.09999999999999</v>
      </c>
      <c r="O27" s="3" t="n">
        <v>85.09999999999999</v>
      </c>
      <c r="P27" s="3" t="n">
        <v>85.09999999999999</v>
      </c>
      <c r="Q27">
        <f>L27*N27</f>
        <v/>
      </c>
      <c r="R27">
        <f>J27*P27</f>
        <v/>
      </c>
      <c r="S27">
        <f>M27*O27</f>
        <v/>
      </c>
      <c r="T27">
        <f>Q27-R27-S27</f>
        <v/>
      </c>
      <c r="U27" t="inlineStr"/>
    </row>
    <row r="28">
      <c r="A28" t="inlineStr">
        <is>
          <t>R6C0d</t>
        </is>
      </c>
      <c r="B28" t="inlineStr">
        <is>
          <t>EUR</t>
        </is>
      </c>
      <c r="C28" t="n">
        <v>27.06</v>
      </c>
      <c r="D28" s="2" t="n">
        <v>45686</v>
      </c>
      <c r="E28" s="2" t="n">
        <v>45863</v>
      </c>
      <c r="F28">
        <f>E28-D28</f>
        <v/>
      </c>
      <c r="G28">
        <f>IF(F28&gt;730,"LTCG","STCG")</f>
        <v/>
      </c>
      <c r="H28" s="3" t="n">
        <v>826.14</v>
      </c>
      <c r="I28" s="3" t="n">
        <v>795.91</v>
      </c>
      <c r="J28" s="3" t="n">
        <v>1.18</v>
      </c>
      <c r="K28" s="3" t="n">
        <v>1</v>
      </c>
      <c r="L28">
        <f>H28*K28</f>
        <v/>
      </c>
      <c r="M28">
        <f>I28*K28</f>
        <v/>
      </c>
      <c r="N28" s="3" t="n">
        <v>98.92</v>
      </c>
      <c r="O28" s="3" t="n">
        <v>87.93000000000001</v>
      </c>
      <c r="P28" s="3" t="n">
        <v>85.09999999999999</v>
      </c>
      <c r="Q28">
        <f>L28*N28</f>
        <v/>
      </c>
      <c r="R28">
        <f>J28*P28</f>
        <v/>
      </c>
      <c r="S28">
        <f>M28*O28</f>
        <v/>
      </c>
      <c r="T28">
        <f>Q28-R28-S28</f>
        <v/>
      </c>
      <c r="U28" t="inlineStr">
        <is>
          <t>EUR: FCY→USD=1; Sale/Cost FX = EUR/INR (Rule 115); Comm uses USD/INR</t>
        </is>
      </c>
    </row>
    <row r="29">
      <c r="A29" t="inlineStr">
        <is>
          <t>R6C0d</t>
        </is>
      </c>
      <c r="B29" t="inlineStr">
        <is>
          <t>EUR</t>
        </is>
      </c>
      <c r="C29" t="n">
        <v>42</v>
      </c>
      <c r="D29" s="2" t="n">
        <v>45754</v>
      </c>
      <c r="E29" s="2" t="n">
        <v>45863</v>
      </c>
      <c r="F29">
        <f>E29-D29</f>
        <v/>
      </c>
      <c r="G29">
        <f>IF(F29&gt;730,"LTCG","STCG")</f>
        <v/>
      </c>
      <c r="H29" s="3" t="n">
        <v>1282.26</v>
      </c>
      <c r="I29" s="3" t="n">
        <v>1235.34</v>
      </c>
      <c r="J29" s="3" t="n">
        <v>1.82</v>
      </c>
      <c r="K29" s="3" t="n">
        <v>1</v>
      </c>
      <c r="L29">
        <f>H29*K29</f>
        <v/>
      </c>
      <c r="M29">
        <f>I29*K29</f>
        <v/>
      </c>
      <c r="N29" s="3" t="n">
        <v>98.92</v>
      </c>
      <c r="O29" s="3" t="n">
        <v>91.86</v>
      </c>
      <c r="P29" s="3" t="n">
        <v>85.09999999999999</v>
      </c>
      <c r="Q29">
        <f>L29*N29</f>
        <v/>
      </c>
      <c r="R29">
        <f>J29*P29</f>
        <v/>
      </c>
      <c r="S29">
        <f>M29*O29</f>
        <v/>
      </c>
      <c r="T29">
        <f>Q29-R29-S29</f>
        <v/>
      </c>
      <c r="U29" t="inlineStr">
        <is>
          <t>EUR: FCY→USD=1; Sale/Cost FX = EUR/INR (Rule 115); Comm uses USD/INR</t>
        </is>
      </c>
    </row>
    <row r="30">
      <c r="A30" t="inlineStr">
        <is>
          <t>NOVd</t>
        </is>
      </c>
      <c r="B30" t="inlineStr">
        <is>
          <t>EUR</t>
        </is>
      </c>
      <c r="C30" t="n">
        <v>24</v>
      </c>
      <c r="D30" s="2" t="n">
        <v>45805</v>
      </c>
      <c r="E30" s="2" t="n">
        <v>45863</v>
      </c>
      <c r="F30">
        <f>E30-D30</f>
        <v/>
      </c>
      <c r="G30">
        <f>IF(F30&gt;730,"LTCG","STCG")</f>
        <v/>
      </c>
      <c r="H30" s="3" t="n">
        <v>1452</v>
      </c>
      <c r="I30" s="3" t="n">
        <v>1483.8</v>
      </c>
      <c r="J30" s="3" t="n">
        <v>3</v>
      </c>
      <c r="K30" s="3" t="n">
        <v>1</v>
      </c>
      <c r="L30">
        <f>H30*K30</f>
        <v/>
      </c>
      <c r="M30">
        <f>I30*K30</f>
        <v/>
      </c>
      <c r="N30" s="3" t="n">
        <v>98.92</v>
      </c>
      <c r="O30" s="3" t="n">
        <v>94.97</v>
      </c>
      <c r="P30" s="3" t="n">
        <v>85.09999999999999</v>
      </c>
      <c r="Q30">
        <f>L30*N30</f>
        <v/>
      </c>
      <c r="R30">
        <f>J30*P30</f>
        <v/>
      </c>
      <c r="S30">
        <f>M30*O30</f>
        <v/>
      </c>
      <c r="T30">
        <f>Q30-R30-S30</f>
        <v/>
      </c>
      <c r="U30" t="inlineStr">
        <is>
          <t>EUR: FCY→USD=1; Sale/Cost FX = EUR/INR (Rule 115); Comm uses USD/INR</t>
        </is>
      </c>
    </row>
    <row r="31">
      <c r="A31" t="inlineStr">
        <is>
          <t>TGT</t>
        </is>
      </c>
      <c r="B31" t="inlineStr">
        <is>
          <t>USD</t>
        </is>
      </c>
      <c r="C31" t="n">
        <v>5.95</v>
      </c>
      <c r="D31" s="2" t="n">
        <v>45685</v>
      </c>
      <c r="E31" s="2" t="n">
        <v>45863</v>
      </c>
      <c r="F31">
        <f>E31-D31</f>
        <v/>
      </c>
      <c r="G31">
        <f>IF(F31&gt;730,"LTCG","STCG")</f>
        <v/>
      </c>
      <c r="H31" s="3" t="n">
        <v>628.5700000000001</v>
      </c>
      <c r="I31" s="3" t="n">
        <v>637.3</v>
      </c>
      <c r="J31" s="3" t="n">
        <v>0.29</v>
      </c>
      <c r="K31" s="3" t="n">
        <v>1</v>
      </c>
      <c r="L31">
        <f>H31*K31</f>
        <v/>
      </c>
      <c r="M31">
        <f>I31*K31</f>
        <v/>
      </c>
      <c r="N31" s="3" t="n">
        <v>85.09999999999999</v>
      </c>
      <c r="O31" s="3" t="n">
        <v>85.2</v>
      </c>
      <c r="P31" s="3" t="n">
        <v>85.09999999999999</v>
      </c>
      <c r="Q31">
        <f>L31*N31</f>
        <v/>
      </c>
      <c r="R31">
        <f>J31*P31</f>
        <v/>
      </c>
      <c r="S31">
        <f>M31*O31</f>
        <v/>
      </c>
      <c r="T31">
        <f>Q31-R31-S31</f>
        <v/>
      </c>
      <c r="U31" t="inlineStr"/>
    </row>
    <row r="32">
      <c r="A32" t="inlineStr">
        <is>
          <t>TGT</t>
        </is>
      </c>
      <c r="B32" t="inlineStr">
        <is>
          <t>USD</t>
        </is>
      </c>
      <c r="C32" t="n">
        <v>15</v>
      </c>
      <c r="D32" s="2" t="n">
        <v>45754</v>
      </c>
      <c r="E32" s="2" t="n">
        <v>45863</v>
      </c>
      <c r="F32">
        <f>E32-D32</f>
        <v/>
      </c>
      <c r="G32">
        <f>IF(F32&gt;730,"LTCG","STCG")</f>
        <v/>
      </c>
      <c r="H32" s="3" t="n">
        <v>1584.64</v>
      </c>
      <c r="I32" s="3" t="n">
        <v>1606.64</v>
      </c>
      <c r="J32" s="3" t="n">
        <v>0.72</v>
      </c>
      <c r="K32" s="3" t="n">
        <v>1</v>
      </c>
      <c r="L32">
        <f>H32*K32</f>
        <v/>
      </c>
      <c r="M32">
        <f>I32*K32</f>
        <v/>
      </c>
      <c r="N32" s="3" t="n">
        <v>85.09999999999999</v>
      </c>
      <c r="O32" s="3" t="n">
        <v>85.09999999999999</v>
      </c>
      <c r="P32" s="3" t="n">
        <v>85.09999999999999</v>
      </c>
      <c r="Q32">
        <f>L32*N32</f>
        <v/>
      </c>
      <c r="R32">
        <f>J32*P32</f>
        <v/>
      </c>
      <c r="S32">
        <f>M32*O32</f>
        <v/>
      </c>
      <c r="T32">
        <f>Q32-R32-S32</f>
        <v/>
      </c>
      <c r="U32" t="inlineStr"/>
    </row>
    <row r="33">
      <c r="A33" t="inlineStr">
        <is>
          <t>TSM</t>
        </is>
      </c>
      <c r="B33" t="inlineStr">
        <is>
          <t>USD</t>
        </is>
      </c>
      <c r="C33" t="n">
        <v>2.187</v>
      </c>
      <c r="D33" s="2" t="n">
        <v>45685</v>
      </c>
      <c r="E33" s="2" t="n">
        <v>45863</v>
      </c>
      <c r="F33">
        <f>E33-D33</f>
        <v/>
      </c>
      <c r="G33">
        <f>IF(F33&gt;730,"LTCG","STCG")</f>
        <v/>
      </c>
      <c r="H33" s="3" t="n">
        <v>536.79</v>
      </c>
      <c r="I33" s="3" t="n">
        <v>350.55</v>
      </c>
      <c r="J33" s="3" t="n">
        <v>0.3</v>
      </c>
      <c r="K33" s="3" t="n">
        <v>1</v>
      </c>
      <c r="L33">
        <f>H33*K33</f>
        <v/>
      </c>
      <c r="M33">
        <f>I33*K33</f>
        <v/>
      </c>
      <c r="N33" s="3" t="n">
        <v>85.09999999999999</v>
      </c>
      <c r="O33" s="3" t="n">
        <v>85.2</v>
      </c>
      <c r="P33" s="3" t="n">
        <v>85.09999999999999</v>
      </c>
      <c r="Q33">
        <f>L33*N33</f>
        <v/>
      </c>
      <c r="R33">
        <f>J33*P33</f>
        <v/>
      </c>
      <c r="S33">
        <f>M33*O33</f>
        <v/>
      </c>
      <c r="T33">
        <f>Q33-R33-S33</f>
        <v/>
      </c>
      <c r="U33" t="inlineStr"/>
    </row>
    <row r="34">
      <c r="A34" t="inlineStr">
        <is>
          <t>TSM</t>
        </is>
      </c>
      <c r="B34" t="inlineStr">
        <is>
          <t>USD</t>
        </is>
      </c>
      <c r="C34" t="n">
        <v>5</v>
      </c>
      <c r="D34" s="2" t="n">
        <v>45754</v>
      </c>
      <c r="E34" s="2" t="n">
        <v>45863</v>
      </c>
      <c r="F34">
        <f>E34-D34</f>
        <v/>
      </c>
      <c r="G34">
        <f>IF(F34&gt;730,"LTCG","STCG")</f>
        <v/>
      </c>
      <c r="H34" s="3" t="n">
        <v>1227.22</v>
      </c>
      <c r="I34" s="3" t="n">
        <v>801.45</v>
      </c>
      <c r="J34" s="3" t="n">
        <v>0.7</v>
      </c>
      <c r="K34" s="3" t="n">
        <v>1</v>
      </c>
      <c r="L34">
        <f>H34*K34</f>
        <v/>
      </c>
      <c r="M34">
        <f>I34*K34</f>
        <v/>
      </c>
      <c r="N34" s="3" t="n">
        <v>85.09999999999999</v>
      </c>
      <c r="O34" s="3" t="n">
        <v>85.09999999999999</v>
      </c>
      <c r="P34" s="3" t="n">
        <v>85.09999999999999</v>
      </c>
      <c r="Q34">
        <f>L34*N34</f>
        <v/>
      </c>
      <c r="R34">
        <f>J34*P34</f>
        <v/>
      </c>
      <c r="S34">
        <f>M34*O34</f>
        <v/>
      </c>
      <c r="T34">
        <f>Q34-R34-S34</f>
        <v/>
      </c>
      <c r="U34" t="inlineStr"/>
    </row>
    <row r="35">
      <c r="A35" t="inlineStr">
        <is>
          <t>XOM</t>
        </is>
      </c>
      <c r="B35" t="inlineStr">
        <is>
          <t>USD</t>
        </is>
      </c>
      <c r="C35" t="n">
        <v>7.6</v>
      </c>
      <c r="D35" s="2" t="n">
        <v>45685</v>
      </c>
      <c r="E35" s="2" t="n">
        <v>45863</v>
      </c>
      <c r="F35">
        <f>E35-D35</f>
        <v/>
      </c>
      <c r="G35">
        <f>IF(F35&gt;730,"LTCG","STCG")</f>
        <v/>
      </c>
      <c r="H35" s="3" t="n">
        <v>835.9299999999999</v>
      </c>
      <c r="I35" s="3" t="n">
        <v>790.15</v>
      </c>
      <c r="J35" s="3" t="n">
        <v>0.35</v>
      </c>
      <c r="K35" s="3" t="n">
        <v>1</v>
      </c>
      <c r="L35">
        <f>H35*K35</f>
        <v/>
      </c>
      <c r="M35">
        <f>I35*K35</f>
        <v/>
      </c>
      <c r="N35" s="3" t="n">
        <v>85.09999999999999</v>
      </c>
      <c r="O35" s="3" t="n">
        <v>85.2</v>
      </c>
      <c r="P35" s="3" t="n">
        <v>85.09999999999999</v>
      </c>
      <c r="Q35">
        <f>L35*N35</f>
        <v/>
      </c>
      <c r="R35">
        <f>J35*P35</f>
        <v/>
      </c>
      <c r="S35">
        <f>M35*O35</f>
        <v/>
      </c>
      <c r="T35">
        <f>Q35-R35-S35</f>
        <v/>
      </c>
      <c r="U35" t="inlineStr"/>
    </row>
    <row r="36">
      <c r="A36" t="inlineStr">
        <is>
          <t>XOM</t>
        </is>
      </c>
      <c r="B36" t="inlineStr">
        <is>
          <t>USD</t>
        </is>
      </c>
      <c r="C36" t="n">
        <v>14</v>
      </c>
      <c r="D36" s="2" t="n">
        <v>45754</v>
      </c>
      <c r="E36" s="2" t="n">
        <v>45863</v>
      </c>
      <c r="F36">
        <f>E36-D36</f>
        <v/>
      </c>
      <c r="G36">
        <f>IF(F36&gt;730,"LTCG","STCG")</f>
        <v/>
      </c>
      <c r="H36" s="3" t="n">
        <v>1539.87</v>
      </c>
      <c r="I36" s="3" t="n">
        <v>1455.54</v>
      </c>
      <c r="J36" s="3" t="n">
        <v>0.65</v>
      </c>
      <c r="K36" s="3" t="n">
        <v>1</v>
      </c>
      <c r="L36">
        <f>H36*K36</f>
        <v/>
      </c>
      <c r="M36">
        <f>I36*K36</f>
        <v/>
      </c>
      <c r="N36" s="3" t="n">
        <v>85.09999999999999</v>
      </c>
      <c r="O36" s="3" t="n">
        <v>85.09999999999999</v>
      </c>
      <c r="P36" s="3" t="n">
        <v>85.09999999999999</v>
      </c>
      <c r="Q36">
        <f>L36*N36</f>
        <v/>
      </c>
      <c r="R36">
        <f>J36*P36</f>
        <v/>
      </c>
      <c r="S36">
        <f>M36*O36</f>
        <v/>
      </c>
      <c r="T36">
        <f>Q36-R36-S36</f>
        <v/>
      </c>
      <c r="U36" t="inlineStr"/>
    </row>
    <row r="37">
      <c r="A37" t="inlineStr">
        <is>
          <t>NOVd</t>
        </is>
      </c>
      <c r="B37" t="inlineStr">
        <is>
          <t>EUR</t>
        </is>
      </c>
      <c r="C37" t="n">
        <v>21</v>
      </c>
      <c r="D37" s="2" t="n">
        <v>45889</v>
      </c>
      <c r="E37" s="2" t="n">
        <v>45985</v>
      </c>
      <c r="F37">
        <f>E37-D37</f>
        <v/>
      </c>
      <c r="G37">
        <f>IF(F37&gt;730,"LTCG","STCG")</f>
        <v/>
      </c>
      <c r="H37" s="3" t="n">
        <v>779.84</v>
      </c>
      <c r="I37" s="3" t="n">
        <v>983.6</v>
      </c>
      <c r="J37" s="3" t="n">
        <v>0.39</v>
      </c>
      <c r="K37" s="3" t="n">
        <v>1</v>
      </c>
      <c r="L37">
        <f>H37*K37</f>
        <v/>
      </c>
      <c r="M37">
        <f>I37*K37</f>
        <v/>
      </c>
      <c r="N37" s="3" t="n">
        <v>101.23</v>
      </c>
      <c r="O37" s="3" t="n">
        <v>99.02</v>
      </c>
      <c r="P37" s="3" t="n">
        <v>88.2</v>
      </c>
      <c r="Q37">
        <f>L37*N37</f>
        <v/>
      </c>
      <c r="R37">
        <f>J37*P37</f>
        <v/>
      </c>
      <c r="S37">
        <f>M37*O37</f>
        <v/>
      </c>
      <c r="T37">
        <f>Q37-R37-S37</f>
        <v/>
      </c>
      <c r="U37" t="inlineStr">
        <is>
          <t>EUR: FCY→USD=1; Sale/Cost FX = EUR/INR (Rule 115); Comm uses USD/INR</t>
        </is>
      </c>
    </row>
    <row r="38">
      <c r="A38" t="inlineStr">
        <is>
          <t>1810</t>
        </is>
      </c>
      <c r="B38" t="inlineStr">
        <is>
          <t>HKD</t>
        </is>
      </c>
      <c r="C38" t="n">
        <v>200</v>
      </c>
      <c r="D38" s="2" t="n">
        <v>45805</v>
      </c>
      <c r="E38" s="2" t="n">
        <v>46012</v>
      </c>
      <c r="F38">
        <f>E38-D38</f>
        <v/>
      </c>
      <c r="G38">
        <f>IF(F38&gt;730,"LTCG","STCG")</f>
        <v/>
      </c>
      <c r="H38" s="3" t="n">
        <v>8040</v>
      </c>
      <c r="I38" s="3" t="n">
        <v>10364.29</v>
      </c>
      <c r="J38" s="3" t="n">
        <v>14.78</v>
      </c>
      <c r="K38" s="3" t="n">
        <v>0.12849</v>
      </c>
      <c r="L38">
        <f>H38*K38</f>
        <v/>
      </c>
      <c r="M38">
        <f>I38*K38</f>
        <v/>
      </c>
      <c r="N38" s="3" t="n">
        <v>88.95</v>
      </c>
      <c r="O38" s="3" t="n">
        <v>84.25</v>
      </c>
      <c r="P38" s="3" t="n">
        <v>88.95</v>
      </c>
      <c r="Q38">
        <f>L38*N38</f>
        <v/>
      </c>
      <c r="R38">
        <f>J38*P38</f>
        <v/>
      </c>
      <c r="S38">
        <f>M38*O38</f>
        <v/>
      </c>
      <c r="T38">
        <f>Q38-R38-S38</f>
        <v/>
      </c>
      <c r="U38" t="inlineStr">
        <is>
          <t>HKD: FCY→USD editable; Sale/Cost FX = USD/INR (Rule 115)</t>
        </is>
      </c>
    </row>
    <row r="39">
      <c r="A39" t="inlineStr">
        <is>
          <t>1810</t>
        </is>
      </c>
      <c r="B39" t="inlineStr">
        <is>
          <t>HKD</t>
        </is>
      </c>
      <c r="C39" t="n">
        <v>200</v>
      </c>
      <c r="D39" s="2" t="n">
        <v>45888</v>
      </c>
      <c r="E39" s="2" t="n">
        <v>46012</v>
      </c>
      <c r="F39">
        <f>E39-D39</f>
        <v/>
      </c>
      <c r="G39">
        <f>IF(F39&gt;730,"LTCG","STCG")</f>
        <v/>
      </c>
      <c r="H39" s="3" t="n">
        <v>8040</v>
      </c>
      <c r="I39" s="3" t="n">
        <v>10364.29</v>
      </c>
      <c r="J39" s="3" t="n">
        <v>14.78</v>
      </c>
      <c r="K39" s="3" t="n">
        <v>0.12849</v>
      </c>
      <c r="L39">
        <f>H39*K39</f>
        <v/>
      </c>
      <c r="M39">
        <f>I39*K39</f>
        <v/>
      </c>
      <c r="N39" s="3" t="n">
        <v>88.95</v>
      </c>
      <c r="O39" s="3" t="n">
        <v>87.15000000000001</v>
      </c>
      <c r="P39" s="3" t="n">
        <v>88.95</v>
      </c>
      <c r="Q39">
        <f>L39*N39</f>
        <v/>
      </c>
      <c r="R39">
        <f>J39*P39</f>
        <v/>
      </c>
      <c r="S39">
        <f>M39*O39</f>
        <v/>
      </c>
      <c r="T39">
        <f>Q39-R39-S39</f>
        <v/>
      </c>
      <c r="U39" t="inlineStr">
        <is>
          <t>HKD: FCY→USD editable; Sale/Cost FX = USD/INR (Rule 115)</t>
        </is>
      </c>
    </row>
    <row r="40"/>
    <row r="41">
      <c r="G41" s="4" t="inlineStr">
        <is>
          <t>TOTAL STCG (INR)</t>
        </is>
      </c>
      <c r="T41" s="4">
        <f>SUMIF(G5:G39,"STCG",T5:T39)</f>
        <v/>
      </c>
    </row>
    <row r="42">
      <c r="G42" s="4" t="inlineStr">
        <is>
          <t>TOTAL LTCG (INR)</t>
        </is>
      </c>
      <c r="T42" s="4">
        <f>SUMIF(G5:G39,"LTCG",T5:T39)</f>
        <v/>
      </c>
    </row>
    <row r="43">
      <c r="G43" s="4" t="inlineStr">
        <is>
          <t>TOTAL CG (INR)</t>
        </is>
      </c>
      <c r="T43" s="4">
        <f>T41+T42</f>
        <v/>
      </c>
    </row>
    <row r="44"/>
    <row r="45">
      <c r="A45" t="inlineStr">
        <is>
          <t>How to reconcile before filing:</t>
        </is>
      </c>
    </row>
    <row r="46">
      <c r="A46" t="inlineStr">
        <is>
          <t>1. Check Sale Proceeds (FCY) / Cost Basis (FCY) vs IBKR trade Proceeds &amp; Basis.</t>
        </is>
      </c>
    </row>
    <row r="47">
      <c r="A47" t="inlineStr">
        <is>
          <t>2. Edit yellow FX cells (N Sale FX, O Cost FX, P Comm USD/INR) to exact SBI TT Buy card rates.</t>
        </is>
      </c>
    </row>
    <row r="48">
      <c r="A48" t="inlineStr">
        <is>
          <t>3. For HKD/JPY, edit FCY→USD (K) if using trade-date FX instead of 31-Dec-2025 IBKR close.</t>
        </is>
      </c>
    </row>
    <row r="49">
      <c r="A49" t="inlineStr">
        <is>
          <t>4. Gain/(Loss) cell formula: =Q-R-S i.e. Sale INR − Comm INR − Cost INR.</t>
        </is>
      </c>
    </row>
    <row r="50">
      <c r="A50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GOOG</t>
        </is>
      </c>
      <c r="B5" t="inlineStr">
        <is>
          <t>USD</t>
        </is>
      </c>
      <c r="C5" t="n">
        <v>1</v>
      </c>
      <c r="D5" s="2" t="n">
        <v>45657</v>
      </c>
      <c r="E5" s="2" t="n">
        <v>45663</v>
      </c>
      <c r="F5">
        <f>E5-D5</f>
        <v/>
      </c>
      <c r="G5">
        <f>IF(F5&gt;730,"LTCG","STCG")</f>
        <v/>
      </c>
      <c r="H5" s="3" t="n">
        <v>198.34</v>
      </c>
      <c r="I5" s="3" t="n">
        <v>89.81</v>
      </c>
      <c r="J5" s="3" t="n">
        <v>1.01</v>
      </c>
      <c r="K5" s="3" t="n">
        <v>1</v>
      </c>
      <c r="L5">
        <f>H5*K5</f>
        <v/>
      </c>
      <c r="M5">
        <f>I5*K5</f>
        <v/>
      </c>
      <c r="N5" s="3" t="n">
        <v>85.2</v>
      </c>
      <c r="O5" s="3" t="n">
        <v>84.15000000000001</v>
      </c>
      <c r="P5" s="3" t="n">
        <v>85.2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GOOG</t>
        </is>
      </c>
      <c r="B6" t="inlineStr">
        <is>
          <t>USD</t>
        </is>
      </c>
      <c r="C6" t="n">
        <v>108</v>
      </c>
      <c r="D6" s="2" t="n">
        <v>45657</v>
      </c>
      <c r="E6" s="2" t="n">
        <v>45685</v>
      </c>
      <c r="F6">
        <f>E6-D6</f>
        <v/>
      </c>
      <c r="G6">
        <f>IF(F6&gt;730,"LTCG","STCG")</f>
        <v/>
      </c>
      <c r="H6" s="3" t="n">
        <v>20900.16</v>
      </c>
      <c r="I6" s="3" t="n">
        <v>9699.48</v>
      </c>
      <c r="J6" s="3" t="n">
        <v>1.6</v>
      </c>
      <c r="K6" s="3" t="n">
        <v>1</v>
      </c>
      <c r="L6">
        <f>H6*K6</f>
        <v/>
      </c>
      <c r="M6">
        <f>I6*K6</f>
        <v/>
      </c>
      <c r="N6" s="3" t="n">
        <v>85.2</v>
      </c>
      <c r="O6" s="3" t="n">
        <v>84.15000000000001</v>
      </c>
      <c r="P6" s="3" t="n">
        <v>85.2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/>
    <row r="8">
      <c r="G8" s="4" t="inlineStr">
        <is>
          <t>TOTAL STCG (INR)</t>
        </is>
      </c>
      <c r="T8" s="4">
        <f>SUMIF(G5:G6,"STCG",T5:T6)</f>
        <v/>
      </c>
    </row>
    <row r="9">
      <c r="G9" s="4" t="inlineStr">
        <is>
          <t>TOTAL LTCG (INR)</t>
        </is>
      </c>
      <c r="T9" s="4">
        <f>SUMIF(G5:G6,"LTCG",T5:T6)</f>
        <v/>
      </c>
    </row>
    <row r="10">
      <c r="G10" s="4" t="inlineStr">
        <is>
          <t>TOTAL CG (INR)</t>
        </is>
      </c>
      <c r="T10" s="4">
        <f>T8+T9</f>
        <v/>
      </c>
    </row>
    <row r="11"/>
    <row r="12">
      <c r="A12" t="inlineStr">
        <is>
          <t>How to reconcile before filing:</t>
        </is>
      </c>
    </row>
    <row r="13">
      <c r="A13" t="inlineStr">
        <is>
          <t>1. Check Sale Proceeds (FCY) / Cost Basis (FCY) vs IBKR trade Proceeds &amp; Basis.</t>
        </is>
      </c>
    </row>
    <row r="14">
      <c r="A14" t="inlineStr">
        <is>
          <t>2. Edit yellow FX cells (N Sale FX, O Cost FX, P Comm USD/INR) to exact SBI TT Buy card rates.</t>
        </is>
      </c>
    </row>
    <row r="15">
      <c r="A15" t="inlineStr">
        <is>
          <t>3. For HKD/JPY, edit FCY→USD (K) if using trade-date FX instead of 31-Dec-2025 IBKR close.</t>
        </is>
      </c>
    </row>
    <row r="16">
      <c r="A16" t="inlineStr">
        <is>
          <t>4. Gain/(Loss) cell formula: =Q-R-S i.e. Sale INR − Comm INR − Cost INR.</t>
        </is>
      </c>
    </row>
    <row r="17">
      <c r="A17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GOOG</t>
        </is>
      </c>
      <c r="C3" t="n">
        <v>216</v>
      </c>
      <c r="D3" s="2" t="n">
        <v>45657</v>
      </c>
      <c r="E3" t="n">
        <v>19300.32</v>
      </c>
      <c r="F3" t="inlineStr">
        <is>
          <t>USD</t>
        </is>
      </c>
      <c r="G3" t="inlineStr">
        <is>
          <t>buy</t>
        </is>
      </c>
    </row>
    <row r="4">
      <c r="A4" t="inlineStr">
        <is>
          <t>31-Mar-2025 (FY2025-26 open)</t>
        </is>
      </c>
      <c r="B4" t="inlineStr">
        <is>
          <t>ACN</t>
        </is>
      </c>
      <c r="C4" t="n">
        <v>2.32</v>
      </c>
      <c r="D4" s="2" t="n">
        <v>45685</v>
      </c>
      <c r="E4" t="n">
        <v>878.6217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31-Mar-2025 (FY2025-26 open)</t>
        </is>
      </c>
      <c r="B5" t="inlineStr">
        <is>
          <t>AMZN</t>
        </is>
      </c>
      <c r="C5" t="n">
        <v>3.57</v>
      </c>
      <c r="D5" s="2" t="n">
        <v>45685</v>
      </c>
      <c r="E5" t="n">
        <v>860.5469000000001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31-Mar-2025 (FY2025-26 open)</t>
        </is>
      </c>
      <c r="B6" t="inlineStr">
        <is>
          <t>BAC</t>
        </is>
      </c>
      <c r="C6" t="n">
        <v>17.87</v>
      </c>
      <c r="D6" s="2" t="n">
        <v>45685</v>
      </c>
      <c r="E6" t="n">
        <v>836.4148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31-Mar-2025 (FY2025-26 open)</t>
        </is>
      </c>
      <c r="B7" t="inlineStr">
        <is>
          <t>BLBD</t>
        </is>
      </c>
      <c r="C7" t="n">
        <v>21</v>
      </c>
      <c r="D7" s="2" t="n">
        <v>45685</v>
      </c>
      <c r="E7" t="n">
        <v>789.341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31-Mar-2025 (FY2025-26 open)</t>
        </is>
      </c>
      <c r="B8" t="inlineStr">
        <is>
          <t>BX</t>
        </is>
      </c>
      <c r="C8" t="n">
        <v>6.92</v>
      </c>
      <c r="D8" s="2" t="n">
        <v>45685</v>
      </c>
      <c r="E8" t="n">
        <v>1280.8605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31-Mar-2025 (FY2025-26 open)</t>
        </is>
      </c>
      <c r="B9" t="inlineStr">
        <is>
          <t>CAT</t>
        </is>
      </c>
      <c r="C9" t="n">
        <v>2.15</v>
      </c>
      <c r="D9" s="2" t="n">
        <v>45685</v>
      </c>
      <c r="E9" t="n">
        <v>836.6086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31-Mar-2025 (FY2025-26 open)</t>
        </is>
      </c>
      <c r="B10" t="inlineStr">
        <is>
          <t>GD</t>
        </is>
      </c>
      <c r="C10" t="n">
        <v>2.4</v>
      </c>
      <c r="D10" s="2" t="n">
        <v>45685</v>
      </c>
      <c r="E10" t="n">
        <v>636.2560999999999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31-Mar-2025 (FY2025-26 open)</t>
        </is>
      </c>
      <c r="B11" t="inlineStr">
        <is>
          <t>GE</t>
        </is>
      </c>
      <c r="C11" t="n">
        <v>4.32</v>
      </c>
      <c r="D11" s="2" t="n">
        <v>45685</v>
      </c>
      <c r="E11" t="n">
        <v>833.3242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31-Mar-2025 (FY2025-26 open)</t>
        </is>
      </c>
      <c r="B12" t="inlineStr">
        <is>
          <t>GOOG</t>
        </is>
      </c>
      <c r="C12" t="n">
        <v>107</v>
      </c>
      <c r="D12" s="2" t="n">
        <v>45657</v>
      </c>
      <c r="E12" t="n">
        <v>9560.806699999999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31-Mar-2025 (FY2025-26 open)</t>
        </is>
      </c>
      <c r="B13" t="inlineStr">
        <is>
          <t>GOOG</t>
        </is>
      </c>
      <c r="C13" t="n">
        <v>72</v>
      </c>
      <c r="D13" s="2" t="n">
        <v>45747</v>
      </c>
      <c r="E13" t="n">
        <v>8345.302799999999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31-Mar-2025 (FY2025-26 open)</t>
        </is>
      </c>
      <c r="B14" t="inlineStr">
        <is>
          <t>LLY</t>
        </is>
      </c>
      <c r="C14" t="n">
        <v>1.04</v>
      </c>
      <c r="D14" s="2" t="n">
        <v>45685</v>
      </c>
      <c r="E14" t="n">
        <v>841.463</v>
      </c>
      <c r="F14" t="inlineStr">
        <is>
          <t>USD</t>
        </is>
      </c>
      <c r="G14" t="inlineStr">
        <is>
          <t>buy</t>
        </is>
      </c>
    </row>
    <row r="15">
      <c r="A15" t="inlineStr">
        <is>
          <t>31-Mar-2025 (FY2025-26 open)</t>
        </is>
      </c>
      <c r="B15" t="inlineStr">
        <is>
          <t>NFLX</t>
        </is>
      </c>
      <c r="C15" t="n">
        <v>0.86</v>
      </c>
      <c r="D15" s="2" t="n">
        <v>45685</v>
      </c>
      <c r="E15" t="n">
        <v>836.3352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31-Mar-2025 (FY2025-26 open)</t>
        </is>
      </c>
      <c r="B16" t="inlineStr">
        <is>
          <t>R6C0d</t>
        </is>
      </c>
      <c r="C16" t="n">
        <v>27.06</v>
      </c>
      <c r="D16" s="2" t="n">
        <v>45686</v>
      </c>
      <c r="E16" t="n">
        <v>842.8071</v>
      </c>
      <c r="F16" t="inlineStr">
        <is>
          <t>EUR</t>
        </is>
      </c>
      <c r="G16" t="inlineStr">
        <is>
          <t>buy</t>
        </is>
      </c>
    </row>
    <row r="17">
      <c r="A17" t="inlineStr">
        <is>
          <t>31-Mar-2025 (FY2025-26 open)</t>
        </is>
      </c>
      <c r="B17" t="inlineStr">
        <is>
          <t>RTX</t>
        </is>
      </c>
      <c r="C17" t="n">
        <v>6.72</v>
      </c>
      <c r="D17" s="2" t="n">
        <v>45685</v>
      </c>
      <c r="E17" t="n">
        <v>862.039</v>
      </c>
      <c r="F17" t="inlineStr">
        <is>
          <t>USD</t>
        </is>
      </c>
      <c r="G17" t="inlineStr">
        <is>
          <t>buy</t>
        </is>
      </c>
    </row>
    <row r="18">
      <c r="A18" t="inlineStr">
        <is>
          <t>31-Mar-2025 (FY2025-26 open)</t>
        </is>
      </c>
      <c r="B18" t="inlineStr">
        <is>
          <t>SLV</t>
        </is>
      </c>
      <c r="C18" t="n">
        <v>30.65</v>
      </c>
      <c r="D18" s="2" t="n">
        <v>45685</v>
      </c>
      <c r="E18" t="n">
        <v>850.2979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31-Mar-2025 (FY2025-26 open)</t>
        </is>
      </c>
      <c r="B19" t="inlineStr">
        <is>
          <t>TGT</t>
        </is>
      </c>
      <c r="C19" t="n">
        <v>5.95</v>
      </c>
      <c r="D19" s="2" t="n">
        <v>45685</v>
      </c>
      <c r="E19" t="n">
        <v>843.3715</v>
      </c>
      <c r="F19" t="inlineStr">
        <is>
          <t>USD</t>
        </is>
      </c>
      <c r="G19" t="inlineStr">
        <is>
          <t>buy</t>
        </is>
      </c>
    </row>
    <row r="20">
      <c r="A20" t="inlineStr">
        <is>
          <t>31-Mar-2025 (FY2025-26 open)</t>
        </is>
      </c>
      <c r="B20" t="inlineStr">
        <is>
          <t>TIP</t>
        </is>
      </c>
      <c r="C20" t="n">
        <v>8</v>
      </c>
      <c r="D20" s="2" t="n">
        <v>45685</v>
      </c>
      <c r="E20" t="n">
        <v>862.7564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31-Mar-2025 (FY2025-26 open)</t>
        </is>
      </c>
      <c r="B21" t="inlineStr">
        <is>
          <t>TSM</t>
        </is>
      </c>
      <c r="C21" t="n">
        <v>2.187</v>
      </c>
      <c r="D21" s="2" t="n">
        <v>45685</v>
      </c>
      <c r="E21" t="n">
        <v>434.878</v>
      </c>
      <c r="F21" t="inlineStr">
        <is>
          <t>USD</t>
        </is>
      </c>
      <c r="G21" t="inlineStr">
        <is>
          <t>buy</t>
        </is>
      </c>
    </row>
    <row r="22">
      <c r="A22" t="inlineStr">
        <is>
          <t>31-Mar-2025 (FY2025-26 open)</t>
        </is>
      </c>
      <c r="B22" t="inlineStr">
        <is>
          <t>XOM</t>
        </is>
      </c>
      <c r="C22" t="n">
        <v>7.6</v>
      </c>
      <c r="D22" s="2" t="n">
        <v>45685</v>
      </c>
      <c r="E22" t="n">
        <v>825.3723</v>
      </c>
      <c r="F22" t="inlineStr">
        <is>
          <t>USD</t>
        </is>
      </c>
      <c r="G22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1810</t>
        </is>
      </c>
      <c r="B2" t="n">
        <v>-47102</v>
      </c>
      <c r="C2" t="n">
        <v>0</v>
      </c>
      <c r="D2" t="n">
        <v>-47102</v>
      </c>
      <c r="E2" t="n">
        <v>2066.12</v>
      </c>
      <c r="F2" t="n">
        <v>2663.42</v>
      </c>
    </row>
    <row r="3">
      <c r="A3" t="inlineStr">
        <is>
          <t>AMZN</t>
        </is>
      </c>
      <c r="B3" t="n">
        <v>47560</v>
      </c>
      <c r="C3" t="n">
        <v>0</v>
      </c>
      <c r="D3" t="n">
        <v>47560</v>
      </c>
      <c r="E3" t="n">
        <v>3143.62</v>
      </c>
      <c r="F3" t="n">
        <v>2582.94</v>
      </c>
    </row>
    <row r="4">
      <c r="A4" t="inlineStr">
        <is>
          <t>BAC</t>
        </is>
      </c>
      <c r="B4" t="n">
        <v>39255</v>
      </c>
      <c r="C4" t="n">
        <v>0</v>
      </c>
      <c r="D4" t="n">
        <v>39255</v>
      </c>
      <c r="E4" t="n">
        <v>2490.02</v>
      </c>
      <c r="F4" t="n">
        <v>2026.91</v>
      </c>
    </row>
    <row r="5">
      <c r="A5" t="inlineStr">
        <is>
          <t>BLBD</t>
        </is>
      </c>
      <c r="B5" t="n">
        <v>38861</v>
      </c>
      <c r="C5" t="n">
        <v>0</v>
      </c>
      <c r="D5" t="n">
        <v>38861</v>
      </c>
      <c r="E5" t="n">
        <v>1925.5</v>
      </c>
      <c r="F5" t="n">
        <v>1466.96</v>
      </c>
    </row>
    <row r="6">
      <c r="A6" t="inlineStr">
        <is>
          <t>BX</t>
        </is>
      </c>
      <c r="B6" t="n">
        <v>59873</v>
      </c>
      <c r="C6" t="n">
        <v>0</v>
      </c>
      <c r="D6" t="n">
        <v>59873</v>
      </c>
      <c r="E6" t="n">
        <v>3558</v>
      </c>
      <c r="F6" t="n">
        <v>2852.27</v>
      </c>
    </row>
    <row r="7">
      <c r="A7" t="inlineStr">
        <is>
          <t>CAT</t>
        </is>
      </c>
      <c r="B7" t="n">
        <v>59576</v>
      </c>
      <c r="C7" t="n">
        <v>0</v>
      </c>
      <c r="D7" t="n">
        <v>59576</v>
      </c>
      <c r="E7" t="n">
        <v>2644.32</v>
      </c>
      <c r="F7" t="n">
        <v>1942.45</v>
      </c>
    </row>
    <row r="8">
      <c r="A8" t="inlineStr">
        <is>
          <t>GD</t>
        </is>
      </c>
      <c r="B8" t="n">
        <v>9560</v>
      </c>
      <c r="C8" t="n">
        <v>0</v>
      </c>
      <c r="D8" t="n">
        <v>9560</v>
      </c>
      <c r="E8" t="n">
        <v>750.35</v>
      </c>
      <c r="F8" t="n">
        <v>636.26</v>
      </c>
    </row>
    <row r="9">
      <c r="A9" t="inlineStr">
        <is>
          <t>GE</t>
        </is>
      </c>
      <c r="B9" t="n">
        <v>119851</v>
      </c>
      <c r="C9" t="n">
        <v>0</v>
      </c>
      <c r="D9" t="n">
        <v>119851</v>
      </c>
      <c r="E9" t="n">
        <v>3891.56</v>
      </c>
      <c r="F9" t="n">
        <v>2481.33</v>
      </c>
    </row>
    <row r="10">
      <c r="A10" t="inlineStr">
        <is>
          <t>GOOG</t>
        </is>
      </c>
      <c r="B10" t="n">
        <v>693977</v>
      </c>
      <c r="C10" t="n">
        <v>0</v>
      </c>
      <c r="D10" t="n">
        <v>693977</v>
      </c>
      <c r="E10" t="n">
        <v>29161.99</v>
      </c>
      <c r="F10" t="n">
        <v>20747.35</v>
      </c>
    </row>
    <row r="11">
      <c r="A11" t="inlineStr">
        <is>
          <t>LLY</t>
        </is>
      </c>
      <c r="B11" t="n">
        <v>38873</v>
      </c>
      <c r="C11" t="n">
        <v>0</v>
      </c>
      <c r="D11" t="n">
        <v>38873</v>
      </c>
      <c r="E11" t="n">
        <v>4889.74</v>
      </c>
      <c r="F11" t="n">
        <v>4453.13</v>
      </c>
    </row>
    <row r="12">
      <c r="A12" t="inlineStr">
        <is>
          <t>NFLX</t>
        </is>
      </c>
      <c r="B12" t="n">
        <v>69382</v>
      </c>
      <c r="C12" t="n">
        <v>0</v>
      </c>
      <c r="D12" t="n">
        <v>69382</v>
      </c>
      <c r="E12" t="n">
        <v>3380.72</v>
      </c>
      <c r="F12" t="n">
        <v>2563.5</v>
      </c>
    </row>
    <row r="13">
      <c r="A13" t="inlineStr">
        <is>
          <t>NOVd</t>
        </is>
      </c>
      <c r="B13" t="n">
        <v>-16027</v>
      </c>
      <c r="C13" t="n">
        <v>0</v>
      </c>
      <c r="D13" t="n">
        <v>-16027</v>
      </c>
      <c r="E13" t="n">
        <v>2621.51</v>
      </c>
      <c r="F13" t="n">
        <v>2898.2</v>
      </c>
    </row>
    <row r="14">
      <c r="A14" t="inlineStr">
        <is>
          <t>R6C0d</t>
        </is>
      </c>
      <c r="B14" t="n">
        <v>24844</v>
      </c>
      <c r="C14" t="n">
        <v>0</v>
      </c>
      <c r="D14" t="n">
        <v>24844</v>
      </c>
      <c r="E14" t="n">
        <v>2476.53</v>
      </c>
      <c r="F14" t="n">
        <v>2385.91</v>
      </c>
    </row>
    <row r="15">
      <c r="A15" t="inlineStr">
        <is>
          <t>RTX</t>
        </is>
      </c>
      <c r="B15" t="n">
        <v>37771</v>
      </c>
      <c r="C15" t="n">
        <v>0</v>
      </c>
      <c r="D15" t="n">
        <v>37771</v>
      </c>
      <c r="E15" t="n">
        <v>2081.72</v>
      </c>
      <c r="F15" t="n">
        <v>1635.9</v>
      </c>
    </row>
    <row r="16">
      <c r="A16" t="inlineStr">
        <is>
          <t>TGT</t>
        </is>
      </c>
      <c r="B16" t="n">
        <v>-2765</v>
      </c>
      <c r="C16" t="n">
        <v>0</v>
      </c>
      <c r="D16" t="n">
        <v>-2765</v>
      </c>
      <c r="E16" t="n">
        <v>2213.21</v>
      </c>
      <c r="F16" t="n">
        <v>2243.94</v>
      </c>
    </row>
    <row r="17">
      <c r="A17" t="inlineStr">
        <is>
          <t>TSM</t>
        </is>
      </c>
      <c r="B17" t="n">
        <v>51961</v>
      </c>
      <c r="C17" t="n">
        <v>0</v>
      </c>
      <c r="D17" t="n">
        <v>51961</v>
      </c>
      <c r="E17" t="n">
        <v>1764.01</v>
      </c>
      <c r="F17" t="n">
        <v>1152</v>
      </c>
    </row>
    <row r="18">
      <c r="A18" t="inlineStr">
        <is>
          <t>XOM</t>
        </is>
      </c>
      <c r="B18" t="n">
        <v>10908</v>
      </c>
      <c r="C18" t="n">
        <v>0</v>
      </c>
      <c r="D18" t="n">
        <v>10908</v>
      </c>
      <c r="E18" t="n">
        <v>2375.8</v>
      </c>
      <c r="F18" t="n">
        <v>2245.69</v>
      </c>
    </row>
    <row r="19"/>
    <row r="20">
      <c r="A20" t="inlineStr">
        <is>
          <t>Note</t>
        </is>
      </c>
      <c r="B20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Gunjan Narulkar (U16931511 Paid)</t>
        </is>
      </c>
    </row>
    <row r="2">
      <c r="A2" t="inlineStr">
        <is>
          <t>Assessee</t>
        </is>
      </c>
      <c r="B2" t="inlineStr">
        <is>
          <t>Gunjan Narulkar — IBKR U16931511 (Paid) — Advisor: MATCAP WEALTH ADVISORS PRIVATE LIMITED</t>
        </is>
      </c>
    </row>
    <row r="3">
      <c r="A3" t="inlineStr">
        <is>
          <t>Related account</t>
        </is>
      </c>
      <c r="B3" t="inlineStr">
        <is>
          <t>Also holds U22995548 (Free) — GOOG 179 shares transferred out on 03-Dec-2025; see separate workbook</t>
        </is>
      </c>
    </row>
    <row r="4">
      <c r="A4" t="inlineStr">
        <is>
          <t>Statement coverage</t>
        </is>
      </c>
      <c r="B4" t="inlineStr">
        <is>
          <t>Earliest Paid statement starts 31-Dec-2024 with GOOG already held (prior qty 216). GOOG opening lot seeded 31-Dec-2024 cost USD 19,300.32 (backsolved from Jan-2025 sell bases + Mar-2025 open). True original buy date of GOOG pre-dates furnished statements — confirm for LTCG clock.</t>
        </is>
      </c>
    </row>
    <row r="5">
      <c r="A5" t="inlineStr">
        <is>
          <t>Annual CY2025</t>
        </is>
      </c>
      <c r="B5" t="inlineStr">
        <is>
          <t>Not furnished — synthesized. YE marks proxied from 31-Mar-2025 closes where still held, else cost. Prefer IBKR Annual / PortfolioAnalyst for filing.</t>
        </is>
      </c>
    </row>
    <row r="6">
      <c r="A6" t="inlineStr">
        <is>
          <t>Internal transfer</t>
        </is>
      </c>
      <c r="B6" t="inlineStr">
        <is>
          <t>GOOG Internal Out to U22995548 excluded from taxable CG (same beneficial owner); shown on FA as disposal/transfer</t>
        </is>
      </c>
    </row>
    <row r="7">
      <c r="A7" t="inlineStr">
        <is>
          <t>NFLX split</t>
        </is>
      </c>
      <c r="B7" t="inlineStr">
        <is>
          <t>10-for-1 split applied in FIFO where present</t>
        </is>
      </c>
    </row>
    <row r="8">
      <c r="A8" t="inlineStr">
        <is>
          <t>Assessee</t>
        </is>
      </c>
      <c r="B8" t="inlineStr">
        <is>
          <t>Gunjan Narulkar</t>
        </is>
      </c>
    </row>
    <row r="9">
      <c r="A9" t="inlineStr">
        <is>
          <t>Account</t>
        </is>
      </c>
      <c r="B9" t="inlineStr">
        <is>
          <t>U16931511 — Interactive Brokers LLC (Advisor Client; Advisor: MATCAP WEALTH ADVISORS PRIVATE LIMITED)</t>
        </is>
      </c>
    </row>
    <row r="10">
      <c r="A10" t="inlineStr">
        <is>
          <t>Customer type</t>
        </is>
      </c>
      <c r="B10" t="inlineStr">
        <is>
          <t>Individual</t>
        </is>
      </c>
    </row>
    <row r="11">
      <c r="A11" t="inlineStr">
        <is>
          <t>Base currency</t>
        </is>
      </c>
      <c r="B11" t="inlineStr">
        <is>
          <t>USD</t>
        </is>
      </c>
    </row>
    <row r="12">
      <c r="A12" t="inlineStr">
        <is>
          <t>Account funded</t>
        </is>
      </c>
      <c r="B12" t="inlineStr">
        <is>
          <t>First deposit n/a (inception statement)</t>
        </is>
      </c>
    </row>
    <row r="13">
      <c r="A13" t="inlineStr">
        <is>
          <t>Schedule FA period</t>
        </is>
      </c>
      <c r="B13" t="inlineStr">
        <is>
          <t>Calendar Year 2025 (01-Jan-2025 to 31-Dec-2025) — for ITR AY 2026-27</t>
        </is>
      </c>
    </row>
    <row r="14">
      <c r="A14" t="inlineStr">
        <is>
          <t>Income / CG period</t>
        </is>
      </c>
      <c r="B14" t="inlineStr">
        <is>
          <t>FY 2025-26 (01-Apr-2025 to 31-Mar-2026); also FY 2024-25 sheet for prior year</t>
        </is>
      </c>
    </row>
    <row r="15">
      <c r="A15" t="inlineStr">
        <is>
          <t>Source data</t>
        </is>
      </c>
      <c r="B15" t="inlineStr">
        <is>
          <t>IBKR Activity Statements: Inception FY2024-25 + Annual CY2025 + Fiscal FY2025-26</t>
        </is>
      </c>
    </row>
    <row r="16">
      <c r="A16" t="inlineStr">
        <is>
          <t>FIFO method</t>
        </is>
      </c>
      <c r="B16" t="inlineStr">
        <is>
          <t>Actual buy dates &amp; IBKR Basis from inception replay; splits (LRCX 10:1, NFLX 10:1) applied</t>
        </is>
      </c>
    </row>
    <row r="17">
      <c r="A17" t="inlineStr">
        <is>
          <t>CG reconciliation</t>
        </is>
      </c>
      <c r="B17" t="inlineStr">
        <is>
          <t>Sheets 'Capital Gains FY2025-26' / 'FY2024-25' are formula-driven — yellow cells editable; Gain = Sale INR − Comm INR − Cost INR</t>
        </is>
      </c>
    </row>
    <row r="18">
      <c r="A18" t="inlineStr">
        <is>
          <t>FX Lookup</t>
        </is>
      </c>
      <c r="B18" t="inlineStr">
        <is>
          <t>Editable SBI TT USD/INR &amp; EUR/INR month-end rates + FCY→USD cross rates</t>
        </is>
      </c>
    </row>
    <row r="19">
      <c r="A19" t="inlineStr">
        <is>
          <t>Starting NAV CY2025</t>
        </is>
      </c>
      <c r="B19" t="inlineStr">
        <is>
          <t>USD 0.00</t>
        </is>
      </c>
    </row>
    <row r="20">
      <c r="A20" t="inlineStr">
        <is>
          <t>Ending NAV CY2025</t>
        </is>
      </c>
      <c r="B20" t="inlineStr">
        <is>
          <t>USD 59,845.12</t>
        </is>
      </c>
    </row>
    <row r="21">
      <c r="A21" t="inlineStr">
        <is>
          <t>Deposits CY2025</t>
        </is>
      </c>
      <c r="B21" t="inlineStr">
        <is>
          <t>USD 0.00</t>
        </is>
      </c>
    </row>
    <row r="22">
      <c r="A22" t="inlineStr">
        <is>
          <t>Deposits since inception (to 31-Mar-2025)</t>
        </is>
      </c>
      <c r="B22" t="inlineStr">
        <is>
          <t>USD 0.00</t>
        </is>
      </c>
    </row>
    <row r="23">
      <c r="A23" t="inlineStr">
        <is>
          <t>Dividends CY2025</t>
        </is>
      </c>
      <c r="B23" t="inlineStr">
        <is>
          <t>USD 530.10 / INR 45,808 (Rule 115)</t>
        </is>
      </c>
    </row>
    <row r="24">
      <c r="A24" t="inlineStr">
        <is>
          <t>Interest CY2025</t>
        </is>
      </c>
      <c r="B24" t="inlineStr">
        <is>
          <t>USD 156.76 / INR 13,824 (Rule 115)</t>
        </is>
      </c>
    </row>
    <row r="25">
      <c r="A25" t="inlineStr">
        <is>
          <t>Dividends FY2025-26</t>
        </is>
      </c>
      <c r="B25" t="inlineStr">
        <is>
          <t>USD 665.53 / INR 58,180</t>
        </is>
      </c>
    </row>
    <row r="26">
      <c r="A26" t="inlineStr">
        <is>
          <t>Interest FY2025-26</t>
        </is>
      </c>
      <c r="B26" t="inlineStr">
        <is>
          <t>USD 209.62 / INR 18,598</t>
        </is>
      </c>
    </row>
    <row r="27">
      <c r="A27" t="inlineStr">
        <is>
          <t>STCG FY2025-26 (INR)</t>
        </is>
      </c>
      <c r="B27" t="inlineStr">
        <is>
          <t>1,236,358</t>
        </is>
      </c>
    </row>
    <row r="28">
      <c r="A28" t="inlineStr">
        <is>
          <t>LTCG FY2025-26 (INR)</t>
        </is>
      </c>
      <c r="B28" t="inlineStr">
        <is>
          <t>0</t>
        </is>
      </c>
    </row>
    <row r="29">
      <c r="A29" t="inlineStr">
        <is>
          <t>STCG FY2024-25 (INR)</t>
        </is>
      </c>
      <c r="B29" t="inlineStr">
        <is>
          <t>973,601</t>
        </is>
      </c>
    </row>
    <row r="30">
      <c r="A30" t="inlineStr">
        <is>
          <t>LTCG FY2024-25 (INR)</t>
        </is>
      </c>
      <c r="B30" t="inlineStr">
        <is>
          <t>0</t>
        </is>
      </c>
    </row>
    <row r="31">
      <c r="A31" t="inlineStr">
        <is>
          <t>A1 Foreign Bank/Depository</t>
        </is>
      </c>
      <c r="B31" t="inlineStr">
        <is>
          <t>Generally N/A separately — multi-currency cash sits inside IBKR custodial account (A2)</t>
        </is>
      </c>
    </row>
    <row r="32">
      <c r="A32" t="inlineStr">
        <is>
          <t>A2 Custodial Account</t>
        </is>
      </c>
      <c r="B32" t="inlineStr">
        <is>
          <t>Applicable — see sheet; opening: on or before 2024-12-31 (GOOG held at Paid statement start)</t>
        </is>
      </c>
    </row>
    <row r="33">
      <c r="A33" t="inlineStr">
        <is>
          <t>A3 Equity &amp; Debt Interest</t>
        </is>
      </c>
      <c r="B33" t="inlineStr">
        <is>
          <t>Applicable — 67 FIFO lot lines (one row per acquisition lot; sold lots match Capital Gains)</t>
        </is>
      </c>
    </row>
    <row r="34">
      <c r="A34" t="inlineStr">
        <is>
          <t>A3 Col C (Name of entity)</t>
        </is>
      </c>
      <c r="B34" t="inlineStr">
        <is>
          <t>Symbol only (e.g. NOVd, AAPL). Legal name / address remain in Address &amp; Nature columns.</t>
        </is>
      </c>
    </row>
    <row r="35">
      <c r="A35" t="inlineStr">
        <is>
          <t>A3 vs CG</t>
        </is>
      </c>
      <c r="B35" t="inlineStr">
        <is>
          <t>Sold lots: A3 Initial = CG Cost (INR), A3 Sale = CG Sale (INR), same Rule 115/EUR FX. Multiple buys (e.g. NOVd 21-Mar &amp; 21-Aug) appear as separate A3 rows.</t>
        </is>
      </c>
    </row>
    <row r="36">
      <c r="A36" t="inlineStr">
        <is>
          <t>ADR country practice</t>
        </is>
      </c>
      <c r="B36" t="inlineStr">
        <is>
          <t>Underlying issuer country used for ADRs/GDRs (ASML NL, BTI UK, TSM TW, BYDDY CN, HYU KR, RIO UK)</t>
        </is>
      </c>
    </row>
    <row r="37">
      <c r="A37" t="inlineStr">
        <is>
          <t>CPNG</t>
        </is>
      </c>
      <c r="B37" t="inlineStr">
        <is>
          <t>USA (Delaware corporation, NYSE) despite Korea operations</t>
        </is>
      </c>
    </row>
    <row r="38">
      <c r="A38" t="inlineStr">
        <is>
          <t>NFLX split</t>
        </is>
      </c>
      <c r="B38" t="inlineStr">
        <is>
          <t>10-for-1 split on 14/17-Nov-2025 reflected in FIFO</t>
        </is>
      </c>
    </row>
    <row r="39">
      <c r="A39" t="inlineStr">
        <is>
          <t>LRCX split</t>
        </is>
      </c>
      <c r="B39" t="inlineStr">
        <is>
          <t>10-for-1 split on 02/03-Oct-2024 reflected in FIFO (bought 1 pre-split → 10)</t>
        </is>
      </c>
    </row>
    <row r="40">
      <c r="A40" t="inlineStr">
        <is>
          <t>HYU</t>
        </is>
      </c>
      <c r="B40" t="inlineStr">
        <is>
          <t>Cash merger acquisition Jul-2025 — sale proceeds USD 1,339.02 reported as redemption proceeds</t>
        </is>
      </c>
    </row>
    <row r="41">
      <c r="A41" t="inlineStr">
        <is>
          <t>Action required</t>
        </is>
      </c>
      <c r="B41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2026-08-21T12:29:06Z</dcterms:created>
  <dcterms:modified xsi:type="dcterms:W3CDTF">2026-08-21T12:29:06Z</dcterms:modified>
</cp:coreProperties>
</file>