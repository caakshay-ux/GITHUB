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SGD</t>
        </is>
      </c>
      <c r="B34" s="3" t="n">
        <v>0.7776049766718507</v>
      </c>
    </row>
    <row r="35">
      <c r="A35" t="inlineStr">
        <is>
          <t>USD</t>
        </is>
      </c>
      <c r="B35" s="3" t="n">
        <v>1</v>
      </c>
    </row>
    <row r="36"/>
    <row r="37">
      <c r="A37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Cayman Islands</t>
        </is>
      </c>
      <c r="B5" t="n">
        <v>40</v>
      </c>
      <c r="C5" t="inlineStr">
        <is>
          <t>1810</t>
        </is>
      </c>
      <c r="D5" t="inlineStr">
        <is>
          <t>Xiaomi Corporation, Cayman Islands / Beijing ops</t>
        </is>
      </c>
      <c r="E5" t="inlineStr"/>
      <c r="F5" t="inlineStr">
        <is>
          <t>Listed Foreign Equity Share (Company)</t>
        </is>
      </c>
      <c r="G5" t="inlineStr">
        <is>
          <t>2025-07-09</t>
        </is>
      </c>
      <c r="H5" t="n">
        <v>104150</v>
      </c>
      <c r="I5" t="n">
        <v>109499</v>
      </c>
      <c r="J5" t="n">
        <v>0</v>
      </c>
      <c r="K5" t="n">
        <v>0</v>
      </c>
      <c r="L5" t="n">
        <v>91891</v>
      </c>
    </row>
    <row r="6">
      <c r="A6" t="inlineStr">
        <is>
          <t>Cayman Islands</t>
        </is>
      </c>
      <c r="B6" t="n">
        <v>40</v>
      </c>
      <c r="C6" t="inlineStr">
        <is>
          <t>1810</t>
        </is>
      </c>
      <c r="D6" t="inlineStr">
        <is>
          <t>Xiaomi Corporation, Cayman Islands / Beijing ops</t>
        </is>
      </c>
      <c r="E6" t="inlineStr"/>
      <c r="F6" t="inlineStr">
        <is>
          <t>Listed Foreign Equity Share (Company)</t>
        </is>
      </c>
      <c r="G6" t="inlineStr">
        <is>
          <t>2025-12-11</t>
        </is>
      </c>
      <c r="H6" t="n">
        <v>217725</v>
      </c>
      <c r="I6" t="n">
        <v>218997</v>
      </c>
      <c r="J6" t="n">
        <v>0</v>
      </c>
      <c r="K6" t="n">
        <v>0</v>
      </c>
      <c r="L6" t="n">
        <v>183781</v>
      </c>
    </row>
    <row r="7">
      <c r="A7" t="inlineStr">
        <is>
          <t>Japan</t>
        </is>
      </c>
      <c r="B7" t="n">
        <v>111</v>
      </c>
      <c r="C7" t="inlineStr">
        <is>
          <t>2914.T</t>
        </is>
      </c>
      <c r="D7" t="inlineStr">
        <is>
          <t>2-2-1 Toranomon, Minato-ku, Tokyo</t>
        </is>
      </c>
      <c r="E7" t="inlineStr">
        <is>
          <t>105-8422</t>
        </is>
      </c>
      <c r="F7" t="inlineStr">
        <is>
          <t>Listed Foreign Equity Share (Company)</t>
        </is>
      </c>
      <c r="G7" t="inlineStr">
        <is>
          <t>2025-03-09</t>
        </is>
      </c>
      <c r="H7" t="n">
        <v>214170</v>
      </c>
      <c r="I7" t="n">
        <v>234934</v>
      </c>
      <c r="J7" t="n">
        <v>234934</v>
      </c>
      <c r="K7" t="n">
        <v>5822</v>
      </c>
      <c r="L7" t="n">
        <v>0</v>
      </c>
    </row>
    <row r="8">
      <c r="A8" t="inlineStr">
        <is>
          <t>Hong Kong</t>
        </is>
      </c>
      <c r="B8" t="n">
        <v>94</v>
      </c>
      <c r="C8" t="inlineStr">
        <is>
          <t>3069</t>
        </is>
      </c>
      <c r="D8" t="inlineStr">
        <is>
          <t>ChinaAMC, Hong Kong</t>
        </is>
      </c>
      <c r="E8" t="inlineStr"/>
      <c r="F8" t="inlineStr">
        <is>
          <t>Exchange Traded Fund (Investment Trust)</t>
        </is>
      </c>
      <c r="G8" t="inlineStr">
        <is>
          <t>2025-07-09</t>
        </is>
      </c>
      <c r="H8" t="n">
        <v>107052</v>
      </c>
      <c r="I8" t="n">
        <v>112549</v>
      </c>
      <c r="J8" t="n">
        <v>112549</v>
      </c>
      <c r="K8" t="n">
        <v>400</v>
      </c>
      <c r="L8" t="n">
        <v>0</v>
      </c>
    </row>
    <row r="9">
      <c r="A9" t="inlineStr">
        <is>
          <t>Hong Kong</t>
        </is>
      </c>
      <c r="B9" t="n">
        <v>94</v>
      </c>
      <c r="C9" t="inlineStr">
        <is>
          <t>3110</t>
        </is>
      </c>
      <c r="D9" t="inlineStr">
        <is>
          <t>Global X ETFs / Mirae Asset, Hong Kong</t>
        </is>
      </c>
      <c r="E9" t="inlineStr"/>
      <c r="F9" t="inlineStr">
        <is>
          <t>Exchange Traded Fund (Investment Trust)</t>
        </is>
      </c>
      <c r="G9" t="inlineStr">
        <is>
          <t>2025-07-09</t>
        </is>
      </c>
      <c r="H9" t="n">
        <v>157002</v>
      </c>
      <c r="I9" t="n">
        <v>165064</v>
      </c>
      <c r="J9" t="n">
        <v>165064</v>
      </c>
      <c r="K9" t="n">
        <v>9015</v>
      </c>
      <c r="L9" t="n">
        <v>0</v>
      </c>
    </row>
    <row r="10">
      <c r="A10" t="inlineStr">
        <is>
          <t>Hong Kong</t>
        </is>
      </c>
      <c r="B10" t="n">
        <v>94</v>
      </c>
      <c r="C10" t="inlineStr">
        <is>
          <t>3416</t>
        </is>
      </c>
      <c r="D10" t="inlineStr">
        <is>
          <t>Global X ETFs / Mirae Asset, Hong Kong</t>
        </is>
      </c>
      <c r="E10" t="inlineStr"/>
      <c r="F10" t="inlineStr">
        <is>
          <t>Exchange Traded Fund (Investment Trust)</t>
        </is>
      </c>
      <c r="G10" t="inlineStr">
        <is>
          <t>2025-07-09</t>
        </is>
      </c>
      <c r="H10" t="n">
        <v>115231</v>
      </c>
      <c r="I10" t="n">
        <v>121148</v>
      </c>
      <c r="J10" t="n">
        <v>121148</v>
      </c>
      <c r="K10" t="n">
        <v>8033</v>
      </c>
      <c r="L10" t="n">
        <v>0</v>
      </c>
    </row>
    <row r="11">
      <c r="A11" t="inlineStr">
        <is>
          <t>Japan</t>
        </is>
      </c>
      <c r="B11" t="n">
        <v>111</v>
      </c>
      <c r="C11" t="inlineStr">
        <is>
          <t>4568.T</t>
        </is>
      </c>
      <c r="D11" t="inlineStr">
        <is>
          <t>3-5-1 Nihonbashi Honcho, Chuo-ku, Tokyo</t>
        </is>
      </c>
      <c r="E11" t="inlineStr">
        <is>
          <t>103-8426</t>
        </is>
      </c>
      <c r="F11" t="inlineStr">
        <is>
          <t>Listed Foreign Equity Share (Company)</t>
        </is>
      </c>
      <c r="G11" t="inlineStr">
        <is>
          <t>2025-03-20</t>
        </is>
      </c>
      <c r="H11" t="n">
        <v>206616</v>
      </c>
      <c r="I11" t="n">
        <v>212604</v>
      </c>
      <c r="J11" t="n">
        <v>200499</v>
      </c>
      <c r="K11" t="n">
        <v>6058</v>
      </c>
      <c r="L11" t="n">
        <v>0</v>
      </c>
    </row>
    <row r="12">
      <c r="A12" t="inlineStr">
        <is>
          <t>Japan</t>
        </is>
      </c>
      <c r="B12" t="n">
        <v>111</v>
      </c>
      <c r="C12" t="inlineStr">
        <is>
          <t>4568.T</t>
        </is>
      </c>
      <c r="D12" t="inlineStr">
        <is>
          <t>3-5-1 Nihonbashi Honcho, Chuo-ku, Tokyo</t>
        </is>
      </c>
      <c r="E12" t="inlineStr">
        <is>
          <t>103-8426</t>
        </is>
      </c>
      <c r="F12" t="inlineStr">
        <is>
          <t>Listed Foreign Equity Share (Company)</t>
        </is>
      </c>
      <c r="G12" t="inlineStr">
        <is>
          <t>2025-09-02</t>
        </is>
      </c>
      <c r="H12" t="n">
        <v>198146</v>
      </c>
      <c r="I12" t="n">
        <v>202146</v>
      </c>
      <c r="J12" t="n">
        <v>200499</v>
      </c>
      <c r="K12" t="n">
        <v>0</v>
      </c>
      <c r="L12" t="n">
        <v>0</v>
      </c>
    </row>
    <row r="13">
      <c r="A13" t="inlineStr">
        <is>
          <t>Japan</t>
        </is>
      </c>
      <c r="B13" t="n">
        <v>111</v>
      </c>
      <c r="C13" t="inlineStr">
        <is>
          <t>7203.T</t>
        </is>
      </c>
      <c r="D13" t="inlineStr">
        <is>
          <t>1 Toyota-cho, Toyota City, Aichi</t>
        </is>
      </c>
      <c r="E13" t="inlineStr">
        <is>
          <t>471-8571</t>
        </is>
      </c>
      <c r="F13" t="inlineStr">
        <is>
          <t>Listed Foreign Equity Share (Company)</t>
        </is>
      </c>
      <c r="G13" t="inlineStr">
        <is>
          <t>2025-07-09</t>
        </is>
      </c>
      <c r="H13" t="n">
        <v>134460</v>
      </c>
      <c r="I13" t="n">
        <v>141365</v>
      </c>
      <c r="J13" t="n">
        <v>141365</v>
      </c>
      <c r="K13" t="n">
        <v>2533</v>
      </c>
      <c r="L13" t="n">
        <v>0</v>
      </c>
    </row>
    <row r="14">
      <c r="A14" t="inlineStr">
        <is>
          <t>United States of America</t>
        </is>
      </c>
      <c r="B14" t="n">
        <v>2</v>
      </c>
      <c r="C14" t="inlineStr">
        <is>
          <t>AEP</t>
        </is>
      </c>
      <c r="D14" t="inlineStr">
        <is>
          <t>1 Riverside Plaza, Columbus, OH</t>
        </is>
      </c>
      <c r="E14" t="inlineStr">
        <is>
          <t>43215</t>
        </is>
      </c>
      <c r="F14" t="inlineStr">
        <is>
          <t>Listed Foreign Equity Share (Company)</t>
        </is>
      </c>
      <c r="G14" t="inlineStr">
        <is>
          <t>2025-12-11</t>
        </is>
      </c>
      <c r="H14" t="n">
        <v>101946</v>
      </c>
      <c r="I14" t="n">
        <v>102542</v>
      </c>
      <c r="J14" t="n">
        <v>102542</v>
      </c>
      <c r="K14" t="n">
        <v>0</v>
      </c>
      <c r="L14" t="n">
        <v>0</v>
      </c>
    </row>
    <row r="15">
      <c r="A15" t="inlineStr">
        <is>
          <t>Netherlands</t>
        </is>
      </c>
      <c r="B15" t="n">
        <v>156</v>
      </c>
      <c r="C15" t="inlineStr">
        <is>
          <t>ASML</t>
        </is>
      </c>
      <c r="D15" t="inlineStr">
        <is>
          <t>De Run 6501, 5504 DR Veldhoven</t>
        </is>
      </c>
      <c r="E15" t="inlineStr">
        <is>
          <t>5504 DR</t>
        </is>
      </c>
      <c r="F15" t="inlineStr">
        <is>
          <t>American Depository Receipt of Listed Foreign Company</t>
        </is>
      </c>
      <c r="G15" t="inlineStr">
        <is>
          <t>2024-10-22</t>
        </is>
      </c>
      <c r="H15" t="n">
        <v>361314</v>
      </c>
      <c r="I15" t="n">
        <v>388076</v>
      </c>
      <c r="J15" t="n">
        <v>355713</v>
      </c>
      <c r="K15" t="n">
        <v>3821</v>
      </c>
      <c r="L15" t="n">
        <v>0</v>
      </c>
    </row>
    <row r="16">
      <c r="A16" t="inlineStr">
        <is>
          <t>United States of America</t>
        </is>
      </c>
      <c r="B16" t="n">
        <v>2</v>
      </c>
      <c r="C16" t="inlineStr">
        <is>
          <t>AVGO</t>
        </is>
      </c>
      <c r="D16" t="inlineStr">
        <is>
          <t>3421 Hillview Avenue, Palo Alto, CA</t>
        </is>
      </c>
      <c r="E16" t="inlineStr">
        <is>
          <t>94304</t>
        </is>
      </c>
      <c r="F16" t="inlineStr">
        <is>
          <t>Listed Foreign Equity Share (Company)</t>
        </is>
      </c>
      <c r="G16" t="inlineStr">
        <is>
          <t>2024-09-06</t>
        </is>
      </c>
      <c r="H16" t="n">
        <v>105955</v>
      </c>
      <c r="I16" t="n">
        <v>134820</v>
      </c>
      <c r="J16" t="n">
        <v>134820</v>
      </c>
      <c r="K16" t="n">
        <v>1900</v>
      </c>
      <c r="L16" t="n">
        <v>0</v>
      </c>
    </row>
    <row r="17">
      <c r="A17" t="inlineStr">
        <is>
          <t>United States of America</t>
        </is>
      </c>
      <c r="B17" t="n">
        <v>2</v>
      </c>
      <c r="C17" t="inlineStr">
        <is>
          <t>AXP</t>
        </is>
      </c>
      <c r="D17" t="inlineStr">
        <is>
          <t>200 Vesey Street, New York, NY</t>
        </is>
      </c>
      <c r="E17" t="inlineStr">
        <is>
          <t>10285</t>
        </is>
      </c>
      <c r="F17" t="inlineStr">
        <is>
          <t>Listed Foreign Equity Share (Company)</t>
        </is>
      </c>
      <c r="G17" t="inlineStr">
        <is>
          <t>2024-09-06</t>
        </is>
      </c>
      <c r="H17" t="n">
        <v>63595</v>
      </c>
      <c r="I17" t="n">
        <v>72216</v>
      </c>
      <c r="J17" t="n">
        <v>72216</v>
      </c>
      <c r="K17" t="n">
        <v>820</v>
      </c>
      <c r="L17" t="n">
        <v>0</v>
      </c>
    </row>
    <row r="18">
      <c r="A18" t="inlineStr">
        <is>
          <t>United States of America</t>
        </is>
      </c>
      <c r="B18" t="n">
        <v>2</v>
      </c>
      <c r="C18" t="inlineStr">
        <is>
          <t>BAC</t>
        </is>
      </c>
      <c r="D18" t="inlineStr">
        <is>
          <t>100 North Tryon Street, Charlotte, NC</t>
        </is>
      </c>
      <c r="E18" t="inlineStr">
        <is>
          <t>28255</t>
        </is>
      </c>
      <c r="F18" t="inlineStr">
        <is>
          <t>Listed Foreign Equity Share (Company)</t>
        </is>
      </c>
      <c r="G18" t="inlineStr">
        <is>
          <t>2024-10-03</t>
        </is>
      </c>
      <c r="H18" t="n">
        <v>97832</v>
      </c>
      <c r="I18" t="n">
        <v>112007</v>
      </c>
      <c r="J18" t="n">
        <v>112007</v>
      </c>
      <c r="K18" t="n">
        <v>12275</v>
      </c>
      <c r="L18" t="n">
        <v>0</v>
      </c>
    </row>
    <row r="19">
      <c r="A19" t="inlineStr">
        <is>
          <t>United States of America</t>
        </is>
      </c>
      <c r="B19" t="n">
        <v>2</v>
      </c>
      <c r="C19" t="inlineStr">
        <is>
          <t>BAC</t>
        </is>
      </c>
      <c r="D19" t="inlineStr">
        <is>
          <t>100 North Tryon Street, Charlotte, NC</t>
        </is>
      </c>
      <c r="E19" t="inlineStr">
        <is>
          <t>28255</t>
        </is>
      </c>
      <c r="F19" t="inlineStr">
        <is>
          <t>Listed Foreign Equity Share (Company)</t>
        </is>
      </c>
      <c r="G19" t="inlineStr">
        <is>
          <t>2025-04-07</t>
        </is>
      </c>
      <c r="H19" t="n">
        <v>388024</v>
      </c>
      <c r="I19" t="n">
        <v>492833</v>
      </c>
      <c r="J19" t="n">
        <v>492833</v>
      </c>
      <c r="K19" t="n">
        <v>0</v>
      </c>
      <c r="L19" t="n">
        <v>0</v>
      </c>
    </row>
    <row r="20">
      <c r="A20" t="inlineStr">
        <is>
          <t>United States of America</t>
        </is>
      </c>
      <c r="B20" t="n">
        <v>2</v>
      </c>
      <c r="C20" t="inlineStr">
        <is>
          <t>BLBD</t>
        </is>
      </c>
      <c r="D20" t="inlineStr">
        <is>
          <t>3920 Arkwright Road, Macon, GA</t>
        </is>
      </c>
      <c r="E20" t="inlineStr">
        <is>
          <t>31210</t>
        </is>
      </c>
      <c r="F20" t="inlineStr">
        <is>
          <t>Listed Foreign Equity Share (Company)</t>
        </is>
      </c>
      <c r="G20" t="inlineStr">
        <is>
          <t>2024-10-03</t>
        </is>
      </c>
      <c r="H20" t="n">
        <v>89228</v>
      </c>
      <c r="I20" t="n">
        <v>118100</v>
      </c>
      <c r="J20" t="n">
        <v>0</v>
      </c>
      <c r="K20" t="n">
        <v>0</v>
      </c>
      <c r="L20" t="n">
        <v>115038</v>
      </c>
    </row>
    <row r="21">
      <c r="A21" t="inlineStr">
        <is>
          <t>United States of America</t>
        </is>
      </c>
      <c r="B21" t="n">
        <v>2</v>
      </c>
      <c r="C21" t="inlineStr">
        <is>
          <t>BX</t>
        </is>
      </c>
      <c r="D21" t="inlineStr">
        <is>
          <t>345 Park Avenue, New York, NY</t>
        </is>
      </c>
      <c r="E21" t="inlineStr">
        <is>
          <t>10154</t>
        </is>
      </c>
      <c r="F21" t="inlineStr">
        <is>
          <t>Listed Foreign Equity Share (Company)</t>
        </is>
      </c>
      <c r="G21" t="inlineStr">
        <is>
          <t>2024-10-03</t>
        </is>
      </c>
      <c r="H21" t="n">
        <v>113202</v>
      </c>
      <c r="I21" t="n">
        <v>121587</v>
      </c>
      <c r="J21" t="n">
        <v>112555</v>
      </c>
      <c r="K21" t="n">
        <v>12957</v>
      </c>
      <c r="L21" t="n">
        <v>0</v>
      </c>
    </row>
    <row r="22">
      <c r="A22" t="inlineStr">
        <is>
          <t>United States of America</t>
        </is>
      </c>
      <c r="B22" t="n">
        <v>2</v>
      </c>
      <c r="C22" t="inlineStr">
        <is>
          <t>BX</t>
        </is>
      </c>
      <c r="D22" t="inlineStr">
        <is>
          <t>345 Park Avenue, New York, NY</t>
        </is>
      </c>
      <c r="E22" t="inlineStr">
        <is>
          <t>10154</t>
        </is>
      </c>
      <c r="F22" t="inlineStr">
        <is>
          <t>Listed Foreign Equity Share (Company)</t>
        </is>
      </c>
      <c r="G22" t="inlineStr">
        <is>
          <t>2025-04-07</t>
        </is>
      </c>
      <c r="H22" t="n">
        <v>336772</v>
      </c>
      <c r="I22" t="n">
        <v>412702</v>
      </c>
      <c r="J22" t="n">
        <v>412702</v>
      </c>
      <c r="K22" t="n">
        <v>0</v>
      </c>
      <c r="L22" t="n">
        <v>0</v>
      </c>
    </row>
    <row r="23">
      <c r="A23" t="inlineStr">
        <is>
          <t>United States of America</t>
        </is>
      </c>
      <c r="B23" t="n">
        <v>2</v>
      </c>
      <c r="C23" t="inlineStr">
        <is>
          <t>CAT</t>
        </is>
      </c>
      <c r="D23" t="inlineStr">
        <is>
          <t>5205 N O'Connor Boulevard, Irving, TX</t>
        </is>
      </c>
      <c r="E23" t="inlineStr">
        <is>
          <t>75039</t>
        </is>
      </c>
      <c r="F23" t="inlineStr">
        <is>
          <t>Listed Foreign Equity Share (Company)</t>
        </is>
      </c>
      <c r="G23" t="inlineStr">
        <is>
          <t>2024-09-06</t>
        </is>
      </c>
      <c r="H23" t="n">
        <v>84477</v>
      </c>
      <c r="I23" t="n">
        <v>90517</v>
      </c>
      <c r="J23" t="n">
        <v>88522</v>
      </c>
      <c r="K23" t="n">
        <v>1515</v>
      </c>
      <c r="L23" t="n">
        <v>0</v>
      </c>
    </row>
    <row r="24">
      <c r="A24" t="inlineStr">
        <is>
          <t>Ireland</t>
        </is>
      </c>
      <c r="B24" t="n">
        <v>101</v>
      </c>
      <c r="C24" t="inlineStr">
        <is>
          <t>CNUA</t>
        </is>
      </c>
      <c r="D24" t="inlineStr">
        <is>
          <t>UBS Fund Management (Ireland) Ltd, Dublin</t>
        </is>
      </c>
      <c r="E24" t="inlineStr">
        <is>
          <t>D02 H738</t>
        </is>
      </c>
      <c r="F24" t="inlineStr">
        <is>
          <t>Exchange Traded Fund (Investment Trust)</t>
        </is>
      </c>
      <c r="G24" t="inlineStr">
        <is>
          <t>2024-10-01</t>
        </is>
      </c>
      <c r="H24" t="n">
        <v>98079</v>
      </c>
      <c r="I24" t="n">
        <v>111623</v>
      </c>
      <c r="J24" t="n">
        <v>109753</v>
      </c>
      <c r="K24" t="n">
        <v>0</v>
      </c>
      <c r="L24" t="n">
        <v>0</v>
      </c>
    </row>
    <row r="25">
      <c r="A25" t="inlineStr">
        <is>
          <t>United States of America</t>
        </is>
      </c>
      <c r="B25" t="n">
        <v>2</v>
      </c>
      <c r="C25" t="inlineStr">
        <is>
          <t>CSCO</t>
        </is>
      </c>
      <c r="D25" t="inlineStr">
        <is>
          <t>170 West Tasman Drive, San Jose, CA</t>
        </is>
      </c>
      <c r="E25" t="inlineStr">
        <is>
          <t>95134</t>
        </is>
      </c>
      <c r="F25" t="inlineStr">
        <is>
          <t>Listed Foreign Equity Share (Company)</t>
        </is>
      </c>
      <c r="G25" t="inlineStr">
        <is>
          <t>2025-09-22</t>
        </is>
      </c>
      <c r="H25" t="n">
        <v>119158</v>
      </c>
      <c r="I25" t="n">
        <v>121563</v>
      </c>
      <c r="J25" t="n">
        <v>121563</v>
      </c>
      <c r="K25" t="n">
        <v>724</v>
      </c>
      <c r="L25" t="n">
        <v>0</v>
      </c>
    </row>
    <row r="26">
      <c r="A26" t="inlineStr">
        <is>
          <t>United States of America</t>
        </is>
      </c>
      <c r="B26" t="n">
        <v>2</v>
      </c>
      <c r="C26" t="inlineStr">
        <is>
          <t>DXJ</t>
        </is>
      </c>
      <c r="D26" t="inlineStr">
        <is>
          <t>c/o WisdomTree Investments Inc, 250 West 34th Street, New York, NY</t>
        </is>
      </c>
      <c r="E26" t="inlineStr">
        <is>
          <t>10119</t>
        </is>
      </c>
      <c r="F26" t="inlineStr">
        <is>
          <t>Exchange Traded Fund (Investment Trust)</t>
        </is>
      </c>
      <c r="G26" t="inlineStr">
        <is>
          <t>2024-09-06</t>
        </is>
      </c>
      <c r="H26" t="n">
        <v>204271</v>
      </c>
      <c r="I26" t="n">
        <v>236587</v>
      </c>
      <c r="J26" t="n">
        <v>236587</v>
      </c>
      <c r="K26" t="n">
        <v>3853</v>
      </c>
      <c r="L26" t="n">
        <v>0</v>
      </c>
    </row>
    <row r="27">
      <c r="A27" t="inlineStr">
        <is>
          <t>United States of America</t>
        </is>
      </c>
      <c r="B27" t="n">
        <v>2</v>
      </c>
      <c r="C27" t="inlineStr">
        <is>
          <t>EMXC</t>
        </is>
      </c>
      <c r="D27" t="inlineStr">
        <is>
          <t>c/o BlackRock Fund Advisors, 400 Howard Street, San Francisco, CA</t>
        </is>
      </c>
      <c r="E27" t="inlineStr">
        <is>
          <t>94105</t>
        </is>
      </c>
      <c r="F27" t="inlineStr">
        <is>
          <t>Exchange Traded Fund (Investment Trust)</t>
        </is>
      </c>
      <c r="G27" t="inlineStr">
        <is>
          <t>2024-09-06</t>
        </is>
      </c>
      <c r="H27" t="n">
        <v>371763</v>
      </c>
      <c r="I27" t="n">
        <v>398343</v>
      </c>
      <c r="J27" t="n">
        <v>369668</v>
      </c>
      <c r="K27" t="n">
        <v>13452</v>
      </c>
      <c r="L27" t="n">
        <v>0</v>
      </c>
    </row>
    <row r="28">
      <c r="A28" t="inlineStr">
        <is>
          <t>United States of America</t>
        </is>
      </c>
      <c r="B28" t="n">
        <v>2</v>
      </c>
      <c r="C28" t="inlineStr">
        <is>
          <t>GE</t>
        </is>
      </c>
      <c r="D28" t="inlineStr">
        <is>
          <t>1 Neumann Way, Cincinnati, OH</t>
        </is>
      </c>
      <c r="E28" t="inlineStr">
        <is>
          <t>45215</t>
        </is>
      </c>
      <c r="F28" t="inlineStr">
        <is>
          <t>Listed Foreign Equity Share (Company)</t>
        </is>
      </c>
      <c r="G28" t="inlineStr">
        <is>
          <t>2024-09-06</t>
        </is>
      </c>
      <c r="H28" t="n">
        <v>96701</v>
      </c>
      <c r="I28" t="n">
        <v>125352</v>
      </c>
      <c r="J28" t="n">
        <v>125352</v>
      </c>
      <c r="K28" t="n">
        <v>819</v>
      </c>
      <c r="L28" t="n">
        <v>0</v>
      </c>
    </row>
    <row r="29">
      <c r="A29" t="inlineStr">
        <is>
          <t>United States of America</t>
        </is>
      </c>
      <c r="B29" t="n">
        <v>2</v>
      </c>
      <c r="C29" t="inlineStr">
        <is>
          <t>GLD</t>
        </is>
      </c>
      <c r="D29" t="inlineStr">
        <is>
          <t>c/o World Gold Trust Services LLC, 685 Third Avenue, New York, NY</t>
        </is>
      </c>
      <c r="E29" t="inlineStr">
        <is>
          <t>10017</t>
        </is>
      </c>
      <c r="F29" t="inlineStr">
        <is>
          <t>Exchange Traded Fund (Investment Trust)</t>
        </is>
      </c>
      <c r="G29" t="inlineStr">
        <is>
          <t>2025-12-11</t>
        </is>
      </c>
      <c r="H29" t="n">
        <v>346096</v>
      </c>
      <c r="I29" t="n">
        <v>348119</v>
      </c>
      <c r="J29" t="n">
        <v>348119</v>
      </c>
      <c r="K29" t="n">
        <v>0</v>
      </c>
      <c r="L29" t="n">
        <v>0</v>
      </c>
    </row>
    <row r="30">
      <c r="A30" t="inlineStr">
        <is>
          <t>United States of America</t>
        </is>
      </c>
      <c r="B30" t="n">
        <v>2</v>
      </c>
      <c r="C30" t="inlineStr">
        <is>
          <t>IBM</t>
        </is>
      </c>
      <c r="D30" t="inlineStr">
        <is>
          <t>1 New Orchard Road, Armonk, NY</t>
        </is>
      </c>
      <c r="E30" t="inlineStr">
        <is>
          <t>10504</t>
        </is>
      </c>
      <c r="F30" t="inlineStr">
        <is>
          <t>Listed Foreign Equity Share (Company)</t>
        </is>
      </c>
      <c r="G30" t="inlineStr">
        <is>
          <t>2025-09-22</t>
        </is>
      </c>
      <c r="H30" t="n">
        <v>117382</v>
      </c>
      <c r="I30" t="n">
        <v>119751</v>
      </c>
      <c r="J30" t="n">
        <v>119751</v>
      </c>
      <c r="K30" t="n">
        <v>747</v>
      </c>
      <c r="L30" t="n">
        <v>0</v>
      </c>
    </row>
    <row r="31">
      <c r="A31" t="inlineStr">
        <is>
          <t>United States of America</t>
        </is>
      </c>
      <c r="B31" t="n">
        <v>2</v>
      </c>
      <c r="C31" t="inlineStr">
        <is>
          <t>LLY</t>
        </is>
      </c>
      <c r="D31" t="inlineStr">
        <is>
          <t>Lilly Corporate Center, Indianapolis, IN</t>
        </is>
      </c>
      <c r="E31" t="inlineStr">
        <is>
          <t>46285</t>
        </is>
      </c>
      <c r="F31" t="inlineStr">
        <is>
          <t>Listed Foreign Equity Share (Company)</t>
        </is>
      </c>
      <c r="G31" t="inlineStr">
        <is>
          <t>2024-11-04</t>
        </is>
      </c>
      <c r="H31" t="n">
        <v>202422</v>
      </c>
      <c r="I31" t="n">
        <v>221683</v>
      </c>
      <c r="J31" t="n">
        <v>221683</v>
      </c>
      <c r="K31" t="n">
        <v>1569</v>
      </c>
      <c r="L31" t="n">
        <v>0</v>
      </c>
    </row>
    <row r="32">
      <c r="A32" t="inlineStr">
        <is>
          <t>United States of America</t>
        </is>
      </c>
      <c r="B32" t="n">
        <v>2</v>
      </c>
      <c r="C32" t="inlineStr">
        <is>
          <t>LRCX</t>
        </is>
      </c>
      <c r="D32" t="inlineStr">
        <is>
          <t>4650 Cushing Parkway, Fremont, CA</t>
        </is>
      </c>
      <c r="E32" t="inlineStr">
        <is>
          <t>94538</t>
        </is>
      </c>
      <c r="F32" t="inlineStr">
        <is>
          <t>Listed Foreign Equity Share (Company)</t>
        </is>
      </c>
      <c r="G32" t="inlineStr">
        <is>
          <t>2024-09-06</t>
        </is>
      </c>
      <c r="H32" t="n">
        <v>185178</v>
      </c>
      <c r="I32" t="n">
        <v>198418</v>
      </c>
      <c r="J32" t="n">
        <v>195134</v>
      </c>
      <c r="K32" t="n">
        <v>2451</v>
      </c>
      <c r="L32" t="n">
        <v>0</v>
      </c>
    </row>
    <row r="33">
      <c r="A33" t="inlineStr">
        <is>
          <t>Luxembourg</t>
        </is>
      </c>
      <c r="B33" t="n">
        <v>127</v>
      </c>
      <c r="C33" t="inlineStr">
        <is>
          <t>LU0099574567</t>
        </is>
      </c>
      <c r="D33" t="inlineStr">
        <is>
          <t>Fidelity Funds SICAV, 2a rue Albert Borschette, Luxembourg</t>
        </is>
      </c>
      <c r="E33" t="inlineStr">
        <is>
          <t>L-1246</t>
        </is>
      </c>
      <c r="F33" t="inlineStr">
        <is>
          <t>Foreign Mutual Fund (Investment Trust / UCITS)</t>
        </is>
      </c>
      <c r="G33" t="inlineStr">
        <is>
          <t>2024-09-25</t>
        </is>
      </c>
      <c r="H33" t="n">
        <v>3299469</v>
      </c>
      <c r="I33" t="n">
        <v>3780485</v>
      </c>
      <c r="J33" t="n">
        <v>0</v>
      </c>
      <c r="K33" t="n">
        <v>0</v>
      </c>
      <c r="L33" t="n">
        <v>3416382</v>
      </c>
    </row>
    <row r="34">
      <c r="A34" t="inlineStr">
        <is>
          <t>Luxembourg</t>
        </is>
      </c>
      <c r="B34" t="n">
        <v>127</v>
      </c>
      <c r="C34" t="inlineStr">
        <is>
          <t>LU0106831901</t>
        </is>
      </c>
      <c r="D34" t="inlineStr">
        <is>
          <t>BlackRock Global Funds, 2-4 rue Eugène Ruppert, Luxembourg</t>
        </is>
      </c>
      <c r="E34" t="inlineStr">
        <is>
          <t>L-2453</t>
        </is>
      </c>
      <c r="F34" t="inlineStr">
        <is>
          <t>Foreign Mutual Fund (Investment Trust / UCITS)</t>
        </is>
      </c>
      <c r="G34" t="inlineStr">
        <is>
          <t>2024-09-19</t>
        </is>
      </c>
      <c r="H34" t="n">
        <v>3800118</v>
      </c>
      <c r="I34" t="n">
        <v>4071815</v>
      </c>
      <c r="J34" t="n">
        <v>0</v>
      </c>
      <c r="K34" t="n">
        <v>0</v>
      </c>
      <c r="L34" t="n">
        <v>3834251</v>
      </c>
    </row>
    <row r="35">
      <c r="A35" t="inlineStr">
        <is>
          <t>United States of America</t>
        </is>
      </c>
      <c r="B35" t="n">
        <v>2</v>
      </c>
      <c r="C35" t="inlineStr">
        <is>
          <t>MSFT</t>
        </is>
      </c>
      <c r="D35" t="inlineStr">
        <is>
          <t>One Microsoft Way, Redmond, WA</t>
        </is>
      </c>
      <c r="E35" t="inlineStr">
        <is>
          <t>98052</t>
        </is>
      </c>
      <c r="F35" t="inlineStr">
        <is>
          <t>Listed Foreign Equity Share (Company)</t>
        </is>
      </c>
      <c r="G35" t="inlineStr">
        <is>
          <t>2024-10-03</t>
        </is>
      </c>
      <c r="H35" t="n">
        <v>104463</v>
      </c>
      <c r="I35" t="n">
        <v>112200</v>
      </c>
      <c r="J35" t="n">
        <v>100758</v>
      </c>
      <c r="K35" t="n">
        <v>890</v>
      </c>
      <c r="L35" t="n">
        <v>0</v>
      </c>
    </row>
    <row r="36">
      <c r="A36" t="inlineStr">
        <is>
          <t>United States of America</t>
        </is>
      </c>
      <c r="B36" t="n">
        <v>2</v>
      </c>
      <c r="C36" t="inlineStr">
        <is>
          <t>NFLX</t>
        </is>
      </c>
      <c r="D36" t="inlineStr">
        <is>
          <t>121 Albright Way, Los Gatos, CA</t>
        </is>
      </c>
      <c r="E36" t="inlineStr">
        <is>
          <t>95032</t>
        </is>
      </c>
      <c r="F36" t="inlineStr">
        <is>
          <t>Listed Foreign Equity Share (Company)</t>
        </is>
      </c>
      <c r="G36" t="inlineStr">
        <is>
          <t>2025-12-11</t>
        </is>
      </c>
      <c r="H36" t="n">
        <v>100200</v>
      </c>
      <c r="I36" t="n">
        <v>100786</v>
      </c>
      <c r="J36" t="n">
        <v>100786</v>
      </c>
      <c r="K36" t="n">
        <v>0</v>
      </c>
      <c r="L36" t="n">
        <v>0</v>
      </c>
    </row>
    <row r="37">
      <c r="A37" t="inlineStr">
        <is>
          <t>United States of America</t>
        </is>
      </c>
      <c r="B37" t="n">
        <v>2</v>
      </c>
      <c r="C37" t="inlineStr">
        <is>
          <t>NOV</t>
        </is>
      </c>
      <c r="D37" t="inlineStr"/>
      <c r="E37" t="inlineStr"/>
      <c r="F37" t="inlineStr">
        <is>
          <t>Listed Foreign Equity / ETF</t>
        </is>
      </c>
      <c r="G37" t="inlineStr">
        <is>
          <t>2025-01-01</t>
        </is>
      </c>
      <c r="H37" t="n">
        <v>0</v>
      </c>
      <c r="I37" t="n">
        <v>0</v>
      </c>
      <c r="J37" t="n">
        <v>0</v>
      </c>
      <c r="K37" t="n">
        <v>4714</v>
      </c>
      <c r="L37" t="n">
        <v>0</v>
      </c>
    </row>
    <row r="38">
      <c r="A38" t="inlineStr">
        <is>
          <t>Denmark</t>
        </is>
      </c>
      <c r="B38" t="n">
        <v>61</v>
      </c>
      <c r="C38" t="inlineStr">
        <is>
          <t>NOVd</t>
        </is>
      </c>
      <c r="D38" t="inlineStr">
        <is>
          <t>Novo Alle 1, 2880 Bagsvaerd</t>
        </is>
      </c>
      <c r="E38" t="inlineStr">
        <is>
          <t>2880</t>
        </is>
      </c>
      <c r="F38" t="inlineStr">
        <is>
          <t>Listed Foreign Equity Share (Company)</t>
        </is>
      </c>
      <c r="G38" t="inlineStr">
        <is>
          <t>2025-03-21</t>
        </is>
      </c>
      <c r="H38" t="n">
        <v>149338</v>
      </c>
      <c r="I38" t="n">
        <v>175256</v>
      </c>
      <c r="J38" t="n">
        <v>0</v>
      </c>
      <c r="K38" t="n">
        <v>0</v>
      </c>
      <c r="L38" t="n">
        <v>112775</v>
      </c>
    </row>
    <row r="39">
      <c r="A39" t="inlineStr">
        <is>
          <t>Denmark</t>
        </is>
      </c>
      <c r="B39" t="n">
        <v>61</v>
      </c>
      <c r="C39" t="inlineStr">
        <is>
          <t>NOVd</t>
        </is>
      </c>
      <c r="D39" t="inlineStr">
        <is>
          <t>Novo Alle 1, 2880 Bagsvaerd</t>
        </is>
      </c>
      <c r="E39" t="inlineStr">
        <is>
          <t>2880</t>
        </is>
      </c>
      <c r="F39" t="inlineStr">
        <is>
          <t>Listed Foreign Equity Share (Company)</t>
        </is>
      </c>
      <c r="G39" t="inlineStr">
        <is>
          <t>2025-09-02</t>
        </is>
      </c>
      <c r="H39" t="n">
        <v>339200</v>
      </c>
      <c r="I39" t="n">
        <v>350512</v>
      </c>
      <c r="J39" t="n">
        <v>0</v>
      </c>
      <c r="K39" t="n">
        <v>0</v>
      </c>
      <c r="L39" t="n">
        <v>225551</v>
      </c>
    </row>
    <row r="40">
      <c r="A40" t="inlineStr">
        <is>
          <t>United States of America</t>
        </is>
      </c>
      <c r="B40" t="n">
        <v>2</v>
      </c>
      <c r="C40" t="inlineStr">
        <is>
          <t>ORCL</t>
        </is>
      </c>
      <c r="D40" t="inlineStr">
        <is>
          <t>2300 Oracle Way, Austin, TX</t>
        </is>
      </c>
      <c r="E40" t="inlineStr">
        <is>
          <t>78741</t>
        </is>
      </c>
      <c r="F40" t="inlineStr">
        <is>
          <t>Listed Foreign Equity Share (Company)</t>
        </is>
      </c>
      <c r="G40" t="inlineStr">
        <is>
          <t>2025-09-22</t>
        </is>
      </c>
      <c r="H40" t="n">
        <v>137085</v>
      </c>
      <c r="I40" t="n">
        <v>139852</v>
      </c>
      <c r="J40" t="n">
        <v>0</v>
      </c>
      <c r="K40" t="n">
        <v>221</v>
      </c>
      <c r="L40" t="n">
        <v>82209</v>
      </c>
    </row>
    <row r="41">
      <c r="A41" t="inlineStr">
        <is>
          <t>United Kingdom</t>
        </is>
      </c>
      <c r="B41" t="n">
        <v>234</v>
      </c>
      <c r="C41" t="inlineStr">
        <is>
          <t>R6C0d</t>
        </is>
      </c>
      <c r="D41" t="inlineStr">
        <is>
          <t>Shell Centre, 2 York Road, London</t>
        </is>
      </c>
      <c r="E41" t="inlineStr">
        <is>
          <t>SE1 7NA</t>
        </is>
      </c>
      <c r="F41" t="inlineStr">
        <is>
          <t>Listed Foreign Equity Share (Company)</t>
        </is>
      </c>
      <c r="G41" t="inlineStr">
        <is>
          <t>2024-09-26</t>
        </is>
      </c>
      <c r="H41" t="n">
        <v>88354</v>
      </c>
      <c r="I41" t="n">
        <v>117653</v>
      </c>
      <c r="J41" t="n">
        <v>117653</v>
      </c>
      <c r="K41" t="n">
        <v>0</v>
      </c>
      <c r="L41" t="n">
        <v>0</v>
      </c>
    </row>
    <row r="42">
      <c r="A42" t="inlineStr">
        <is>
          <t>United Kingdom</t>
        </is>
      </c>
      <c r="B42" t="n">
        <v>234</v>
      </c>
      <c r="C42" t="inlineStr">
        <is>
          <t>R6C0d</t>
        </is>
      </c>
      <c r="D42" t="inlineStr">
        <is>
          <t>Shell Centre, 2 York Road, London</t>
        </is>
      </c>
      <c r="E42" t="inlineStr">
        <is>
          <t>SE1 7NA</t>
        </is>
      </c>
      <c r="F42" t="inlineStr">
        <is>
          <t>Listed Foreign Equity Share (Company)</t>
        </is>
      </c>
      <c r="G42" t="inlineStr">
        <is>
          <t>2025-04-07</t>
        </is>
      </c>
      <c r="H42" t="n">
        <v>414087</v>
      </c>
      <c r="I42" t="n">
        <v>570436</v>
      </c>
      <c r="J42" t="n">
        <v>570436</v>
      </c>
      <c r="K42" t="n">
        <v>0</v>
      </c>
      <c r="L42" t="n">
        <v>0</v>
      </c>
    </row>
    <row r="43">
      <c r="A43" t="inlineStr">
        <is>
          <t>Canada</t>
        </is>
      </c>
      <c r="B43" t="n">
        <v>36</v>
      </c>
      <c r="C43" t="inlineStr">
        <is>
          <t>SHOP</t>
        </is>
      </c>
      <c r="D43" t="inlineStr">
        <is>
          <t>151 O'Connor Street, Ground Floor, Ottawa, ON</t>
        </is>
      </c>
      <c r="E43" t="inlineStr">
        <is>
          <t>K2P 2L8</t>
        </is>
      </c>
      <c r="F43" t="inlineStr">
        <is>
          <t>Listed Foreign Equity Share (Company)</t>
        </is>
      </c>
      <c r="G43" t="inlineStr">
        <is>
          <t>2024-09-19</t>
        </is>
      </c>
      <c r="H43" t="n">
        <v>731560</v>
      </c>
      <c r="I43" t="n">
        <v>783865</v>
      </c>
      <c r="J43" t="n">
        <v>0</v>
      </c>
      <c r="K43" t="n">
        <v>0</v>
      </c>
      <c r="L43" t="n">
        <v>738131</v>
      </c>
    </row>
    <row r="44">
      <c r="A44" t="inlineStr">
        <is>
          <t>Germany</t>
        </is>
      </c>
      <c r="B44" t="n">
        <v>78</v>
      </c>
      <c r="C44" t="inlineStr">
        <is>
          <t>SIEd</t>
        </is>
      </c>
      <c r="D44" t="inlineStr">
        <is>
          <t>Werner-von-Siemens-Strasse 1, Munich</t>
        </is>
      </c>
      <c r="E44" t="inlineStr">
        <is>
          <t>80333</t>
        </is>
      </c>
      <c r="F44" t="inlineStr">
        <is>
          <t>Listed Foreign Equity Share (Company)</t>
        </is>
      </c>
      <c r="G44" t="inlineStr">
        <is>
          <t>2024-09-06</t>
        </is>
      </c>
      <c r="H44" t="n">
        <v>106597</v>
      </c>
      <c r="I44" t="n">
        <v>155882</v>
      </c>
      <c r="J44" t="n">
        <v>155882</v>
      </c>
      <c r="K44" t="n">
        <v>3686</v>
      </c>
      <c r="L44" t="n">
        <v>0</v>
      </c>
    </row>
    <row r="45">
      <c r="A45" t="inlineStr">
        <is>
          <t>United States of America</t>
        </is>
      </c>
      <c r="B45" t="n">
        <v>2</v>
      </c>
      <c r="C45" t="inlineStr">
        <is>
          <t>TGT</t>
        </is>
      </c>
      <c r="D45" t="inlineStr">
        <is>
          <t>1000 Nicollet Mall, Minneapolis, MN</t>
        </is>
      </c>
      <c r="E45" t="inlineStr">
        <is>
          <t>55403</t>
        </is>
      </c>
      <c r="F45" t="inlineStr">
        <is>
          <t>Listed Foreign Equity Share (Company)</t>
        </is>
      </c>
      <c r="G45" t="inlineStr">
        <is>
          <t>2024-09-06</t>
        </is>
      </c>
      <c r="H45" t="n">
        <v>114687</v>
      </c>
      <c r="I45" t="n">
        <v>122887</v>
      </c>
      <c r="J45" t="n">
        <v>84034</v>
      </c>
      <c r="K45" t="n">
        <v>5676</v>
      </c>
      <c r="L45" t="n">
        <v>0</v>
      </c>
    </row>
    <row r="46">
      <c r="A46" t="inlineStr">
        <is>
          <t>United States of America</t>
        </is>
      </c>
      <c r="B46" t="n">
        <v>2</v>
      </c>
      <c r="C46" t="inlineStr">
        <is>
          <t>TGT</t>
        </is>
      </c>
      <c r="D46" t="inlineStr">
        <is>
          <t>1000 Nicollet Mall, Minneapolis, MN</t>
        </is>
      </c>
      <c r="E46" t="inlineStr">
        <is>
          <t>55403</t>
        </is>
      </c>
      <c r="F46" t="inlineStr">
        <is>
          <t>Listed Foreign Equity Share (Company)</t>
        </is>
      </c>
      <c r="G46" t="inlineStr">
        <is>
          <t>2025-09-02</t>
        </is>
      </c>
      <c r="H46" t="n">
        <v>171826</v>
      </c>
      <c r="I46" t="n">
        <v>196079</v>
      </c>
      <c r="J46" t="n">
        <v>196079</v>
      </c>
      <c r="K46" t="n">
        <v>0</v>
      </c>
      <c r="L46" t="n">
        <v>0</v>
      </c>
    </row>
    <row r="47">
      <c r="A47" t="inlineStr">
        <is>
          <t>United States of America</t>
        </is>
      </c>
      <c r="B47" t="n">
        <v>2</v>
      </c>
      <c r="C47" t="inlineStr">
        <is>
          <t>TIP</t>
        </is>
      </c>
      <c r="D47" t="inlineStr">
        <is>
          <t>c/o BlackRock Fund Advisors, 400 Howard Street, San Francisco, CA</t>
        </is>
      </c>
      <c r="E47" t="inlineStr">
        <is>
          <t>94105</t>
        </is>
      </c>
      <c r="F47" t="inlineStr">
        <is>
          <t>Exchange Traded Fund (Investment Trust)</t>
        </is>
      </c>
      <c r="G47" t="inlineStr">
        <is>
          <t>2024-09-06</t>
        </is>
      </c>
      <c r="H47" t="n">
        <v>356670</v>
      </c>
      <c r="I47" t="n">
        <v>387630</v>
      </c>
      <c r="J47" t="n">
        <v>387630</v>
      </c>
      <c r="K47" t="n">
        <v>12833</v>
      </c>
      <c r="L47" t="n">
        <v>0</v>
      </c>
    </row>
    <row r="48">
      <c r="A48" t="inlineStr">
        <is>
          <t>Taiwan</t>
        </is>
      </c>
      <c r="B48" t="n">
        <v>212</v>
      </c>
      <c r="C48" t="inlineStr">
        <is>
          <t>TSM</t>
        </is>
      </c>
      <c r="D48" t="inlineStr">
        <is>
          <t>8 Li-Hsin Road 6, Hsinchu Science Park, Hsinchu</t>
        </is>
      </c>
      <c r="E48" t="inlineStr">
        <is>
          <t>30078</t>
        </is>
      </c>
      <c r="F48" t="inlineStr">
        <is>
          <t>American Depository Receipt of Listed Foreign Company</t>
        </is>
      </c>
      <c r="G48" t="inlineStr">
        <is>
          <t>2024-09-06</t>
        </is>
      </c>
      <c r="H48" t="n">
        <v>189345</v>
      </c>
      <c r="I48" t="n">
        <v>207928</v>
      </c>
      <c r="J48" t="n">
        <v>207928</v>
      </c>
      <c r="K48" t="n">
        <v>7789</v>
      </c>
      <c r="L48" t="n">
        <v>0</v>
      </c>
    </row>
    <row r="49">
      <c r="A49" t="inlineStr">
        <is>
          <t>Taiwan</t>
        </is>
      </c>
      <c r="B49" t="n">
        <v>212</v>
      </c>
      <c r="C49" t="inlineStr">
        <is>
          <t>TSM</t>
        </is>
      </c>
      <c r="D49" t="inlineStr">
        <is>
          <t>8 Li-Hsin Road 6, Hsinchu Science Park, Hsinchu</t>
        </is>
      </c>
      <c r="E49" t="inlineStr">
        <is>
          <t>30078</t>
        </is>
      </c>
      <c r="F49" t="inlineStr">
        <is>
          <t>American Depository Receipt of Listed Foreign Company</t>
        </is>
      </c>
      <c r="G49" t="inlineStr">
        <is>
          <t>2025-04-07</t>
        </is>
      </c>
      <c r="H49" t="n">
        <v>376120</v>
      </c>
      <c r="I49" t="n">
        <v>460413</v>
      </c>
      <c r="J49" t="n">
        <v>460413</v>
      </c>
      <c r="K49" t="n">
        <v>0</v>
      </c>
      <c r="L49" t="n">
        <v>0</v>
      </c>
    </row>
    <row r="50">
      <c r="A50" t="inlineStr">
        <is>
          <t>United States of America</t>
        </is>
      </c>
      <c r="B50" t="n">
        <v>2</v>
      </c>
      <c r="C50" t="inlineStr">
        <is>
          <t>URA</t>
        </is>
      </c>
      <c r="D50" t="inlineStr">
        <is>
          <t>c/o Global X Management Company LLC, 605 Third Avenue, New York, NY</t>
        </is>
      </c>
      <c r="E50" t="inlineStr">
        <is>
          <t>10158</t>
        </is>
      </c>
      <c r="F50" t="inlineStr">
        <is>
          <t>Exchange Traded Fund (Investment Trust)</t>
        </is>
      </c>
      <c r="G50" t="inlineStr">
        <is>
          <t>2025-12-11</t>
        </is>
      </c>
      <c r="H50" t="n">
        <v>101407</v>
      </c>
      <c r="I50" t="n">
        <v>101999</v>
      </c>
      <c r="J50" t="n">
        <v>101999</v>
      </c>
      <c r="K50" t="n">
        <v>0</v>
      </c>
      <c r="L50" t="n">
        <v>0</v>
      </c>
    </row>
    <row r="51"/>
    <row r="52">
      <c r="G52" t="inlineStr">
        <is>
          <t>TOTAL (Rs.)</t>
        </is>
      </c>
      <c r="H52" s="4" t="n">
        <v>15518473</v>
      </c>
      <c r="I52" s="4" t="n">
        <v>17280823</v>
      </c>
      <c r="J52" s="4" t="n">
        <v>7391176</v>
      </c>
      <c r="K52" s="4" t="n">
        <v>124573</v>
      </c>
      <c r="L52" s="4" t="n">
        <v>8800009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48" customWidth="1" min="5" max="5"/>
    <col width="48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Cayman Islands</t>
        </is>
      </c>
      <c r="C2" t="n">
        <v>40</v>
      </c>
      <c r="D2" t="inlineStr">
        <is>
          <t>1810</t>
        </is>
      </c>
      <c r="E2" t="inlineStr">
        <is>
          <t>Xiaomi Corp - Class B</t>
        </is>
      </c>
      <c r="F2" t="inlineStr">
        <is>
          <t>Listed Foreign Equity Share (Company)</t>
        </is>
      </c>
      <c r="G2" t="n">
        <v>200</v>
      </c>
      <c r="H2" t="inlineStr">
        <is>
          <t>2025-07-09</t>
        </is>
      </c>
      <c r="I2" t="n">
        <v>1223.86</v>
      </c>
      <c r="J2" t="n">
        <v>1223.86</v>
      </c>
      <c r="K2" t="n">
        <v>0</v>
      </c>
      <c r="L2" t="n">
        <v>0</v>
      </c>
      <c r="M2" t="n">
        <v>1033.06</v>
      </c>
    </row>
    <row r="3">
      <c r="A3" t="n">
        <v>2</v>
      </c>
      <c r="B3" t="inlineStr">
        <is>
          <t>Cayman Islands</t>
        </is>
      </c>
      <c r="C3" t="n">
        <v>40</v>
      </c>
      <c r="D3" t="inlineStr">
        <is>
          <t>1810</t>
        </is>
      </c>
      <c r="E3" t="inlineStr">
        <is>
          <t>Xiaomi Corp - Class B</t>
        </is>
      </c>
      <c r="F3" t="inlineStr">
        <is>
          <t>Listed Foreign Equity Share (Company)</t>
        </is>
      </c>
      <c r="G3" t="n">
        <v>400</v>
      </c>
      <c r="H3" t="inlineStr">
        <is>
          <t>2025-12-11</t>
        </is>
      </c>
      <c r="I3" t="n">
        <v>2447.72</v>
      </c>
      <c r="J3" t="n">
        <v>2447.72</v>
      </c>
      <c r="K3" t="n">
        <v>0</v>
      </c>
      <c r="L3" t="n">
        <v>0</v>
      </c>
      <c r="M3" t="n">
        <v>2066.12</v>
      </c>
    </row>
    <row r="4">
      <c r="A4" t="n">
        <v>3</v>
      </c>
      <c r="B4" t="inlineStr">
        <is>
          <t>Japan</t>
        </is>
      </c>
      <c r="C4" t="n">
        <v>111</v>
      </c>
      <c r="D4" t="inlineStr">
        <is>
          <t>2914.T</t>
        </is>
      </c>
      <c r="E4" t="inlineStr">
        <is>
          <t>Japan Tobacco Inc</t>
        </is>
      </c>
      <c r="F4" t="inlineStr">
        <is>
          <t>Listed Foreign Equity Share (Company)</t>
        </is>
      </c>
      <c r="G4" t="n">
        <v>100</v>
      </c>
      <c r="H4" t="inlineStr">
        <is>
          <t>2025-03-09</t>
        </is>
      </c>
      <c r="I4" t="n">
        <v>2463.14</v>
      </c>
      <c r="J4" t="n">
        <v>2625.84</v>
      </c>
      <c r="K4" t="n">
        <v>2625.84</v>
      </c>
      <c r="L4" t="n">
        <v>66.38</v>
      </c>
      <c r="M4" t="n">
        <v>0</v>
      </c>
    </row>
    <row r="5">
      <c r="A5" t="n">
        <v>4</v>
      </c>
      <c r="B5" t="inlineStr">
        <is>
          <t>Hong Kong</t>
        </is>
      </c>
      <c r="C5" t="n">
        <v>94</v>
      </c>
      <c r="D5" t="inlineStr">
        <is>
          <t>3069</t>
        </is>
      </c>
      <c r="E5" t="inlineStr">
        <is>
          <t>ChinaAMC Hang Seng Biotech ETF</t>
        </is>
      </c>
      <c r="F5" t="inlineStr">
        <is>
          <t>Exchange Traded Fund (Investment Trust)</t>
        </is>
      </c>
      <c r="G5" t="n">
        <v>700</v>
      </c>
      <c r="H5" t="inlineStr">
        <is>
          <t>2025-07-09</t>
        </is>
      </c>
      <c r="I5" t="n">
        <v>1257.95</v>
      </c>
      <c r="J5" t="n">
        <v>1257.95</v>
      </c>
      <c r="K5" t="n">
        <v>1257.95</v>
      </c>
      <c r="L5" t="n">
        <v>4.5</v>
      </c>
      <c r="M5" t="n">
        <v>0</v>
      </c>
    </row>
    <row r="6">
      <c r="A6" t="n">
        <v>5</v>
      </c>
      <c r="B6" t="inlineStr">
        <is>
          <t>Hong Kong</t>
        </is>
      </c>
      <c r="C6" t="n">
        <v>94</v>
      </c>
      <c r="D6" t="inlineStr">
        <is>
          <t>3110</t>
        </is>
      </c>
      <c r="E6" t="inlineStr">
        <is>
          <t>Global X Hang Seng High Dividend Yield ETF</t>
        </is>
      </c>
      <c r="F6" t="inlineStr">
        <is>
          <t>Exchange Traded Fund (Investment Trust)</t>
        </is>
      </c>
      <c r="G6" t="n">
        <v>500</v>
      </c>
      <c r="H6" t="inlineStr">
        <is>
          <t>2025-07-09</t>
        </is>
      </c>
      <c r="I6" t="n">
        <v>1844.91</v>
      </c>
      <c r="J6" t="n">
        <v>1844.91</v>
      </c>
      <c r="K6" t="n">
        <v>1844.91</v>
      </c>
      <c r="L6" t="n">
        <v>102.79</v>
      </c>
      <c r="M6" t="n">
        <v>0</v>
      </c>
    </row>
    <row r="7">
      <c r="A7" t="n">
        <v>6</v>
      </c>
      <c r="B7" t="inlineStr">
        <is>
          <t>Hong Kong</t>
        </is>
      </c>
      <c r="C7" t="n">
        <v>94</v>
      </c>
      <c r="D7" t="inlineStr">
        <is>
          <t>3416</t>
        </is>
      </c>
      <c r="E7" t="inlineStr">
        <is>
          <t>Global X HSCEI Covered Call ETF</t>
        </is>
      </c>
      <c r="F7" t="inlineStr">
        <is>
          <t>Exchange Traded Fund (Investment Trust)</t>
        </is>
      </c>
      <c r="G7" t="n">
        <v>1000</v>
      </c>
      <c r="H7" t="inlineStr">
        <is>
          <t>2025-07-09</t>
        </is>
      </c>
      <c r="I7" t="n">
        <v>1354.07</v>
      </c>
      <c r="J7" t="n">
        <v>1354.07</v>
      </c>
      <c r="K7" t="n">
        <v>1354.07</v>
      </c>
      <c r="L7" t="n">
        <v>91.23</v>
      </c>
      <c r="M7" t="n">
        <v>0</v>
      </c>
    </row>
    <row r="8">
      <c r="A8" t="n">
        <v>7</v>
      </c>
      <c r="B8" t="inlineStr">
        <is>
          <t>Japan</t>
        </is>
      </c>
      <c r="C8" t="n">
        <v>111</v>
      </c>
      <c r="D8" t="inlineStr">
        <is>
          <t>4568.T</t>
        </is>
      </c>
      <c r="E8" t="inlineStr">
        <is>
          <t>Daiichi Sankyo Co Ltd</t>
        </is>
      </c>
      <c r="F8" t="inlineStr">
        <is>
          <t>Listed Foreign Equity Share (Company)</t>
        </is>
      </c>
      <c r="G8" t="n">
        <v>100</v>
      </c>
      <c r="H8" t="inlineStr">
        <is>
          <t>2025-03-20</t>
        </is>
      </c>
      <c r="I8" t="n">
        <v>2376.26</v>
      </c>
      <c r="J8" t="n">
        <v>2376.26</v>
      </c>
      <c r="K8" t="n">
        <v>2240.97</v>
      </c>
      <c r="L8" t="n">
        <v>68.93000000000001</v>
      </c>
      <c r="M8" t="n">
        <v>0</v>
      </c>
    </row>
    <row r="9">
      <c r="A9" t="n">
        <v>8</v>
      </c>
      <c r="B9" t="inlineStr">
        <is>
          <t>Japan</t>
        </is>
      </c>
      <c r="C9" t="n">
        <v>111</v>
      </c>
      <c r="D9" t="inlineStr">
        <is>
          <t>4568.T</t>
        </is>
      </c>
      <c r="E9" t="inlineStr">
        <is>
          <t>Daiichi Sankyo Co Ltd</t>
        </is>
      </c>
      <c r="F9" t="inlineStr">
        <is>
          <t>Listed Foreign Equity Share (Company)</t>
        </is>
      </c>
      <c r="G9" t="n">
        <v>100</v>
      </c>
      <c r="H9" t="inlineStr">
        <is>
          <t>2025-09-02</t>
        </is>
      </c>
      <c r="I9" t="n">
        <v>2259.37</v>
      </c>
      <c r="J9" t="n">
        <v>2259.37</v>
      </c>
      <c r="K9" t="n">
        <v>2240.97</v>
      </c>
      <c r="L9" t="n">
        <v>0</v>
      </c>
      <c r="M9" t="n">
        <v>0</v>
      </c>
    </row>
    <row r="10">
      <c r="A10" t="n">
        <v>9</v>
      </c>
      <c r="B10" t="inlineStr">
        <is>
          <t>Japan</t>
        </is>
      </c>
      <c r="C10" t="n">
        <v>111</v>
      </c>
      <c r="D10" t="inlineStr">
        <is>
          <t>7203.T</t>
        </is>
      </c>
      <c r="E10" t="inlineStr">
        <is>
          <t>Toyota Motor Corp</t>
        </is>
      </c>
      <c r="F10" t="inlineStr">
        <is>
          <t>Listed Foreign Equity Share (Company)</t>
        </is>
      </c>
      <c r="G10" t="n">
        <v>100</v>
      </c>
      <c r="H10" t="inlineStr">
        <is>
          <t>2025-07-09</t>
        </is>
      </c>
      <c r="I10" t="n">
        <v>1580.02</v>
      </c>
      <c r="J10" t="n">
        <v>1580.02</v>
      </c>
      <c r="K10" t="n">
        <v>1580.02</v>
      </c>
      <c r="L10" t="n">
        <v>28.72</v>
      </c>
      <c r="M10" t="n">
        <v>0</v>
      </c>
    </row>
    <row r="11">
      <c r="A11" t="n">
        <v>10</v>
      </c>
      <c r="B11" t="inlineStr">
        <is>
          <t>United States of America</t>
        </is>
      </c>
      <c r="C11" t="n">
        <v>2</v>
      </c>
      <c r="D11" t="inlineStr">
        <is>
          <t>AEP</t>
        </is>
      </c>
      <c r="E11" t="inlineStr">
        <is>
          <t>American Electric Power Co Inc</t>
        </is>
      </c>
      <c r="F11" t="inlineStr">
        <is>
          <t>Listed Foreign Equity Share (Company)</t>
        </is>
      </c>
      <c r="G11" t="n">
        <v>10</v>
      </c>
      <c r="H11" t="inlineStr">
        <is>
          <t>2025-12-11</t>
        </is>
      </c>
      <c r="I11" t="n">
        <v>1146.1</v>
      </c>
      <c r="J11" t="n">
        <v>1146.1</v>
      </c>
      <c r="K11" t="n">
        <v>1146.1</v>
      </c>
      <c r="L11" t="n">
        <v>0</v>
      </c>
      <c r="M11" t="n">
        <v>0</v>
      </c>
    </row>
    <row r="12">
      <c r="A12" t="n">
        <v>11</v>
      </c>
      <c r="B12" t="inlineStr">
        <is>
          <t>Netherlands</t>
        </is>
      </c>
      <c r="C12" t="n">
        <v>156</v>
      </c>
      <c r="D12" t="inlineStr">
        <is>
          <t>ASML</t>
        </is>
      </c>
      <c r="E12" t="inlineStr">
        <is>
          <t>ASML Holding NV - NY Registered Shares</t>
        </is>
      </c>
      <c r="F12" t="inlineStr">
        <is>
          <t>American Depository Receipt of Listed Foreign Company</t>
        </is>
      </c>
      <c r="G12" t="n">
        <v>6</v>
      </c>
      <c r="H12" t="inlineStr">
        <is>
          <t>2024-10-22</t>
        </is>
      </c>
      <c r="I12" t="n">
        <v>4337.5</v>
      </c>
      <c r="J12" t="n">
        <v>4337.5</v>
      </c>
      <c r="K12" t="n">
        <v>3975.78</v>
      </c>
      <c r="L12" t="n">
        <v>44.23</v>
      </c>
      <c r="M12" t="n">
        <v>0</v>
      </c>
    </row>
    <row r="13">
      <c r="A13" t="n">
        <v>12</v>
      </c>
      <c r="B13" t="inlineStr">
        <is>
          <t>United States of America</t>
        </is>
      </c>
      <c r="C13" t="n">
        <v>2</v>
      </c>
      <c r="D13" t="inlineStr">
        <is>
          <t>AVGO</t>
        </is>
      </c>
      <c r="E13" t="inlineStr">
        <is>
          <t>Broadcom Inc</t>
        </is>
      </c>
      <c r="F13" t="inlineStr">
        <is>
          <t>Listed Foreign Equity Share (Company)</t>
        </is>
      </c>
      <c r="G13" t="n">
        <v>9</v>
      </c>
      <c r="H13" t="inlineStr">
        <is>
          <t>2024-09-06</t>
        </is>
      </c>
      <c r="I13" t="n">
        <v>1268.92</v>
      </c>
      <c r="J13" t="n">
        <v>1506.87</v>
      </c>
      <c r="K13" t="n">
        <v>1506.87</v>
      </c>
      <c r="L13" t="n">
        <v>21.78</v>
      </c>
      <c r="M13" t="n">
        <v>0</v>
      </c>
    </row>
    <row r="14">
      <c r="A14" t="n">
        <v>13</v>
      </c>
      <c r="B14" t="inlineStr">
        <is>
          <t>United States of America</t>
        </is>
      </c>
      <c r="C14" t="n">
        <v>2</v>
      </c>
      <c r="D14" t="inlineStr">
        <is>
          <t>AXP</t>
        </is>
      </c>
      <c r="E14" t="inlineStr">
        <is>
          <t>American Express Co</t>
        </is>
      </c>
      <c r="F14" t="inlineStr">
        <is>
          <t>Listed Foreign Equity Share (Company)</t>
        </is>
      </c>
      <c r="G14" t="n">
        <v>3</v>
      </c>
      <c r="H14" t="inlineStr">
        <is>
          <t>2024-09-06</t>
        </is>
      </c>
      <c r="I14" t="n">
        <v>761.62</v>
      </c>
      <c r="J14" t="n">
        <v>807.15</v>
      </c>
      <c r="K14" t="n">
        <v>807.15</v>
      </c>
      <c r="L14" t="n">
        <v>9.48</v>
      </c>
      <c r="M14" t="n">
        <v>0</v>
      </c>
    </row>
    <row r="15">
      <c r="A15" t="n">
        <v>14</v>
      </c>
      <c r="B15" t="inlineStr">
        <is>
          <t>United States of America</t>
        </is>
      </c>
      <c r="C15" t="n">
        <v>2</v>
      </c>
      <c r="D15" t="inlineStr">
        <is>
          <t>BAC</t>
        </is>
      </c>
      <c r="E15" t="inlineStr">
        <is>
          <t>Bank of America Corp</t>
        </is>
      </c>
      <c r="F15" t="inlineStr">
        <is>
          <t>Listed Foreign Equity Share (Company)</t>
        </is>
      </c>
      <c r="G15" t="n">
        <v>30</v>
      </c>
      <c r="H15" t="inlineStr">
        <is>
          <t>2024-10-03</t>
        </is>
      </c>
      <c r="I15" t="n">
        <v>1174.45</v>
      </c>
      <c r="J15" t="n">
        <v>1251.9</v>
      </c>
      <c r="K15" t="n">
        <v>1251.9</v>
      </c>
      <c r="L15" t="n">
        <v>140.64</v>
      </c>
      <c r="M15" t="n">
        <v>0</v>
      </c>
    </row>
    <row r="16">
      <c r="A16" t="n">
        <v>15</v>
      </c>
      <c r="B16" t="inlineStr">
        <is>
          <t>United States of America</t>
        </is>
      </c>
      <c r="C16" t="n">
        <v>2</v>
      </c>
      <c r="D16" t="inlineStr">
        <is>
          <t>BAC</t>
        </is>
      </c>
      <c r="E16" t="inlineStr">
        <is>
          <t>Bank of America Corp</t>
        </is>
      </c>
      <c r="F16" t="inlineStr">
        <is>
          <t>Listed Foreign Equity Share (Company)</t>
        </is>
      </c>
      <c r="G16" t="n">
        <v>132</v>
      </c>
      <c r="H16" t="inlineStr">
        <is>
          <t>2025-04-07</t>
        </is>
      </c>
      <c r="I16" t="n">
        <v>4559.63</v>
      </c>
      <c r="J16" t="n">
        <v>5508.36</v>
      </c>
      <c r="K16" t="n">
        <v>5508.36</v>
      </c>
      <c r="L16" t="n">
        <v>0</v>
      </c>
      <c r="M16" t="n">
        <v>0</v>
      </c>
    </row>
    <row r="17">
      <c r="A17" t="n">
        <v>16</v>
      </c>
      <c r="B17" t="inlineStr">
        <is>
          <t>United States of America</t>
        </is>
      </c>
      <c r="C17" t="n">
        <v>2</v>
      </c>
      <c r="D17" t="inlineStr">
        <is>
          <t>BLBD</t>
        </is>
      </c>
      <c r="E17" t="inlineStr">
        <is>
          <t>Blue Bird Corp</t>
        </is>
      </c>
      <c r="F17" t="inlineStr">
        <is>
          <t>Listed Foreign Equity Share (Company)</t>
        </is>
      </c>
      <c r="G17" t="n">
        <v>24</v>
      </c>
      <c r="H17" t="inlineStr">
        <is>
          <t>2024-10-03</t>
        </is>
      </c>
      <c r="I17" t="n">
        <v>1071.16</v>
      </c>
      <c r="J17" t="n">
        <v>1320</v>
      </c>
      <c r="K17" t="n">
        <v>0</v>
      </c>
      <c r="L17" t="n">
        <v>0</v>
      </c>
      <c r="M17" t="n">
        <v>1320</v>
      </c>
    </row>
    <row r="18">
      <c r="A18" t="n">
        <v>17</v>
      </c>
      <c r="B18" t="inlineStr">
        <is>
          <t>United States of America</t>
        </is>
      </c>
      <c r="C18" t="n">
        <v>2</v>
      </c>
      <c r="D18" t="inlineStr">
        <is>
          <t>BX</t>
        </is>
      </c>
      <c r="E18" t="inlineStr">
        <is>
          <t>Blackstone Inc</t>
        </is>
      </c>
      <c r="F18" t="inlineStr">
        <is>
          <t>Listed Foreign Equity Share (Company)</t>
        </is>
      </c>
      <c r="G18" t="n">
        <v>9</v>
      </c>
      <c r="H18" t="inlineStr">
        <is>
          <t>2024-10-03</t>
        </is>
      </c>
      <c r="I18" t="n">
        <v>1358.97</v>
      </c>
      <c r="J18" t="n">
        <v>1358.97</v>
      </c>
      <c r="K18" t="n">
        <v>1258.02</v>
      </c>
      <c r="L18" t="n">
        <v>149.46</v>
      </c>
      <c r="M18" t="n">
        <v>0</v>
      </c>
    </row>
    <row r="19">
      <c r="A19" t="n">
        <v>18</v>
      </c>
      <c r="B19" t="inlineStr">
        <is>
          <t>United States of America</t>
        </is>
      </c>
      <c r="C19" t="n">
        <v>2</v>
      </c>
      <c r="D19" t="inlineStr">
        <is>
          <t>BX</t>
        </is>
      </c>
      <c r="E19" t="inlineStr">
        <is>
          <t>Blackstone Inc</t>
        </is>
      </c>
      <c r="F19" t="inlineStr">
        <is>
          <t>Listed Foreign Equity Share (Company)</t>
        </is>
      </c>
      <c r="G19" t="n">
        <v>33</v>
      </c>
      <c r="H19" t="inlineStr">
        <is>
          <t>2025-04-07</t>
        </is>
      </c>
      <c r="I19" t="n">
        <v>3957.37</v>
      </c>
      <c r="J19" t="n">
        <v>4612.74</v>
      </c>
      <c r="K19" t="n">
        <v>4612.74</v>
      </c>
      <c r="L19" t="n">
        <v>0</v>
      </c>
      <c r="M19" t="n">
        <v>0</v>
      </c>
    </row>
    <row r="20">
      <c r="A20" t="n">
        <v>19</v>
      </c>
      <c r="B20" t="inlineStr">
        <is>
          <t>United States of America</t>
        </is>
      </c>
      <c r="C20" t="n">
        <v>2</v>
      </c>
      <c r="D20" t="inlineStr">
        <is>
          <t>CAT</t>
        </is>
      </c>
      <c r="E20" t="inlineStr">
        <is>
          <t>Caterpillar Inc</t>
        </is>
      </c>
      <c r="F20" t="inlineStr">
        <is>
          <t>Listed Foreign Equity Share (Company)</t>
        </is>
      </c>
      <c r="G20" t="n">
        <v>3</v>
      </c>
      <c r="H20" t="inlineStr">
        <is>
          <t>2024-09-06</t>
        </is>
      </c>
      <c r="I20" t="n">
        <v>1011.7</v>
      </c>
      <c r="J20" t="n">
        <v>1011.7</v>
      </c>
      <c r="K20" t="n">
        <v>989.4</v>
      </c>
      <c r="L20" t="n">
        <v>17.52</v>
      </c>
      <c r="M20" t="n">
        <v>0</v>
      </c>
    </row>
    <row r="21">
      <c r="A21" t="n">
        <v>20</v>
      </c>
      <c r="B21" t="inlineStr">
        <is>
          <t>Ireland</t>
        </is>
      </c>
      <c r="C21" t="n">
        <v>101</v>
      </c>
      <c r="D21" t="inlineStr">
        <is>
          <t>CNUA</t>
        </is>
      </c>
      <c r="E21" t="inlineStr">
        <is>
          <t>UBS ETF MSCI China A USD Acc</t>
        </is>
      </c>
      <c r="F21" t="inlineStr">
        <is>
          <t>Exchange Traded Fund (Investment Trust)</t>
        </is>
      </c>
      <c r="G21" t="n">
        <v>9</v>
      </c>
      <c r="H21" t="inlineStr">
        <is>
          <t>2024-10-01</t>
        </is>
      </c>
      <c r="I21" t="n">
        <v>1247.6</v>
      </c>
      <c r="J21" t="n">
        <v>1247.6</v>
      </c>
      <c r="K21" t="n">
        <v>1226.71</v>
      </c>
      <c r="L21" t="n">
        <v>0</v>
      </c>
      <c r="M21" t="n">
        <v>0</v>
      </c>
    </row>
    <row r="22">
      <c r="A22" t="n">
        <v>21</v>
      </c>
      <c r="B22" t="inlineStr">
        <is>
          <t>United States of America</t>
        </is>
      </c>
      <c r="C22" t="n">
        <v>2</v>
      </c>
      <c r="D22" t="inlineStr">
        <is>
          <t>CSCO</t>
        </is>
      </c>
      <c r="E22" t="inlineStr">
        <is>
          <t>Cisco Systems Inc</t>
        </is>
      </c>
      <c r="F22" t="inlineStr">
        <is>
          <t>Listed Foreign Equity Share (Company)</t>
        </is>
      </c>
      <c r="G22" t="n">
        <v>20</v>
      </c>
      <c r="H22" t="inlineStr">
        <is>
          <t>2025-09-22</t>
        </is>
      </c>
      <c r="I22" t="n">
        <v>1358.7</v>
      </c>
      <c r="J22" t="n">
        <v>1358.7</v>
      </c>
      <c r="K22" t="n">
        <v>1358.7</v>
      </c>
      <c r="L22" t="n">
        <v>8.199999999999999</v>
      </c>
      <c r="M22" t="n">
        <v>0</v>
      </c>
    </row>
    <row r="23">
      <c r="A23" t="n">
        <v>22</v>
      </c>
      <c r="B23" t="inlineStr">
        <is>
          <t>United States of America</t>
        </is>
      </c>
      <c r="C23" t="n">
        <v>2</v>
      </c>
      <c r="D23" t="inlineStr">
        <is>
          <t>DXJ</t>
        </is>
      </c>
      <c r="E23" t="inlineStr">
        <is>
          <t>WisdomTree Japan Hedged Equity Fund</t>
        </is>
      </c>
      <c r="F23" t="inlineStr">
        <is>
          <t>Exchange Traded Fund (Investment Trust)</t>
        </is>
      </c>
      <c r="G23" t="n">
        <v>24</v>
      </c>
      <c r="H23" t="inlineStr">
        <is>
          <t>2024-09-06</t>
        </is>
      </c>
      <c r="I23" t="n">
        <v>2446.36</v>
      </c>
      <c r="J23" t="n">
        <v>2644.32</v>
      </c>
      <c r="K23" t="n">
        <v>2644.32</v>
      </c>
      <c r="L23" t="n">
        <v>44.76</v>
      </c>
      <c r="M23" t="n">
        <v>0</v>
      </c>
    </row>
    <row r="24">
      <c r="A24" t="n">
        <v>23</v>
      </c>
      <c r="B24" t="inlineStr">
        <is>
          <t>United States of America</t>
        </is>
      </c>
      <c r="C24" t="n">
        <v>2</v>
      </c>
      <c r="D24" t="inlineStr">
        <is>
          <t>EMXC</t>
        </is>
      </c>
      <c r="E24" t="inlineStr">
        <is>
          <t>iShares MSCI Emerging Markets ex China ETF</t>
        </is>
      </c>
      <c r="F24" t="inlineStr">
        <is>
          <t>Exchange Traded Fund (Investment Trust)</t>
        </is>
      </c>
      <c r="G24" t="n">
        <v>75</v>
      </c>
      <c r="H24" t="inlineStr">
        <is>
          <t>2024-09-06</t>
        </is>
      </c>
      <c r="I24" t="n">
        <v>4452.25</v>
      </c>
      <c r="J24" t="n">
        <v>4452.25</v>
      </c>
      <c r="K24" t="n">
        <v>4131.75</v>
      </c>
      <c r="L24" t="n">
        <v>153.54</v>
      </c>
      <c r="M24" t="n">
        <v>0</v>
      </c>
    </row>
    <row r="25">
      <c r="A25" t="n">
        <v>24</v>
      </c>
      <c r="B25" t="inlineStr">
        <is>
          <t>United States of America</t>
        </is>
      </c>
      <c r="C25" t="n">
        <v>2</v>
      </c>
      <c r="D25" t="inlineStr">
        <is>
          <t>GE</t>
        </is>
      </c>
      <c r="E25" t="inlineStr">
        <is>
          <t>GE Aerospace / General Electric</t>
        </is>
      </c>
      <c r="F25" t="inlineStr">
        <is>
          <t>Listed Foreign Equity Share (Company)</t>
        </is>
      </c>
      <c r="G25" t="n">
        <v>7</v>
      </c>
      <c r="H25" t="inlineStr">
        <is>
          <t>2024-09-06</t>
        </is>
      </c>
      <c r="I25" t="n">
        <v>1158.1</v>
      </c>
      <c r="J25" t="n">
        <v>1401.05</v>
      </c>
      <c r="K25" t="n">
        <v>1401.05</v>
      </c>
      <c r="L25" t="n">
        <v>9.52</v>
      </c>
      <c r="M25" t="n">
        <v>0</v>
      </c>
    </row>
    <row r="26">
      <c r="A26" t="n">
        <v>25</v>
      </c>
      <c r="B26" t="inlineStr">
        <is>
          <t>United States of America</t>
        </is>
      </c>
      <c r="C26" t="n">
        <v>2</v>
      </c>
      <c r="D26" t="inlineStr">
        <is>
          <t>GLD</t>
        </is>
      </c>
      <c r="E26" t="inlineStr">
        <is>
          <t>SPDR Gold Shares (World Gold Trust)</t>
        </is>
      </c>
      <c r="F26" t="inlineStr">
        <is>
          <t>Exchange Traded Fund (Investment Trust)</t>
        </is>
      </c>
      <c r="G26" t="n">
        <v>10</v>
      </c>
      <c r="H26" t="inlineStr">
        <is>
          <t>2025-12-11</t>
        </is>
      </c>
      <c r="I26" t="n">
        <v>3890.9</v>
      </c>
      <c r="J26" t="n">
        <v>3890.9</v>
      </c>
      <c r="K26" t="n">
        <v>3890.9</v>
      </c>
      <c r="L26" t="n">
        <v>0</v>
      </c>
      <c r="M26" t="n">
        <v>0</v>
      </c>
    </row>
    <row r="27">
      <c r="A27" t="n">
        <v>26</v>
      </c>
      <c r="B27" t="inlineStr">
        <is>
          <t>United States of America</t>
        </is>
      </c>
      <c r="C27" t="n">
        <v>2</v>
      </c>
      <c r="D27" t="inlineStr">
        <is>
          <t>IBM</t>
        </is>
      </c>
      <c r="E27" t="inlineStr">
        <is>
          <t>International Business Machines Corp</t>
        </is>
      </c>
      <c r="F27" t="inlineStr">
        <is>
          <t>Listed Foreign Equity Share (Company)</t>
        </is>
      </c>
      <c r="G27" t="n">
        <v>5</v>
      </c>
      <c r="H27" t="inlineStr">
        <is>
          <t>2025-09-22</t>
        </is>
      </c>
      <c r="I27" t="n">
        <v>1338.45</v>
      </c>
      <c r="J27" t="n">
        <v>1338.45</v>
      </c>
      <c r="K27" t="n">
        <v>1338.45</v>
      </c>
      <c r="L27" t="n">
        <v>8.4</v>
      </c>
      <c r="M27" t="n">
        <v>0</v>
      </c>
    </row>
    <row r="28">
      <c r="A28" t="n">
        <v>27</v>
      </c>
      <c r="B28" t="inlineStr">
        <is>
          <t>United States of America</t>
        </is>
      </c>
      <c r="C28" t="n">
        <v>2</v>
      </c>
      <c r="D28" t="inlineStr">
        <is>
          <t>LLY</t>
        </is>
      </c>
      <c r="E28" t="inlineStr">
        <is>
          <t>Eli Lilly &amp; Company</t>
        </is>
      </c>
      <c r="F28" t="inlineStr">
        <is>
          <t>Listed Foreign Equity Share (Company)</t>
        </is>
      </c>
      <c r="G28" t="n">
        <v>3</v>
      </c>
      <c r="H28" t="inlineStr">
        <is>
          <t>2024-11-04</t>
        </is>
      </c>
      <c r="I28" t="n">
        <v>2419</v>
      </c>
      <c r="J28" t="n">
        <v>2477.73</v>
      </c>
      <c r="K28" t="n">
        <v>2477.73</v>
      </c>
      <c r="L28" t="n">
        <v>18</v>
      </c>
      <c r="M28" t="n">
        <v>0</v>
      </c>
    </row>
    <row r="29">
      <c r="A29" t="n">
        <v>28</v>
      </c>
      <c r="B29" t="inlineStr">
        <is>
          <t>United States of America</t>
        </is>
      </c>
      <c r="C29" t="n">
        <v>2</v>
      </c>
      <c r="D29" t="inlineStr">
        <is>
          <t>LRCX</t>
        </is>
      </c>
      <c r="E29" t="inlineStr">
        <is>
          <t>Lam Research Corp</t>
        </is>
      </c>
      <c r="F29" t="inlineStr">
        <is>
          <t>Listed Foreign Equity Share (Company)</t>
        </is>
      </c>
      <c r="G29" t="n">
        <v>30</v>
      </c>
      <c r="H29" t="inlineStr">
        <is>
          <t>2024-09-06</t>
        </is>
      </c>
      <c r="I29" t="n">
        <v>2217.7</v>
      </c>
      <c r="J29" t="n">
        <v>2217.7</v>
      </c>
      <c r="K29" t="n">
        <v>2181</v>
      </c>
      <c r="L29" t="n">
        <v>28.5</v>
      </c>
      <c r="M29" t="n">
        <v>0</v>
      </c>
    </row>
    <row r="30">
      <c r="A30" t="n">
        <v>29</v>
      </c>
      <c r="B30" t="inlineStr">
        <is>
          <t>Luxembourg</t>
        </is>
      </c>
      <c r="C30" t="n">
        <v>127</v>
      </c>
      <c r="D30" t="inlineStr">
        <is>
          <t>LU0099574567</t>
        </is>
      </c>
      <c r="E30" t="inlineStr">
        <is>
          <t>Fidelity Funds - Global Technology Fund A-INC (EUR)</t>
        </is>
      </c>
      <c r="F30" t="inlineStr">
        <is>
          <t>Foreign Mutual Fund (Investment Trust / UCITS)</t>
        </is>
      </c>
      <c r="G30" t="n">
        <v>511.42</v>
      </c>
      <c r="H30" t="inlineStr">
        <is>
          <t>2024-09-25</t>
        </is>
      </c>
      <c r="I30" t="n">
        <v>42254.21</v>
      </c>
      <c r="J30" t="n">
        <v>42254.21</v>
      </c>
      <c r="K30" t="n">
        <v>0</v>
      </c>
      <c r="L30" t="n">
        <v>0</v>
      </c>
      <c r="M30" t="n">
        <v>42254.21</v>
      </c>
    </row>
    <row r="31">
      <c r="A31" t="n">
        <v>30</v>
      </c>
      <c r="B31" t="inlineStr">
        <is>
          <t>Luxembourg</t>
        </is>
      </c>
      <c r="C31" t="n">
        <v>127</v>
      </c>
      <c r="D31" t="inlineStr">
        <is>
          <t>LU0106831901</t>
        </is>
      </c>
      <c r="E31" t="inlineStr">
        <is>
          <t>BGF World Financials Fund A2 Acc (USD)</t>
        </is>
      </c>
      <c r="F31" t="inlineStr">
        <is>
          <t>Foreign Mutual Fund (Investment Trust / UCITS)</t>
        </is>
      </c>
      <c r="G31" t="n">
        <v>792.45</v>
      </c>
      <c r="H31" t="inlineStr">
        <is>
          <t>2024-09-19</t>
        </is>
      </c>
      <c r="I31" t="n">
        <v>45510.4</v>
      </c>
      <c r="J31" t="n">
        <v>45510.4</v>
      </c>
      <c r="K31" t="n">
        <v>0</v>
      </c>
      <c r="L31" t="n">
        <v>0</v>
      </c>
      <c r="M31" t="n">
        <v>45510.4</v>
      </c>
    </row>
    <row r="32">
      <c r="A32" t="n">
        <v>31</v>
      </c>
      <c r="B32" t="inlineStr">
        <is>
          <t>United States of America</t>
        </is>
      </c>
      <c r="C32" t="n">
        <v>2</v>
      </c>
      <c r="D32" t="inlineStr">
        <is>
          <t>MSFT</t>
        </is>
      </c>
      <c r="E32" t="inlineStr">
        <is>
          <t>Microsoft Corp</t>
        </is>
      </c>
      <c r="F32" t="inlineStr">
        <is>
          <t>Listed Foreign Equity Share (Company)</t>
        </is>
      </c>
      <c r="G32" t="n">
        <v>3</v>
      </c>
      <c r="H32" t="inlineStr">
        <is>
          <t>2024-10-03</t>
        </is>
      </c>
      <c r="I32" t="n">
        <v>1254.06</v>
      </c>
      <c r="J32" t="n">
        <v>1254.06</v>
      </c>
      <c r="K32" t="n">
        <v>1126.17</v>
      </c>
      <c r="L32" t="n">
        <v>10.2</v>
      </c>
      <c r="M32" t="n">
        <v>0</v>
      </c>
    </row>
    <row r="33">
      <c r="A33" t="n">
        <v>32</v>
      </c>
      <c r="B33" t="inlineStr">
        <is>
          <t>United States of America</t>
        </is>
      </c>
      <c r="C33" t="n">
        <v>2</v>
      </c>
      <c r="D33" t="inlineStr">
        <is>
          <t>NFLX</t>
        </is>
      </c>
      <c r="E33" t="inlineStr">
        <is>
          <t>Netflix Inc</t>
        </is>
      </c>
      <c r="F33" t="inlineStr">
        <is>
          <t>Listed Foreign Equity Share (Company)</t>
        </is>
      </c>
      <c r="G33" t="n">
        <v>12</v>
      </c>
      <c r="H33" t="inlineStr">
        <is>
          <t>2025-12-11</t>
        </is>
      </c>
      <c r="I33" t="n">
        <v>1126.48</v>
      </c>
      <c r="J33" t="n">
        <v>1126.48</v>
      </c>
      <c r="K33" t="n">
        <v>1126.48</v>
      </c>
      <c r="L33" t="n">
        <v>0</v>
      </c>
      <c r="M33" t="n">
        <v>0</v>
      </c>
    </row>
    <row r="34">
      <c r="A34" t="n">
        <v>33</v>
      </c>
      <c r="B34" t="inlineStr">
        <is>
          <t>United States of America</t>
        </is>
      </c>
      <c r="C34" t="n">
        <v>2</v>
      </c>
      <c r="D34" t="inlineStr">
        <is>
          <t>NOV</t>
        </is>
      </c>
      <c r="E34" t="inlineStr">
        <is>
          <t>NOV</t>
        </is>
      </c>
      <c r="F34" t="inlineStr">
        <is>
          <t>Listed Foreign Equity / ETF</t>
        </is>
      </c>
      <c r="G34" t="n">
        <v>0</v>
      </c>
      <c r="H34" t="inlineStr">
        <is>
          <t>2025-01-01</t>
        </is>
      </c>
      <c r="I34" t="n">
        <v>0</v>
      </c>
      <c r="J34" t="n">
        <v>0</v>
      </c>
      <c r="K34" t="n">
        <v>0</v>
      </c>
      <c r="L34" t="n">
        <v>54.96</v>
      </c>
      <c r="M34" t="n">
        <v>0</v>
      </c>
    </row>
    <row r="35">
      <c r="A35" t="n">
        <v>34</v>
      </c>
      <c r="B35" t="inlineStr">
        <is>
          <t>Denmark</t>
        </is>
      </c>
      <c r="C35" t="n">
        <v>61</v>
      </c>
      <c r="D35" t="inlineStr">
        <is>
          <t>NOVd</t>
        </is>
      </c>
      <c r="E35" t="inlineStr">
        <is>
          <t>Novo Nordisk A/S - B Shares</t>
        </is>
      </c>
      <c r="F35" t="inlineStr">
        <is>
          <t>Listed Foreign Equity Share (Company)</t>
        </is>
      </c>
      <c r="G35" t="n">
        <v>30</v>
      </c>
      <c r="H35" t="inlineStr">
        <is>
          <t>2025-03-21</t>
        </is>
      </c>
      <c r="I35" t="n">
        <v>1958.82</v>
      </c>
      <c r="J35" t="n">
        <v>1958.82</v>
      </c>
      <c r="K35" t="n">
        <v>0</v>
      </c>
      <c r="L35" t="n">
        <v>0</v>
      </c>
      <c r="M35" t="n">
        <v>1308.56</v>
      </c>
    </row>
    <row r="36">
      <c r="A36" t="n">
        <v>35</v>
      </c>
      <c r="B36" t="inlineStr">
        <is>
          <t>Denmark</t>
        </is>
      </c>
      <c r="C36" t="n">
        <v>61</v>
      </c>
      <c r="D36" t="inlineStr">
        <is>
          <t>NOVd</t>
        </is>
      </c>
      <c r="E36" t="inlineStr">
        <is>
          <t>Novo Nordisk A/S - B Shares</t>
        </is>
      </c>
      <c r="F36" t="inlineStr">
        <is>
          <t>Listed Foreign Equity Share (Company)</t>
        </is>
      </c>
      <c r="G36" t="n">
        <v>60</v>
      </c>
      <c r="H36" t="inlineStr">
        <is>
          <t>2025-09-02</t>
        </is>
      </c>
      <c r="I36" t="n">
        <v>3917.64</v>
      </c>
      <c r="J36" t="n">
        <v>3917.64</v>
      </c>
      <c r="K36" t="n">
        <v>0</v>
      </c>
      <c r="L36" t="n">
        <v>0</v>
      </c>
      <c r="M36" t="n">
        <v>2617.13</v>
      </c>
    </row>
    <row r="37">
      <c r="A37" t="n">
        <v>36</v>
      </c>
      <c r="B37" t="inlineStr">
        <is>
          <t>United States of America</t>
        </is>
      </c>
      <c r="C37" t="n">
        <v>2</v>
      </c>
      <c r="D37" t="inlineStr">
        <is>
          <t>ORCL</t>
        </is>
      </c>
      <c r="E37" t="inlineStr">
        <is>
          <t>Oracle Corp</t>
        </is>
      </c>
      <c r="F37" t="inlineStr">
        <is>
          <t>Listed Foreign Equity Share (Company)</t>
        </is>
      </c>
      <c r="G37" t="n">
        <v>5</v>
      </c>
      <c r="H37" t="inlineStr">
        <is>
          <t>2025-09-22</t>
        </is>
      </c>
      <c r="I37" t="n">
        <v>1563.12</v>
      </c>
      <c r="J37" t="n">
        <v>1563.12</v>
      </c>
      <c r="K37" t="n">
        <v>0</v>
      </c>
      <c r="L37" t="n">
        <v>2.5</v>
      </c>
      <c r="M37" t="n">
        <v>932.0700000000001</v>
      </c>
    </row>
    <row r="38">
      <c r="A38" t="n">
        <v>37</v>
      </c>
      <c r="B38" t="inlineStr">
        <is>
          <t>United Kingdom</t>
        </is>
      </c>
      <c r="C38" t="n">
        <v>234</v>
      </c>
      <c r="D38" t="inlineStr">
        <is>
          <t>R6C0d</t>
        </is>
      </c>
      <c r="E38" t="inlineStr">
        <is>
          <t>Shell plc</t>
        </is>
      </c>
      <c r="F38" t="inlineStr">
        <is>
          <t>Listed Foreign Equity Share (Company)</t>
        </is>
      </c>
      <c r="G38" t="n">
        <v>33</v>
      </c>
      <c r="H38" t="inlineStr">
        <is>
          <t>2024-09-26</t>
        </is>
      </c>
      <c r="I38" t="n">
        <v>1131.49</v>
      </c>
      <c r="J38" t="n">
        <v>1314.99</v>
      </c>
      <c r="K38" t="n">
        <v>1314.99</v>
      </c>
      <c r="L38" t="n">
        <v>0</v>
      </c>
      <c r="M38" t="n">
        <v>0</v>
      </c>
    </row>
    <row r="39">
      <c r="A39" t="n">
        <v>38</v>
      </c>
      <c r="B39" t="inlineStr">
        <is>
          <t>United Kingdom</t>
        </is>
      </c>
      <c r="C39" t="n">
        <v>234</v>
      </c>
      <c r="D39" t="inlineStr">
        <is>
          <t>R6C0d</t>
        </is>
      </c>
      <c r="E39" t="inlineStr">
        <is>
          <t>Shell plc</t>
        </is>
      </c>
      <c r="F39" t="inlineStr">
        <is>
          <t>Listed Foreign Equity Share (Company)</t>
        </is>
      </c>
      <c r="G39" t="n">
        <v>160</v>
      </c>
      <c r="H39" t="inlineStr">
        <is>
          <t>2025-04-07</t>
        </is>
      </c>
      <c r="I39" t="n">
        <v>5294.86</v>
      </c>
      <c r="J39" t="n">
        <v>6375.73</v>
      </c>
      <c r="K39" t="n">
        <v>6375.73</v>
      </c>
      <c r="L39" t="n">
        <v>0</v>
      </c>
      <c r="M39" t="n">
        <v>0</v>
      </c>
    </row>
    <row r="40">
      <c r="A40" t="n">
        <v>39</v>
      </c>
      <c r="B40" t="inlineStr">
        <is>
          <t>Canada</t>
        </is>
      </c>
      <c r="C40" t="n">
        <v>36</v>
      </c>
      <c r="D40" t="inlineStr">
        <is>
          <t>SHOP</t>
        </is>
      </c>
      <c r="E40" t="inlineStr">
        <is>
          <t>Shopify Inc - Class A</t>
        </is>
      </c>
      <c r="F40" t="inlineStr">
        <is>
          <t>Listed Foreign Equity Share (Company)</t>
        </is>
      </c>
      <c r="G40" t="n">
        <v>84</v>
      </c>
      <c r="H40" t="inlineStr">
        <is>
          <t>2024-09-19</t>
        </is>
      </c>
      <c r="I40" t="n">
        <v>8761.200000000001</v>
      </c>
      <c r="J40" t="n">
        <v>8761.200000000001</v>
      </c>
      <c r="K40" t="n">
        <v>0</v>
      </c>
      <c r="L40" t="n">
        <v>0</v>
      </c>
      <c r="M40" t="n">
        <v>8761.200000000001</v>
      </c>
    </row>
    <row r="41">
      <c r="A41" t="n">
        <v>40</v>
      </c>
      <c r="B41" t="inlineStr">
        <is>
          <t>Germany</t>
        </is>
      </c>
      <c r="C41" t="n">
        <v>78</v>
      </c>
      <c r="D41" t="inlineStr">
        <is>
          <t>SIEd</t>
        </is>
      </c>
      <c r="E41" t="inlineStr">
        <is>
          <t>Siemens AG - Registered</t>
        </is>
      </c>
      <c r="F41" t="inlineStr">
        <is>
          <t>Listed Foreign Equity Share (Company)</t>
        </is>
      </c>
      <c r="G41" t="n">
        <v>7</v>
      </c>
      <c r="H41" t="inlineStr">
        <is>
          <t>2024-09-06</t>
        </is>
      </c>
      <c r="I41" t="n">
        <v>1365.12</v>
      </c>
      <c r="J41" t="n">
        <v>1742.28</v>
      </c>
      <c r="K41" t="n">
        <v>1742.28</v>
      </c>
      <c r="L41" t="n">
        <v>42.76</v>
      </c>
      <c r="M41" t="n">
        <v>0</v>
      </c>
    </row>
    <row r="42">
      <c r="A42" t="n">
        <v>41</v>
      </c>
      <c r="B42" t="inlineStr">
        <is>
          <t>United States of America</t>
        </is>
      </c>
      <c r="C42" t="n">
        <v>2</v>
      </c>
      <c r="D42" t="inlineStr">
        <is>
          <t>TGT</t>
        </is>
      </c>
      <c r="E42" t="inlineStr">
        <is>
          <t>Target Corp</t>
        </is>
      </c>
      <c r="F42" t="inlineStr">
        <is>
          <t>Listed Foreign Equity Share (Company)</t>
        </is>
      </c>
      <c r="G42" t="n">
        <v>9</v>
      </c>
      <c r="H42" t="inlineStr">
        <is>
          <t>2024-09-06</t>
        </is>
      </c>
      <c r="I42" t="n">
        <v>1373.5</v>
      </c>
      <c r="J42" t="n">
        <v>1373.5</v>
      </c>
      <c r="K42" t="n">
        <v>939.24</v>
      </c>
      <c r="L42" t="n">
        <v>64.62</v>
      </c>
      <c r="M42" t="n">
        <v>0</v>
      </c>
    </row>
    <row r="43">
      <c r="A43" t="n">
        <v>42</v>
      </c>
      <c r="B43" t="inlineStr">
        <is>
          <t>United States of America</t>
        </is>
      </c>
      <c r="C43" t="n">
        <v>2</v>
      </c>
      <c r="D43" t="inlineStr">
        <is>
          <t>TGT</t>
        </is>
      </c>
      <c r="E43" t="inlineStr">
        <is>
          <t>Target Corp</t>
        </is>
      </c>
      <c r="F43" t="inlineStr">
        <is>
          <t>Listed Foreign Equity Share (Company)</t>
        </is>
      </c>
      <c r="G43" t="n">
        <v>21</v>
      </c>
      <c r="H43" t="inlineStr">
        <is>
          <t>2025-09-02</t>
        </is>
      </c>
      <c r="I43" t="n">
        <v>1959.25</v>
      </c>
      <c r="J43" t="n">
        <v>2191.56</v>
      </c>
      <c r="K43" t="n">
        <v>2191.56</v>
      </c>
      <c r="L43" t="n">
        <v>0</v>
      </c>
      <c r="M43" t="n">
        <v>0</v>
      </c>
    </row>
    <row r="44">
      <c r="A44" t="n">
        <v>43</v>
      </c>
      <c r="B44" t="inlineStr">
        <is>
          <t>United States of America</t>
        </is>
      </c>
      <c r="C44" t="n">
        <v>2</v>
      </c>
      <c r="D44" t="inlineStr">
        <is>
          <t>TIP</t>
        </is>
      </c>
      <c r="E44" t="inlineStr">
        <is>
          <t>iShares TIPS Bond ETF</t>
        </is>
      </c>
      <c r="F44" t="inlineStr">
        <is>
          <t>Exchange Traded Fund (Investment Trust)</t>
        </is>
      </c>
      <c r="G44" t="n">
        <v>39</v>
      </c>
      <c r="H44" t="inlineStr">
        <is>
          <t>2024-09-06</t>
        </is>
      </c>
      <c r="I44" t="n">
        <v>4271.5</v>
      </c>
      <c r="J44" t="n">
        <v>4332.51</v>
      </c>
      <c r="K44" t="n">
        <v>4332.51</v>
      </c>
      <c r="L44" t="n">
        <v>148.28</v>
      </c>
      <c r="M44" t="n">
        <v>0</v>
      </c>
    </row>
    <row r="45">
      <c r="A45" t="n">
        <v>44</v>
      </c>
      <c r="B45" t="inlineStr">
        <is>
          <t>Taiwan</t>
        </is>
      </c>
      <c r="C45" t="n">
        <v>212</v>
      </c>
      <c r="D45" t="inlineStr">
        <is>
          <t>TSM</t>
        </is>
      </c>
      <c r="E45" t="inlineStr">
        <is>
          <t>Taiwan Semiconductor Manufacturing Co - Sponsored ADR</t>
        </is>
      </c>
      <c r="F45" t="inlineStr">
        <is>
          <t>American Depository Receipt of Listed Foreign Company</t>
        </is>
      </c>
      <c r="G45" t="n">
        <v>14</v>
      </c>
      <c r="H45" t="inlineStr">
        <is>
          <t>2024-09-06</t>
        </is>
      </c>
      <c r="I45" t="n">
        <v>2267.6</v>
      </c>
      <c r="J45" t="n">
        <v>2324</v>
      </c>
      <c r="K45" t="n">
        <v>2324</v>
      </c>
      <c r="L45" t="n">
        <v>90.11</v>
      </c>
      <c r="M45" t="n">
        <v>0</v>
      </c>
    </row>
    <row r="46">
      <c r="A46" t="n">
        <v>45</v>
      </c>
      <c r="B46" t="inlineStr">
        <is>
          <t>Taiwan</t>
        </is>
      </c>
      <c r="C46" t="n">
        <v>212</v>
      </c>
      <c r="D46" t="inlineStr">
        <is>
          <t>TSM</t>
        </is>
      </c>
      <c r="E46" t="inlineStr">
        <is>
          <t>Taiwan Semiconductor Manufacturing Co - Sponsored ADR</t>
        </is>
      </c>
      <c r="F46" t="inlineStr">
        <is>
          <t>American Depository Receipt of Listed Foreign Company</t>
        </is>
      </c>
      <c r="G46" t="n">
        <v>31</v>
      </c>
      <c r="H46" t="inlineStr">
        <is>
          <t>2025-04-07</t>
        </is>
      </c>
      <c r="I46" t="n">
        <v>4419.74</v>
      </c>
      <c r="J46" t="n">
        <v>5146</v>
      </c>
      <c r="K46" t="n">
        <v>5146</v>
      </c>
      <c r="L46" t="n">
        <v>0</v>
      </c>
      <c r="M46" t="n">
        <v>0</v>
      </c>
    </row>
    <row r="47">
      <c r="A47" t="n">
        <v>46</v>
      </c>
      <c r="B47" t="inlineStr">
        <is>
          <t>United States of America</t>
        </is>
      </c>
      <c r="C47" t="n">
        <v>2</v>
      </c>
      <c r="D47" t="inlineStr">
        <is>
          <t>URA</t>
        </is>
      </c>
      <c r="E47" t="inlineStr">
        <is>
          <t>Global X Uranium ETF</t>
        </is>
      </c>
      <c r="F47" t="inlineStr">
        <is>
          <t>Exchange Traded Fund (Investment Trust)</t>
        </is>
      </c>
      <c r="G47" t="n">
        <v>24</v>
      </c>
      <c r="H47" t="inlineStr">
        <is>
          <t>2025-12-11</t>
        </is>
      </c>
      <c r="I47" t="n">
        <v>1140.04</v>
      </c>
      <c r="J47" t="n">
        <v>1140.04</v>
      </c>
      <c r="K47" t="n">
        <v>1140.04</v>
      </c>
      <c r="L47" t="n">
        <v>0</v>
      </c>
      <c r="M47" t="n">
        <v>0</v>
      </c>
    </row>
    <row r="48">
      <c r="H48" t="inlineStr">
        <is>
          <t>TOTAL (USD)</t>
        </is>
      </c>
      <c r="I48" t="n">
        <v>187552.81</v>
      </c>
      <c r="J48" t="n">
        <v>193146.53</v>
      </c>
      <c r="K48" t="n">
        <v>82610.66</v>
      </c>
      <c r="L48" t="n">
        <v>1430.01</v>
      </c>
      <c r="M48" t="n">
        <v>105802.75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36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U15172057</t>
        </is>
      </c>
      <c r="G3" t="inlineStr">
        <is>
          <t>Owner - Sole beneficial owner</t>
        </is>
      </c>
      <c r="H3" t="inlineStr">
        <is>
          <t>2024-09-03 (first USD EFT funding)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121972.69</v>
      </c>
      <c r="B6" t="n">
        <v>10912897</v>
      </c>
      <c r="C6" t="n">
        <v>82610.66</v>
      </c>
      <c r="D6" t="n">
        <v>7391176</v>
      </c>
      <c r="E6" t="n">
        <v>142.47</v>
      </c>
      <c r="F6" t="n">
        <v>12327</v>
      </c>
      <c r="G6" t="n">
        <v>1759.88</v>
      </c>
      <c r="H6" t="n">
        <v>153229</v>
      </c>
    </row>
    <row r="7"/>
    <row r="8">
      <c r="A8" t="inlineStr">
        <is>
          <t>NOTES:</t>
        </is>
      </c>
    </row>
    <row r="9">
      <c r="A9" t="inlineStr">
        <is>
          <t>Account: IBKR U15172057 — Yagyank Chadha (Individual, USD base, Cash).</t>
        </is>
      </c>
    </row>
    <row r="10">
      <c r="A10" t="inlineStr">
        <is>
          <t>Starting NAV 01-Jan-2025: USD 121,972.69; Ending NAV 31-Dec-2025: USD 82,610.66.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50,000.00 (2025-02-10: 25000.0 USD, 2025-07-07: 25000.0 USD).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45693</v>
      </c>
      <c r="B4" t="inlineStr">
        <is>
          <t>USD IBKR Managed Securities (SYEP) Interest for Jan-2025</t>
        </is>
      </c>
      <c r="C4" t="inlineStr">
        <is>
          <t>USD</t>
        </is>
      </c>
      <c r="D4" t="n">
        <v>0.07000000000000001</v>
      </c>
      <c r="E4" t="n">
        <v>0.07000000000000001</v>
      </c>
      <c r="F4" t="n">
        <v>86.2</v>
      </c>
      <c r="G4" t="n">
        <v>6</v>
      </c>
    </row>
    <row r="5">
      <c r="A5" s="2" t="n">
        <v>45721</v>
      </c>
      <c r="B5" t="inlineStr">
        <is>
          <t>USD Credit Interest for Feb-2025</t>
        </is>
      </c>
      <c r="C5" t="inlineStr">
        <is>
          <t>USD</t>
        </is>
      </c>
      <c r="D5" t="n">
        <v>32.3</v>
      </c>
      <c r="E5" t="n">
        <v>32.3</v>
      </c>
      <c r="F5" t="n">
        <v>86.95</v>
      </c>
      <c r="G5" t="n">
        <v>2808</v>
      </c>
    </row>
    <row r="6">
      <c r="A6" s="2" t="n">
        <v>45721</v>
      </c>
      <c r="B6" t="inlineStr">
        <is>
          <t>USD IBKR Managed Securities (SYEP) Interest for Feb-2025</t>
        </is>
      </c>
      <c r="C6" t="inlineStr">
        <is>
          <t>USD</t>
        </is>
      </c>
      <c r="D6" t="n">
        <v>0.33</v>
      </c>
      <c r="E6" t="n">
        <v>0.33</v>
      </c>
      <c r="F6" t="n">
        <v>86.95</v>
      </c>
      <c r="G6" t="n">
        <v>29</v>
      </c>
    </row>
    <row r="7">
      <c r="A7" s="2" t="n">
        <v>45750</v>
      </c>
      <c r="B7" t="inlineStr">
        <is>
          <t>USD Credit Interest for Mar-2025</t>
        </is>
      </c>
      <c r="C7" t="inlineStr">
        <is>
          <t>USD</t>
        </is>
      </c>
      <c r="D7" t="n">
        <v>43.15</v>
      </c>
      <c r="E7" t="n">
        <v>43.15</v>
      </c>
      <c r="F7" t="n">
        <v>85.09999999999999</v>
      </c>
      <c r="G7" t="n">
        <v>3672</v>
      </c>
    </row>
    <row r="8">
      <c r="A8" s="2" t="n">
        <v>45750</v>
      </c>
      <c r="B8" t="inlineStr">
        <is>
          <t>USD IBKR Managed Securities (SYEP) Interest for Mar-2025</t>
        </is>
      </c>
      <c r="C8" t="inlineStr">
        <is>
          <t>USD</t>
        </is>
      </c>
      <c r="D8" t="n">
        <v>0.28</v>
      </c>
      <c r="E8" t="n">
        <v>0.28</v>
      </c>
      <c r="F8" t="n">
        <v>85.09999999999999</v>
      </c>
      <c r="G8" t="n">
        <v>24</v>
      </c>
    </row>
    <row r="9">
      <c r="A9" s="2" t="n">
        <v>45782</v>
      </c>
      <c r="B9" t="inlineStr">
        <is>
          <t>USD Credit Interest for Apr-2025</t>
        </is>
      </c>
      <c r="C9" t="inlineStr">
        <is>
          <t>USD</t>
        </is>
      </c>
      <c r="D9" t="n">
        <v>6.21</v>
      </c>
      <c r="E9" t="n">
        <v>6.21</v>
      </c>
      <c r="F9" t="n">
        <v>84.25</v>
      </c>
      <c r="G9" t="n">
        <v>523</v>
      </c>
    </row>
    <row r="10">
      <c r="A10" s="2" t="n">
        <v>45782</v>
      </c>
      <c r="B10" t="inlineStr">
        <is>
          <t>USD IBKR Managed Securities (SYEP) Interest for Apr-2025</t>
        </is>
      </c>
      <c r="C10" t="inlineStr">
        <is>
          <t>USD</t>
        </is>
      </c>
      <c r="D10" t="n">
        <v>0.34</v>
      </c>
      <c r="E10" t="n">
        <v>0.34</v>
      </c>
      <c r="F10" t="n">
        <v>84.25</v>
      </c>
      <c r="G10" t="n">
        <v>29</v>
      </c>
    </row>
    <row r="11">
      <c r="A11" s="2" t="n">
        <v>45812</v>
      </c>
      <c r="B11" t="inlineStr">
        <is>
          <t>USD IBKR Managed Securities (SYEP) Interest for May-2025</t>
        </is>
      </c>
      <c r="C11" t="inlineStr">
        <is>
          <t>USD</t>
        </is>
      </c>
      <c r="D11" t="n">
        <v>0.8100000000000001</v>
      </c>
      <c r="E11" t="n">
        <v>0.8100000000000001</v>
      </c>
      <c r="F11" t="n">
        <v>85.09999999999999</v>
      </c>
      <c r="G11" t="n">
        <v>69</v>
      </c>
    </row>
    <row r="12">
      <c r="A12" s="2" t="n">
        <v>45841</v>
      </c>
      <c r="B12" t="inlineStr">
        <is>
          <t>USD IBKR Managed Securities (SYEP) Interest for Jun-2025</t>
        </is>
      </c>
      <c r="C12" t="inlineStr">
        <is>
          <t>USD</t>
        </is>
      </c>
      <c r="D12" t="n">
        <v>0.57</v>
      </c>
      <c r="E12" t="n">
        <v>0.57</v>
      </c>
      <c r="F12" t="n">
        <v>85.09999999999999</v>
      </c>
      <c r="G12" t="n">
        <v>49</v>
      </c>
    </row>
    <row r="13">
      <c r="A13" s="2" t="n">
        <v>45874</v>
      </c>
      <c r="B13" t="inlineStr">
        <is>
          <t>EUR IBKR Managed Securities (SYEP) Interest for Jul-2025</t>
        </is>
      </c>
      <c r="C13" t="inlineStr">
        <is>
          <t>EUR</t>
        </is>
      </c>
      <c r="D13" t="n">
        <v>0.01</v>
      </c>
      <c r="E13" t="n">
        <v>0.0117</v>
      </c>
      <c r="F13" t="n">
        <v>87.15000000000001</v>
      </c>
      <c r="G13" t="n">
        <v>1</v>
      </c>
    </row>
    <row r="14">
      <c r="A14" s="2" t="n">
        <v>45874</v>
      </c>
      <c r="B14" t="inlineStr">
        <is>
          <t>HKD IBKR Managed Securities (SYEP) Interest for Jul-2025</t>
        </is>
      </c>
      <c r="C14" t="inlineStr">
        <is>
          <t>HKD</t>
        </is>
      </c>
      <c r="D14" t="n">
        <v>2</v>
      </c>
      <c r="E14" t="n">
        <v>0.257</v>
      </c>
      <c r="F14" t="n">
        <v>87.15000000000001</v>
      </c>
      <c r="G14" t="n">
        <v>22</v>
      </c>
    </row>
    <row r="15">
      <c r="A15" s="2" t="n">
        <v>45874</v>
      </c>
      <c r="B15" t="inlineStr">
        <is>
          <t>USD Credit Interest for Jul-2025</t>
        </is>
      </c>
      <c r="C15" t="inlineStr">
        <is>
          <t>USD</t>
        </is>
      </c>
      <c r="D15" t="n">
        <v>22.72</v>
      </c>
      <c r="E15" t="n">
        <v>22.72</v>
      </c>
      <c r="F15" t="n">
        <v>87.15000000000001</v>
      </c>
      <c r="G15" t="n">
        <v>1980</v>
      </c>
    </row>
    <row r="16">
      <c r="A16" s="2" t="n">
        <v>45874</v>
      </c>
      <c r="B16" t="inlineStr">
        <is>
          <t>USD Debit Interest for Jul-2025</t>
        </is>
      </c>
      <c r="C16" t="inlineStr">
        <is>
          <t>USD</t>
        </is>
      </c>
      <c r="D16" t="n">
        <v>-0.6</v>
      </c>
      <c r="E16" t="n">
        <v>-0.6</v>
      </c>
      <c r="F16" t="n">
        <v>87.15000000000001</v>
      </c>
      <c r="G16" t="n">
        <v>-52</v>
      </c>
    </row>
    <row r="17">
      <c r="A17" s="2" t="n">
        <v>45874</v>
      </c>
      <c r="B17" t="inlineStr">
        <is>
          <t>USD IBKR Managed Securities (SYEP) Interest for Jul-2025</t>
        </is>
      </c>
      <c r="C17" t="inlineStr">
        <is>
          <t>USD</t>
        </is>
      </c>
      <c r="D17" t="n">
        <v>0.28</v>
      </c>
      <c r="E17" t="n">
        <v>0.28</v>
      </c>
      <c r="F17" t="n">
        <v>87.15000000000001</v>
      </c>
      <c r="G17" t="n">
        <v>24</v>
      </c>
    </row>
    <row r="18">
      <c r="A18" s="2" t="n">
        <v>45904</v>
      </c>
      <c r="B18" t="inlineStr">
        <is>
          <t>HKD IBKR Managed Securities (SYEP) Interest for Aug-2025</t>
        </is>
      </c>
      <c r="C18" t="inlineStr">
        <is>
          <t>HKD</t>
        </is>
      </c>
      <c r="D18" t="n">
        <v>2.17</v>
      </c>
      <c r="E18" t="n">
        <v>0.2788</v>
      </c>
      <c r="F18" t="n">
        <v>87.7</v>
      </c>
      <c r="G18" t="n">
        <v>24</v>
      </c>
    </row>
    <row r="19">
      <c r="A19" s="2" t="n">
        <v>45904</v>
      </c>
      <c r="B19" t="inlineStr">
        <is>
          <t>JPY IBKR Managed Securities (SYEP) Interest for Aug-2025</t>
        </is>
      </c>
      <c r="C19" t="inlineStr">
        <is>
          <t>JPY</t>
        </is>
      </c>
      <c r="D19" t="n">
        <v>3</v>
      </c>
      <c r="E19" t="n">
        <v>0.0191</v>
      </c>
      <c r="F19" t="n">
        <v>87.7</v>
      </c>
      <c r="G19" t="n">
        <v>2</v>
      </c>
    </row>
    <row r="20">
      <c r="A20" s="2" t="n">
        <v>45904</v>
      </c>
      <c r="B20" t="inlineStr">
        <is>
          <t>USD Credit Interest for Aug-2025</t>
        </is>
      </c>
      <c r="C20" t="inlineStr">
        <is>
          <t>USD</t>
        </is>
      </c>
      <c r="D20" t="n">
        <v>24.04</v>
      </c>
      <c r="E20" t="n">
        <v>24.04</v>
      </c>
      <c r="F20" t="n">
        <v>87.7</v>
      </c>
      <c r="G20" t="n">
        <v>2108</v>
      </c>
    </row>
    <row r="21">
      <c r="A21" s="2" t="n">
        <v>45904</v>
      </c>
      <c r="B21" t="inlineStr">
        <is>
          <t>USD IBKR Managed Securities (SYEP) Interest for Aug-2025</t>
        </is>
      </c>
      <c r="C21" t="inlineStr">
        <is>
          <t>USD</t>
        </is>
      </c>
      <c r="D21" t="n">
        <v>0.2</v>
      </c>
      <c r="E21" t="n">
        <v>0.2</v>
      </c>
      <c r="F21" t="n">
        <v>87.7</v>
      </c>
      <c r="G21" t="n">
        <v>18</v>
      </c>
    </row>
    <row r="22">
      <c r="A22" s="2" t="n">
        <v>45933</v>
      </c>
      <c r="B22" t="inlineStr">
        <is>
          <t>HKD IBKR Managed Securities (SYEP) Interest for Sep-2025</t>
        </is>
      </c>
      <c r="C22" t="inlineStr">
        <is>
          <t>HKD</t>
        </is>
      </c>
      <c r="D22" t="n">
        <v>12.91</v>
      </c>
      <c r="E22" t="n">
        <v>1.6588</v>
      </c>
      <c r="F22" t="n">
        <v>88.34999999999999</v>
      </c>
      <c r="G22" t="n">
        <v>147</v>
      </c>
    </row>
    <row r="23">
      <c r="A23" s="2" t="n">
        <v>45933</v>
      </c>
      <c r="B23" t="inlineStr">
        <is>
          <t>JPY IBKR Managed Securities (SYEP) Interest for Sep-2025</t>
        </is>
      </c>
      <c r="C23" t="inlineStr">
        <is>
          <t>JPY</t>
        </is>
      </c>
      <c r="D23" t="n">
        <v>28</v>
      </c>
      <c r="E23" t="n">
        <v>0.1787</v>
      </c>
      <c r="F23" t="n">
        <v>88.34999999999999</v>
      </c>
      <c r="G23" t="n">
        <v>16</v>
      </c>
    </row>
    <row r="24">
      <c r="A24" s="2" t="n">
        <v>45933</v>
      </c>
      <c r="B24" t="inlineStr">
        <is>
          <t>USD Credit Interest for Sep-2025</t>
        </is>
      </c>
      <c r="C24" t="inlineStr">
        <is>
          <t>USD</t>
        </is>
      </c>
      <c r="D24" t="n">
        <v>2.82</v>
      </c>
      <c r="E24" t="n">
        <v>2.82</v>
      </c>
      <c r="F24" t="n">
        <v>88.34999999999999</v>
      </c>
      <c r="G24" t="n">
        <v>249</v>
      </c>
    </row>
    <row r="25">
      <c r="A25" s="2" t="n">
        <v>45933</v>
      </c>
      <c r="B25" t="inlineStr">
        <is>
          <t>USD IBKR Managed Securities (SYEP) Interest for Sep-2025</t>
        </is>
      </c>
      <c r="C25" t="inlineStr">
        <is>
          <t>USD</t>
        </is>
      </c>
      <c r="D25" t="n">
        <v>0.86</v>
      </c>
      <c r="E25" t="n">
        <v>0.86</v>
      </c>
      <c r="F25" t="n">
        <v>88.34999999999999</v>
      </c>
      <c r="G25" t="n">
        <v>76</v>
      </c>
    </row>
    <row r="26">
      <c r="A26" s="2" t="n">
        <v>45966</v>
      </c>
      <c r="B26" t="inlineStr">
        <is>
          <t>HKD IBKR Managed Securities (SYEP) Interest for Oct-2025</t>
        </is>
      </c>
      <c r="C26" t="inlineStr">
        <is>
          <t>HKD</t>
        </is>
      </c>
      <c r="D26" t="n">
        <v>7.98</v>
      </c>
      <c r="E26" t="n">
        <v>1.0254</v>
      </c>
      <c r="F26" t="n">
        <v>88.2</v>
      </c>
      <c r="G26" t="n">
        <v>90</v>
      </c>
    </row>
    <row r="27">
      <c r="A27" s="2" t="n">
        <v>45966</v>
      </c>
      <c r="B27" t="inlineStr">
        <is>
          <t>USD IBKR Managed Securities (SYEP) Interest for Oct-2025</t>
        </is>
      </c>
      <c r="C27" t="inlineStr">
        <is>
          <t>USD</t>
        </is>
      </c>
      <c r="D27" t="n">
        <v>1.2</v>
      </c>
      <c r="E27" t="n">
        <v>1.2</v>
      </c>
      <c r="F27" t="n">
        <v>88.2</v>
      </c>
      <c r="G27" t="n">
        <v>106</v>
      </c>
    </row>
    <row r="28">
      <c r="A28" s="2" t="n">
        <v>45994</v>
      </c>
      <c r="B28" t="inlineStr">
        <is>
          <t>HKD IBKR Managed Securities (SYEP) Interest for Nov-2025</t>
        </is>
      </c>
      <c r="C28" t="inlineStr">
        <is>
          <t>HKD</t>
        </is>
      </c>
      <c r="D28" t="n">
        <v>15.82</v>
      </c>
      <c r="E28" t="n">
        <v>2.0327</v>
      </c>
      <c r="F28" t="n">
        <v>88.95</v>
      </c>
      <c r="G28" t="n">
        <v>181</v>
      </c>
    </row>
    <row r="29">
      <c r="A29" s="2" t="n">
        <v>45994</v>
      </c>
      <c r="B29" t="inlineStr">
        <is>
          <t>JPY IBKR Managed Securities (SYEP) Interest for Nov-2025</t>
        </is>
      </c>
      <c r="C29" t="inlineStr">
        <is>
          <t>JPY</t>
        </is>
      </c>
      <c r="D29" t="n">
        <v>7</v>
      </c>
      <c r="E29" t="n">
        <v>0.0447</v>
      </c>
      <c r="F29" t="n">
        <v>88.95</v>
      </c>
      <c r="G29" t="n">
        <v>4</v>
      </c>
    </row>
    <row r="30">
      <c r="A30" s="2" t="n">
        <v>45994</v>
      </c>
      <c r="B30" t="inlineStr">
        <is>
          <t>USD IBKR Managed Securities (SYEP) Interest for Nov-2025</t>
        </is>
      </c>
      <c r="C30" t="inlineStr">
        <is>
          <t>USD</t>
        </is>
      </c>
      <c r="D30" t="n">
        <v>1.38</v>
      </c>
      <c r="E30" t="n">
        <v>1.38</v>
      </c>
      <c r="F30" t="n">
        <v>88.95</v>
      </c>
      <c r="G30" t="n">
        <v>123</v>
      </c>
    </row>
    <row r="31">
      <c r="B31" t="inlineStr">
        <is>
          <t>TOTAL INTEREST</t>
        </is>
      </c>
      <c r="E31" t="n">
        <v>142.47</v>
      </c>
      <c r="G31" t="n">
        <v>12327</v>
      </c>
    </row>
    <row r="32"/>
    <row r="33">
      <c r="A33" t="inlineStr">
        <is>
          <t>— DIVIDENDS —</t>
        </is>
      </c>
    </row>
    <row r="34">
      <c r="A34" s="2" t="n">
        <v>45665</v>
      </c>
      <c r="B34" t="inlineStr">
        <is>
          <t>LRCX(US5128073062) Cash Dividend USD 0.23 per Share (Ordinary Dividend)</t>
        </is>
      </c>
      <c r="C34" t="inlineStr">
        <is>
          <t>USD</t>
        </is>
      </c>
      <c r="D34" t="n">
        <v>6.9</v>
      </c>
      <c r="E34" t="n">
        <v>6.9</v>
      </c>
      <c r="F34" t="n">
        <v>85.2</v>
      </c>
      <c r="G34" t="n">
        <v>588</v>
      </c>
    </row>
    <row r="35">
      <c r="A35" s="2" t="n">
        <v>45666</v>
      </c>
      <c r="B35" t="inlineStr">
        <is>
          <t>TSM(US8740391003) Cash Dividend USD 0.608106 per Share (Ordinary Div - NRA Withholding Exempt)</t>
        </is>
      </c>
      <c r="C35" t="inlineStr">
        <is>
          <t>USD</t>
        </is>
      </c>
      <c r="D35" t="n">
        <v>8.52</v>
      </c>
      <c r="E35" t="n">
        <v>8.52</v>
      </c>
      <c r="F35" t="n">
        <v>85.2</v>
      </c>
      <c r="G35" t="n">
        <v>726</v>
      </c>
    </row>
    <row r="36">
      <c r="A36" s="2" t="n">
        <v>45684</v>
      </c>
      <c r="B36" t="inlineStr">
        <is>
          <t>GE(US3696043013) Cash Dividend USD 0.28 per Share (Ordinary Dividend)</t>
        </is>
      </c>
      <c r="C36" t="inlineStr">
        <is>
          <t>USD</t>
        </is>
      </c>
      <c r="D36" t="n">
        <v>1.96</v>
      </c>
      <c r="E36" t="n">
        <v>1.96</v>
      </c>
      <c r="F36" t="n">
        <v>85.2</v>
      </c>
      <c r="G36" t="n">
        <v>167</v>
      </c>
    </row>
    <row r="37">
      <c r="A37" s="2" t="n">
        <v>45698</v>
      </c>
      <c r="B37" t="inlineStr">
        <is>
          <t>AXP(US0258161092) Cash Dividend USD 0.70 per Share (Ordinary Dividend)</t>
        </is>
      </c>
      <c r="C37" t="inlineStr">
        <is>
          <t>USD</t>
        </is>
      </c>
      <c r="D37" t="n">
        <v>2.1</v>
      </c>
      <c r="E37" t="n">
        <v>2.1</v>
      </c>
      <c r="F37" t="n">
        <v>86.2</v>
      </c>
      <c r="G37" t="n">
        <v>181</v>
      </c>
    </row>
    <row r="38">
      <c r="A38" s="2" t="n">
        <v>45706</v>
      </c>
      <c r="B38" t="inlineStr">
        <is>
          <t>SIE(DE0007236101) Cash Dividend EUR 5.20 per Share (Ordinary Dividend)</t>
        </is>
      </c>
      <c r="C38" t="inlineStr">
        <is>
          <t>EUR</t>
        </is>
      </c>
      <c r="D38" t="n">
        <v>36.4</v>
      </c>
      <c r="E38" t="n">
        <v>42.7554</v>
      </c>
      <c r="F38" t="n">
        <v>86.2</v>
      </c>
      <c r="G38" t="n">
        <v>3686</v>
      </c>
    </row>
    <row r="39">
      <c r="A39" s="2" t="n">
        <v>45706</v>
      </c>
      <c r="B39" t="inlineStr">
        <is>
          <t>BX(US09260D1072) Cash Dividend USD 1.44 per Share (Ordinary Dividend)</t>
        </is>
      </c>
      <c r="C39" t="inlineStr">
        <is>
          <t>USD</t>
        </is>
      </c>
      <c r="D39" t="n">
        <v>12.96</v>
      </c>
      <c r="E39" t="n">
        <v>12.96</v>
      </c>
      <c r="F39" t="n">
        <v>86.2</v>
      </c>
      <c r="G39" t="n">
        <v>1117</v>
      </c>
    </row>
    <row r="40">
      <c r="A40" s="2" t="n">
        <v>45707</v>
      </c>
      <c r="B40" t="inlineStr">
        <is>
          <t>ASML(USN070592100) Cash Dividend USD 1.570464 per Share (Ordinary Dividend)</t>
        </is>
      </c>
      <c r="C40" t="inlineStr">
        <is>
          <t>USD</t>
        </is>
      </c>
      <c r="D40" t="n">
        <v>9.42</v>
      </c>
      <c r="E40" t="n">
        <v>9.42</v>
      </c>
      <c r="F40" t="n">
        <v>86.2</v>
      </c>
      <c r="G40" t="n">
        <v>812</v>
      </c>
    </row>
    <row r="41">
      <c r="A41" s="2" t="n">
        <v>45708</v>
      </c>
      <c r="B41" t="inlineStr">
        <is>
          <t>CAT(US1491231015) Cash Dividend USD 1.41 per Share (Ordinary Dividend)</t>
        </is>
      </c>
      <c r="C41" t="inlineStr">
        <is>
          <t>USD</t>
        </is>
      </c>
      <c r="D41" t="n">
        <v>4.23</v>
      </c>
      <c r="E41" t="n">
        <v>4.23</v>
      </c>
      <c r="F41" t="n">
        <v>86.2</v>
      </c>
      <c r="G41" t="n">
        <v>365</v>
      </c>
    </row>
    <row r="42">
      <c r="A42" s="2" t="n">
        <v>45719</v>
      </c>
      <c r="B42" t="inlineStr">
        <is>
          <t>TGT(US87612E1064) Cash Dividend USD 1.12 per Share (Ordinary Dividend)</t>
        </is>
      </c>
      <c r="C42" t="inlineStr">
        <is>
          <t>USD</t>
        </is>
      </c>
      <c r="D42" t="n">
        <v>10.08</v>
      </c>
      <c r="E42" t="n">
        <v>10.08</v>
      </c>
      <c r="F42" t="n">
        <v>86.95</v>
      </c>
      <c r="G42" t="n">
        <v>876</v>
      </c>
    </row>
    <row r="43">
      <c r="A43" s="2" t="n">
        <v>45726</v>
      </c>
      <c r="B43" t="inlineStr">
        <is>
          <t>LLY(US5324571083) Cash Dividend USD 1.50 per Share (Ordinary Dividend)</t>
        </is>
      </c>
      <c r="C43" t="inlineStr">
        <is>
          <t>USD</t>
        </is>
      </c>
      <c r="D43" t="n">
        <v>4.5</v>
      </c>
      <c r="E43" t="n">
        <v>4.5</v>
      </c>
      <c r="F43" t="n">
        <v>86.95</v>
      </c>
      <c r="G43" t="n">
        <v>391</v>
      </c>
    </row>
    <row r="44">
      <c r="A44" s="2" t="n">
        <v>45729</v>
      </c>
      <c r="B44" t="inlineStr">
        <is>
          <t>MSFT(US5949181045) Cash Dividend USD 0.83 per Share (Ordinary Dividend)</t>
        </is>
      </c>
      <c r="C44" t="inlineStr">
        <is>
          <t>USD</t>
        </is>
      </c>
      <c r="D44" t="n">
        <v>2.49</v>
      </c>
      <c r="E44" t="n">
        <v>2.49</v>
      </c>
      <c r="F44" t="n">
        <v>86.95</v>
      </c>
      <c r="G44" t="n">
        <v>217</v>
      </c>
    </row>
    <row r="45">
      <c r="A45" s="2" t="n">
        <v>45740</v>
      </c>
      <c r="B45" t="inlineStr">
        <is>
          <t>SHELL.DRS(NL0015002E16) Expire Dividend Right (Ordinary Dividend)</t>
        </is>
      </c>
      <c r="C45" t="inlineStr">
        <is>
          <t>EUR</t>
        </is>
      </c>
      <c r="D45" t="n">
        <v>10.94</v>
      </c>
      <c r="E45" t="n">
        <v>12.8501</v>
      </c>
      <c r="F45" t="n">
        <v>86.95</v>
      </c>
      <c r="G45" t="n">
        <v>1117</v>
      </c>
    </row>
    <row r="46">
      <c r="A46" s="2" t="n">
        <v>45740</v>
      </c>
      <c r="B46" t="inlineStr">
        <is>
          <t>SHELL.DRS(NL0015002E16) Expire Dividend Right - REVERSAL (Ordinary Dividend)</t>
        </is>
      </c>
      <c r="C46" t="inlineStr">
        <is>
          <t>EUR</t>
        </is>
      </c>
      <c r="D46" t="n">
        <v>-10.94</v>
      </c>
      <c r="E46" t="n">
        <v>-12.8501</v>
      </c>
      <c r="F46" t="n">
        <v>86.95</v>
      </c>
      <c r="G46" t="n">
        <v>-1117</v>
      </c>
    </row>
    <row r="47">
      <c r="A47" s="2" t="n">
        <v>45740</v>
      </c>
      <c r="B47" t="inlineStr">
        <is>
          <t>SHELL.DRS(NL0015002E16) Expire Dividend Right (Ordinary Dividend)</t>
        </is>
      </c>
      <c r="C47" t="inlineStr">
        <is>
          <t>EUR</t>
        </is>
      </c>
      <c r="D47" t="n">
        <v>10.94</v>
      </c>
      <c r="E47" t="n">
        <v>12.8501</v>
      </c>
      <c r="F47" t="n">
        <v>86.95</v>
      </c>
      <c r="G47" t="n">
        <v>1117</v>
      </c>
    </row>
    <row r="48">
      <c r="A48" s="2" t="n">
        <v>45744</v>
      </c>
      <c r="B48" t="inlineStr">
        <is>
          <t>BAC(US0605051046) Cash Dividend USD 0.26 per Share (Ordinary Dividend)</t>
        </is>
      </c>
      <c r="C48" t="inlineStr">
        <is>
          <t>USD</t>
        </is>
      </c>
      <c r="D48" t="n">
        <v>7.8</v>
      </c>
      <c r="E48" t="n">
        <v>7.8</v>
      </c>
      <c r="F48" t="n">
        <v>86.95</v>
      </c>
      <c r="G48" t="n">
        <v>678</v>
      </c>
    </row>
    <row r="49">
      <c r="A49" s="2" t="n">
        <v>45747</v>
      </c>
      <c r="B49" t="inlineStr">
        <is>
          <t>AVGO(US11135F1012) Cash Dividend USD 0.59 per Share (Ordinary Dividend)</t>
        </is>
      </c>
      <c r="C49" t="inlineStr">
        <is>
          <t>USD</t>
        </is>
      </c>
      <c r="D49" t="n">
        <v>5.31</v>
      </c>
      <c r="E49" t="n">
        <v>5.31</v>
      </c>
      <c r="F49" t="n">
        <v>86.95</v>
      </c>
      <c r="G49" t="n">
        <v>462</v>
      </c>
    </row>
    <row r="50">
      <c r="A50" s="2" t="n">
        <v>45748</v>
      </c>
      <c r="B50" t="inlineStr">
        <is>
          <t>NOV(DK0062498333) Cash Dividend DKK 7.90 per Share (Ordinary Dividend)</t>
        </is>
      </c>
      <c r="C50" t="inlineStr">
        <is>
          <t>DKK</t>
        </is>
      </c>
      <c r="D50" t="n">
        <v>237</v>
      </c>
      <c r="E50" t="n">
        <v>37.2706</v>
      </c>
      <c r="F50" t="n">
        <v>85.09999999999999</v>
      </c>
      <c r="G50" t="n">
        <v>3172</v>
      </c>
    </row>
    <row r="51">
      <c r="A51" s="2" t="n">
        <v>45751</v>
      </c>
      <c r="B51" t="inlineStr">
        <is>
          <t>TIP(US4642871762) Cash Dividend USD 0.70918 per Share (Ordinary Dividend)</t>
        </is>
      </c>
      <c r="C51" t="inlineStr">
        <is>
          <t>USD</t>
        </is>
      </c>
      <c r="D51" t="n">
        <v>27.66</v>
      </c>
      <c r="E51" t="n">
        <v>27.66</v>
      </c>
      <c r="F51" t="n">
        <v>85.09999999999999</v>
      </c>
      <c r="G51" t="n">
        <v>2354</v>
      </c>
    </row>
    <row r="52">
      <c r="A52" s="2" t="n">
        <v>45756</v>
      </c>
      <c r="B52" t="inlineStr">
        <is>
          <t>LRCX(US5128073062) Cash Dividend USD 0.23 per Share (Ordinary Dividend)</t>
        </is>
      </c>
      <c r="C52" t="inlineStr">
        <is>
          <t>USD</t>
        </is>
      </c>
      <c r="D52" t="n">
        <v>6.9</v>
      </c>
      <c r="E52" t="n">
        <v>6.9</v>
      </c>
      <c r="F52" t="n">
        <v>85.09999999999999</v>
      </c>
      <c r="G52" t="n">
        <v>587</v>
      </c>
    </row>
    <row r="53">
      <c r="A53" s="2" t="n">
        <v>45757</v>
      </c>
      <c r="B53" t="inlineStr">
        <is>
          <t>TSM(US8740391003) Cash Dividend USD 0.677693 per Share (Ordinary Div - NRA Withholding Exempt)</t>
        </is>
      </c>
      <c r="C53" t="inlineStr">
        <is>
          <t>USD</t>
        </is>
      </c>
      <c r="D53" t="n">
        <v>9.49</v>
      </c>
      <c r="E53" t="n">
        <v>9.49</v>
      </c>
      <c r="F53" t="n">
        <v>85.09999999999999</v>
      </c>
      <c r="G53" t="n">
        <v>808</v>
      </c>
    </row>
    <row r="54">
      <c r="A54" s="2" t="n">
        <v>45772</v>
      </c>
      <c r="B54" t="inlineStr">
        <is>
          <t>GE(US3696043013) Cash Dividend USD 0.36 per Share (Ordinary Dividend)</t>
        </is>
      </c>
      <c r="C54" t="inlineStr">
        <is>
          <t>USD</t>
        </is>
      </c>
      <c r="D54" t="n">
        <v>2.52</v>
      </c>
      <c r="E54" t="n">
        <v>2.52</v>
      </c>
      <c r="F54" t="n">
        <v>85.09999999999999</v>
      </c>
      <c r="G54" t="n">
        <v>214</v>
      </c>
    </row>
    <row r="55">
      <c r="A55" s="2" t="n">
        <v>45782</v>
      </c>
      <c r="B55" t="inlineStr">
        <is>
          <t>BX(US09260D1072) Cash Dividend USD 0.93 per Share (Ordinary Dividend)</t>
        </is>
      </c>
      <c r="C55" t="inlineStr">
        <is>
          <t>USD</t>
        </is>
      </c>
      <c r="D55" t="n">
        <v>39.06</v>
      </c>
      <c r="E55" t="n">
        <v>39.06</v>
      </c>
      <c r="F55" t="n">
        <v>84.25</v>
      </c>
      <c r="G55" t="n">
        <v>3291</v>
      </c>
    </row>
    <row r="56">
      <c r="A56" s="2" t="n">
        <v>45783</v>
      </c>
      <c r="B56" t="inlineStr">
        <is>
          <t>ASML(USN070592100) Cash Dividend USD 2.090608 per Share (Ordinary Dividend)</t>
        </is>
      </c>
      <c r="C56" t="inlineStr">
        <is>
          <t>USD</t>
        </is>
      </c>
      <c r="D56" t="n">
        <v>12.54</v>
      </c>
      <c r="E56" t="n">
        <v>12.54</v>
      </c>
      <c r="F56" t="n">
        <v>84.25</v>
      </c>
      <c r="G56" t="n">
        <v>1056</v>
      </c>
    </row>
    <row r="57">
      <c r="A57" s="2" t="n">
        <v>45783</v>
      </c>
      <c r="B57" t="inlineStr">
        <is>
          <t>TIP(US4642871762) Cash Dividend USD 0.534953 per Share (Ordinary Dividend)</t>
        </is>
      </c>
      <c r="C57" t="inlineStr">
        <is>
          <t>USD</t>
        </is>
      </c>
      <c r="D57" t="n">
        <v>20.86</v>
      </c>
      <c r="E57" t="n">
        <v>20.86</v>
      </c>
      <c r="F57" t="n">
        <v>84.25</v>
      </c>
      <c r="G57" t="n">
        <v>1757</v>
      </c>
    </row>
    <row r="58">
      <c r="A58" s="2" t="n">
        <v>45786</v>
      </c>
      <c r="B58" t="inlineStr">
        <is>
          <t>AXP(US0258161092) Cash Dividend USD 0.82 per Share (Ordinary Dividend)</t>
        </is>
      </c>
      <c r="C58" t="inlineStr">
        <is>
          <t>USD</t>
        </is>
      </c>
      <c r="D58" t="n">
        <v>2.46</v>
      </c>
      <c r="E58" t="n">
        <v>2.46</v>
      </c>
      <c r="F58" t="n">
        <v>84.25</v>
      </c>
      <c r="G58" t="n">
        <v>207</v>
      </c>
    </row>
    <row r="59">
      <c r="A59" s="2" t="n">
        <v>45797</v>
      </c>
      <c r="B59" t="inlineStr">
        <is>
          <t>CAT(US1491231015) Cash Dividend USD 1.41 per Share (Ordinary Dividend)</t>
        </is>
      </c>
      <c r="C59" t="inlineStr">
        <is>
          <t>USD</t>
        </is>
      </c>
      <c r="D59" t="n">
        <v>4.23</v>
      </c>
      <c r="E59" t="n">
        <v>4.23</v>
      </c>
      <c r="F59" t="n">
        <v>84.25</v>
      </c>
      <c r="G59" t="n">
        <v>356</v>
      </c>
    </row>
    <row r="60">
      <c r="A60" s="2" t="n">
        <v>45810</v>
      </c>
      <c r="B60" t="inlineStr">
        <is>
          <t>TGT(US87612E1064) Cash Dividend USD 1.12 per Share (Ordinary Dividend)</t>
        </is>
      </c>
      <c r="C60" t="inlineStr">
        <is>
          <t>USD</t>
        </is>
      </c>
      <c r="D60" t="n">
        <v>10.08</v>
      </c>
      <c r="E60" t="n">
        <v>10.08</v>
      </c>
      <c r="F60" t="n">
        <v>85.09999999999999</v>
      </c>
      <c r="G60" t="n">
        <v>858</v>
      </c>
    </row>
    <row r="61">
      <c r="A61" s="2" t="n">
        <v>45813</v>
      </c>
      <c r="B61" t="inlineStr">
        <is>
          <t>TIP(US4642871762) Cash Dividend USD 0.273105 per Share (Ordinary Dividend)</t>
        </is>
      </c>
      <c r="C61" t="inlineStr">
        <is>
          <t>USD</t>
        </is>
      </c>
      <c r="D61" t="n">
        <v>10.65</v>
      </c>
      <c r="E61" t="n">
        <v>10.65</v>
      </c>
      <c r="F61" t="n">
        <v>85.09999999999999</v>
      </c>
      <c r="G61" t="n">
        <v>906</v>
      </c>
    </row>
    <row r="62">
      <c r="A62" s="2" t="n">
        <v>45818</v>
      </c>
      <c r="B62" t="inlineStr">
        <is>
          <t>LLY(US5324571083) Cash Dividend USD 1.50 per Share (Ordinary Dividend)</t>
        </is>
      </c>
      <c r="C62" t="inlineStr">
        <is>
          <t>USD</t>
        </is>
      </c>
      <c r="D62" t="n">
        <v>4.5</v>
      </c>
      <c r="E62" t="n">
        <v>4.5</v>
      </c>
      <c r="F62" t="n">
        <v>85.09999999999999</v>
      </c>
      <c r="G62" t="n">
        <v>383</v>
      </c>
    </row>
    <row r="63">
      <c r="A63" s="2" t="n">
        <v>45820</v>
      </c>
      <c r="B63" t="inlineStr">
        <is>
          <t>MSFT(US5949181045) Cash Dividend USD 0.83 per Share (Ordinary Dividend)</t>
        </is>
      </c>
      <c r="C63" t="inlineStr">
        <is>
          <t>USD</t>
        </is>
      </c>
      <c r="D63" t="n">
        <v>2.49</v>
      </c>
      <c r="E63" t="n">
        <v>2.49</v>
      </c>
      <c r="F63" t="n">
        <v>85.09999999999999</v>
      </c>
      <c r="G63" t="n">
        <v>212</v>
      </c>
    </row>
    <row r="64">
      <c r="A64" s="2" t="n">
        <v>45828</v>
      </c>
      <c r="B64" t="inlineStr">
        <is>
          <t>EMXC(US46434G7640) Cash Dividend USD 0.711404 per Share (Ordinary Dividend)</t>
        </is>
      </c>
      <c r="C64" t="inlineStr">
        <is>
          <t>USD</t>
        </is>
      </c>
      <c r="D64" t="n">
        <v>53.36</v>
      </c>
      <c r="E64" t="n">
        <v>53.36</v>
      </c>
      <c r="F64" t="n">
        <v>85.09999999999999</v>
      </c>
      <c r="G64" t="n">
        <v>4541</v>
      </c>
    </row>
    <row r="65">
      <c r="A65" s="2" t="n">
        <v>45831</v>
      </c>
      <c r="B65" t="inlineStr">
        <is>
          <t>SHELL.DVD(NL0015002HW4) Expire Dividend Right (Ordinary Dividend)</t>
        </is>
      </c>
      <c r="C65" t="inlineStr">
        <is>
          <t>EUR</t>
        </is>
      </c>
      <c r="D65" t="n">
        <v>60.52</v>
      </c>
      <c r="E65" t="n">
        <v>71.0868</v>
      </c>
      <c r="F65" t="n">
        <v>85.09999999999999</v>
      </c>
      <c r="G65" t="n">
        <v>6049</v>
      </c>
    </row>
    <row r="66">
      <c r="A66" s="2" t="n">
        <v>45832</v>
      </c>
      <c r="B66" t="inlineStr">
        <is>
          <t>4568.T(JP3475350009) Cash Dividend JPY 30 per Share (Ordinary Dividend)</t>
        </is>
      </c>
      <c r="C66" t="inlineStr">
        <is>
          <t>JPY</t>
        </is>
      </c>
      <c r="D66" t="n">
        <v>3000</v>
      </c>
      <c r="E66" t="n">
        <v>19.1481</v>
      </c>
      <c r="F66" t="n">
        <v>85.09999999999999</v>
      </c>
      <c r="G66" t="n">
        <v>1630</v>
      </c>
    </row>
    <row r="67">
      <c r="A67" s="2" t="n">
        <v>45835</v>
      </c>
      <c r="B67" t="inlineStr">
        <is>
          <t>BAC(US0605051046) Cash Dividend USD 0.26 per Share (Ordinary Dividend)</t>
        </is>
      </c>
      <c r="C67" t="inlineStr">
        <is>
          <t>USD</t>
        </is>
      </c>
      <c r="D67" t="n">
        <v>42.12</v>
      </c>
      <c r="E67" t="n">
        <v>42.12</v>
      </c>
      <c r="F67" t="n">
        <v>85.09999999999999</v>
      </c>
      <c r="G67" t="n">
        <v>3584</v>
      </c>
    </row>
    <row r="68">
      <c r="A68" s="2" t="n">
        <v>45835</v>
      </c>
      <c r="B68" t="inlineStr">
        <is>
          <t>DXJ(US97717W8516) Cash Dividend USD 1.34 per Share (Ordinary Dividend)</t>
        </is>
      </c>
      <c r="C68" t="inlineStr">
        <is>
          <t>USD</t>
        </is>
      </c>
      <c r="D68" t="n">
        <v>32.16</v>
      </c>
      <c r="E68" t="n">
        <v>32.16</v>
      </c>
      <c r="F68" t="n">
        <v>85.09999999999999</v>
      </c>
      <c r="G68" t="n">
        <v>2737</v>
      </c>
    </row>
    <row r="69">
      <c r="A69" s="2" t="n">
        <v>45838</v>
      </c>
      <c r="B69" t="inlineStr">
        <is>
          <t>AVGO(US11135F1012) Cash Dividend USD 0.59 per Share (Ordinary Dividend)</t>
        </is>
      </c>
      <c r="C69" t="inlineStr">
        <is>
          <t>USD</t>
        </is>
      </c>
      <c r="D69" t="n">
        <v>5.31</v>
      </c>
      <c r="E69" t="n">
        <v>5.31</v>
      </c>
      <c r="F69" t="n">
        <v>85.09999999999999</v>
      </c>
      <c r="G69" t="n">
        <v>452</v>
      </c>
    </row>
    <row r="70">
      <c r="A70" s="2" t="n">
        <v>45845</v>
      </c>
      <c r="B70" t="inlineStr">
        <is>
          <t>TIP(US4642871762) Cash Dividend USD 0.379923 per Share (Ordinary Dividend)</t>
        </is>
      </c>
      <c r="C70" t="inlineStr">
        <is>
          <t>USD</t>
        </is>
      </c>
      <c r="D70" t="n">
        <v>14.82</v>
      </c>
      <c r="E70" t="n">
        <v>14.82</v>
      </c>
      <c r="F70" t="n">
        <v>85.09999999999999</v>
      </c>
      <c r="G70" t="n">
        <v>1261</v>
      </c>
    </row>
    <row r="71">
      <c r="A71" s="2" t="n">
        <v>45847</v>
      </c>
      <c r="B71" t="inlineStr">
        <is>
          <t>LRCX(US5128073062) Cash Dividend USD 0.23 per Share (Ordinary Dividend)</t>
        </is>
      </c>
      <c r="C71" t="inlineStr">
        <is>
          <t>USD</t>
        </is>
      </c>
      <c r="D71" t="n">
        <v>6.9</v>
      </c>
      <c r="E71" t="n">
        <v>6.9</v>
      </c>
      <c r="F71" t="n">
        <v>85.09999999999999</v>
      </c>
      <c r="G71" t="n">
        <v>587</v>
      </c>
    </row>
    <row r="72">
      <c r="A72" s="2" t="n">
        <v>45848</v>
      </c>
      <c r="B72" t="inlineStr">
        <is>
          <t>TSM(US8740391003) Cash Dividend USD 0.780305 per Share (Ordinary Div - NRA Withholding Exempt)</t>
        </is>
      </c>
      <c r="C72" t="inlineStr">
        <is>
          <t>USD</t>
        </is>
      </c>
      <c r="D72" t="n">
        <v>35.11</v>
      </c>
      <c r="E72" t="n">
        <v>35.11</v>
      </c>
      <c r="F72" t="n">
        <v>85.09999999999999</v>
      </c>
      <c r="G72" t="n">
        <v>2988</v>
      </c>
    </row>
    <row r="73">
      <c r="A73" s="2" t="n">
        <v>45863</v>
      </c>
      <c r="B73" t="inlineStr">
        <is>
          <t>GE(US3696043013) Cash Dividend USD 0.36 per Share (Ordinary Dividend)</t>
        </is>
      </c>
      <c r="C73" t="inlineStr">
        <is>
          <t>USD</t>
        </is>
      </c>
      <c r="D73" t="n">
        <v>2.52</v>
      </c>
      <c r="E73" t="n">
        <v>2.52</v>
      </c>
      <c r="F73" t="n">
        <v>85.09999999999999</v>
      </c>
      <c r="G73" t="n">
        <v>214</v>
      </c>
    </row>
    <row r="74">
      <c r="A74" s="2" t="n">
        <v>45875</v>
      </c>
      <c r="B74" t="inlineStr">
        <is>
          <t>3416(HK0000978954) Cash Dividend HKD 0.15 per Share (Ordinary Dividend)</t>
        </is>
      </c>
      <c r="C74" t="inlineStr">
        <is>
          <t>HKD</t>
        </is>
      </c>
      <c r="D74" t="n">
        <v>150</v>
      </c>
      <c r="E74" t="n">
        <v>19.2735</v>
      </c>
      <c r="F74" t="n">
        <v>87.15000000000001</v>
      </c>
      <c r="G74" t="n">
        <v>1680</v>
      </c>
    </row>
    <row r="75">
      <c r="A75" s="2" t="n">
        <v>45875</v>
      </c>
      <c r="B75" t="inlineStr">
        <is>
          <t>ASML(USN070592100) Cash Dividend USD 1.846784 per Share (Ordinary Dividend)</t>
        </is>
      </c>
      <c r="C75" t="inlineStr">
        <is>
          <t>USD</t>
        </is>
      </c>
      <c r="D75" t="n">
        <v>11.08</v>
      </c>
      <c r="E75" t="n">
        <v>11.08</v>
      </c>
      <c r="F75" t="n">
        <v>87.15000000000001</v>
      </c>
      <c r="G75" t="n">
        <v>966</v>
      </c>
    </row>
    <row r="76">
      <c r="A76" s="2" t="n">
        <v>45875</v>
      </c>
      <c r="B76" t="inlineStr">
        <is>
          <t>TIP(US4642871762) Cash Dividend USD 0.264488 per Share (Ordinary Dividend)</t>
        </is>
      </c>
      <c r="C76" t="inlineStr">
        <is>
          <t>USD</t>
        </is>
      </c>
      <c r="D76" t="n">
        <v>10.32</v>
      </c>
      <c r="E76" t="n">
        <v>10.32</v>
      </c>
      <c r="F76" t="n">
        <v>87.15000000000001</v>
      </c>
      <c r="G76" t="n">
        <v>899</v>
      </c>
    </row>
    <row r="77">
      <c r="A77" s="2" t="n">
        <v>45877</v>
      </c>
      <c r="B77" t="inlineStr">
        <is>
          <t>AXP(US0258161092) Cash Dividend USD 0.82 per Share (Ordinary Dividend)</t>
        </is>
      </c>
      <c r="C77" t="inlineStr">
        <is>
          <t>USD</t>
        </is>
      </c>
      <c r="D77" t="n">
        <v>2.46</v>
      </c>
      <c r="E77" t="n">
        <v>2.46</v>
      </c>
      <c r="F77" t="n">
        <v>87.15000000000001</v>
      </c>
      <c r="G77" t="n">
        <v>214</v>
      </c>
    </row>
    <row r="78">
      <c r="A78" s="2" t="n">
        <v>45880</v>
      </c>
      <c r="B78" t="inlineStr">
        <is>
          <t>BX(US09260D1072) Cash Dividend USD 1.03 per Share (Ordinary Dividend)</t>
        </is>
      </c>
      <c r="C78" t="inlineStr">
        <is>
          <t>USD</t>
        </is>
      </c>
      <c r="D78" t="n">
        <v>43.26</v>
      </c>
      <c r="E78" t="n">
        <v>43.26</v>
      </c>
      <c r="F78" t="n">
        <v>87.15000000000001</v>
      </c>
      <c r="G78" t="n">
        <v>3770</v>
      </c>
    </row>
    <row r="79">
      <c r="A79" s="2" t="n">
        <v>45888</v>
      </c>
      <c r="B79" t="inlineStr">
        <is>
          <t>NOV(DK0062498333) Cash Dividend DKK 3.75 per Share (Bonus Dividend)</t>
        </is>
      </c>
      <c r="C79" t="inlineStr">
        <is>
          <t>DKK</t>
        </is>
      </c>
      <c r="D79" t="n">
        <v>112.5</v>
      </c>
      <c r="E79" t="n">
        <v>17.6918</v>
      </c>
      <c r="F79" t="n">
        <v>87.15000000000001</v>
      </c>
      <c r="G79" t="n">
        <v>1542</v>
      </c>
    </row>
    <row r="80">
      <c r="A80" s="2" t="n">
        <v>45889</v>
      </c>
      <c r="B80" t="inlineStr">
        <is>
          <t>CAT(US1491231015) Cash Dividend USD 1.51 per Share (Ordinary Dividend)</t>
        </is>
      </c>
      <c r="C80" t="inlineStr">
        <is>
          <t>USD</t>
        </is>
      </c>
      <c r="D80" t="n">
        <v>4.53</v>
      </c>
      <c r="E80" t="n">
        <v>4.53</v>
      </c>
      <c r="F80" t="n">
        <v>87.15000000000001</v>
      </c>
      <c r="G80" t="n">
        <v>395</v>
      </c>
    </row>
    <row r="81">
      <c r="A81" s="2" t="n">
        <v>45901</v>
      </c>
      <c r="B81" t="inlineStr">
        <is>
          <t>2914.T(JP3726800000) Cash Dividend JPY 104 per Share (Ordinary Dividend)</t>
        </is>
      </c>
      <c r="C81" t="inlineStr">
        <is>
          <t>JPY</t>
        </is>
      </c>
      <c r="D81" t="n">
        <v>10400</v>
      </c>
      <c r="E81" t="n">
        <v>66.3801</v>
      </c>
      <c r="F81" t="n">
        <v>87.7</v>
      </c>
      <c r="G81" t="n">
        <v>5822</v>
      </c>
    </row>
    <row r="82">
      <c r="A82" s="2" t="n">
        <v>45902</v>
      </c>
      <c r="B82" t="inlineStr">
        <is>
          <t>TGT(US87612E1064) Cash Dividend USD 1.14 per Share (Ordinary Dividend)</t>
        </is>
      </c>
      <c r="C82" t="inlineStr">
        <is>
          <t>USD</t>
        </is>
      </c>
      <c r="D82" t="n">
        <v>10.26</v>
      </c>
      <c r="E82" t="n">
        <v>10.26</v>
      </c>
      <c r="F82" t="n">
        <v>87.7</v>
      </c>
      <c r="G82" t="n">
        <v>900</v>
      </c>
    </row>
    <row r="83">
      <c r="A83" s="2" t="n">
        <v>45904</v>
      </c>
      <c r="B83" t="inlineStr">
        <is>
          <t>3416(HK0000978954) Payment in Lieu of Dividend (Ordinary Dividend)</t>
        </is>
      </c>
      <c r="C83" t="inlineStr">
        <is>
          <t>HKD</t>
        </is>
      </c>
      <c r="D83" t="n">
        <v>1.26</v>
      </c>
      <c r="E83" t="n">
        <v>0.1619</v>
      </c>
      <c r="F83" t="n">
        <v>87.7</v>
      </c>
      <c r="G83" t="n">
        <v>14</v>
      </c>
    </row>
    <row r="84">
      <c r="A84" s="2" t="n">
        <v>45904</v>
      </c>
      <c r="B84" t="inlineStr">
        <is>
          <t>3416(HK0000978954) Cash Dividend HKD 0.14 per Share (Ordinary Dividend)</t>
        </is>
      </c>
      <c r="C84" t="inlineStr">
        <is>
          <t>HKD</t>
        </is>
      </c>
      <c r="D84" t="n">
        <v>138.74</v>
      </c>
      <c r="E84" t="n">
        <v>17.8267</v>
      </c>
      <c r="F84" t="n">
        <v>87.7</v>
      </c>
      <c r="G84" t="n">
        <v>1563</v>
      </c>
    </row>
    <row r="85">
      <c r="A85" s="2" t="n">
        <v>45905</v>
      </c>
      <c r="B85" t="inlineStr">
        <is>
          <t>TIP(US4642871762) Cash Dividend USD 0.417238 per Share (Ordinary Dividend)</t>
        </is>
      </c>
      <c r="C85" t="inlineStr">
        <is>
          <t>USD</t>
        </is>
      </c>
      <c r="D85" t="n">
        <v>16.27</v>
      </c>
      <c r="E85" t="n">
        <v>16.27</v>
      </c>
      <c r="F85" t="n">
        <v>87.7</v>
      </c>
      <c r="G85" t="n">
        <v>1427</v>
      </c>
    </row>
    <row r="86">
      <c r="A86" s="2" t="n">
        <v>45910</v>
      </c>
      <c r="B86" t="inlineStr">
        <is>
          <t>LLY(US5324571083) Cash Dividend USD 1.50 per Share (Ordinary Dividend)</t>
        </is>
      </c>
      <c r="C86" t="inlineStr">
        <is>
          <t>USD</t>
        </is>
      </c>
      <c r="D86" t="n">
        <v>4.5</v>
      </c>
      <c r="E86" t="n">
        <v>4.5</v>
      </c>
      <c r="F86" t="n">
        <v>87.7</v>
      </c>
      <c r="G86" t="n">
        <v>395</v>
      </c>
    </row>
    <row r="87">
      <c r="A87" s="2" t="n">
        <v>45911</v>
      </c>
      <c r="B87" t="inlineStr">
        <is>
          <t>MSFT(US5949181045) Cash Dividend USD 0.83 per Share (Ordinary Dividend)</t>
        </is>
      </c>
      <c r="C87" t="inlineStr">
        <is>
          <t>USD</t>
        </is>
      </c>
      <c r="D87" t="n">
        <v>2.49</v>
      </c>
      <c r="E87" t="n">
        <v>2.49</v>
      </c>
      <c r="F87" t="n">
        <v>87.7</v>
      </c>
      <c r="G87" t="n">
        <v>218</v>
      </c>
    </row>
    <row r="88">
      <c r="A88" s="2" t="n">
        <v>45922</v>
      </c>
      <c r="B88" t="inlineStr">
        <is>
          <t>SHELL.DRS(NL0015002L33) Expire Dividend Right (Ordinary Dividend)</t>
        </is>
      </c>
      <c r="C88" t="inlineStr">
        <is>
          <t>EUR</t>
        </is>
      </c>
      <c r="D88" t="n">
        <v>28.53</v>
      </c>
      <c r="E88" t="n">
        <v>33.5113</v>
      </c>
      <c r="F88" t="n">
        <v>87.7</v>
      </c>
      <c r="G88" t="n">
        <v>2939</v>
      </c>
    </row>
    <row r="89">
      <c r="A89" s="2" t="n">
        <v>45926</v>
      </c>
      <c r="B89" t="inlineStr">
        <is>
          <t>BAC(US0605051046) Cash Dividend USD 0.28 per Share (Ordinary Dividend)</t>
        </is>
      </c>
      <c r="C89" t="inlineStr">
        <is>
          <t>USD</t>
        </is>
      </c>
      <c r="D89" t="n">
        <v>45.36</v>
      </c>
      <c r="E89" t="n">
        <v>45.36</v>
      </c>
      <c r="F89" t="n">
        <v>87.7</v>
      </c>
      <c r="G89" t="n">
        <v>3978</v>
      </c>
    </row>
    <row r="90">
      <c r="A90" s="2" t="n">
        <v>45929</v>
      </c>
      <c r="B90" t="inlineStr">
        <is>
          <t>DXJ(US97717W8516) Payment in Lieu of Dividend (Ordinary Dividend)</t>
        </is>
      </c>
      <c r="C90" t="inlineStr">
        <is>
          <t>USD</t>
        </is>
      </c>
      <c r="D90" t="n">
        <v>3.36</v>
      </c>
      <c r="E90" t="n">
        <v>3.36</v>
      </c>
      <c r="F90" t="n">
        <v>87.7</v>
      </c>
      <c r="G90" t="n">
        <v>295</v>
      </c>
    </row>
    <row r="91">
      <c r="A91" s="2" t="n">
        <v>45930</v>
      </c>
      <c r="B91" t="inlineStr">
        <is>
          <t>3110(HK0000151933) Cash Dividend HKD 1.60 per Share (Ordinary Dividend)</t>
        </is>
      </c>
      <c r="C91" t="inlineStr">
        <is>
          <t>HKD</t>
        </is>
      </c>
      <c r="D91" t="n">
        <v>800</v>
      </c>
      <c r="E91" t="n">
        <v>102.792</v>
      </c>
      <c r="F91" t="n">
        <v>87.7</v>
      </c>
      <c r="G91" t="n">
        <v>9015</v>
      </c>
    </row>
    <row r="92">
      <c r="A92" s="2" t="n">
        <v>45930</v>
      </c>
      <c r="B92" t="inlineStr">
        <is>
          <t>AVGO(US11135F1012) Cash Dividend USD 0.59 per Share (Ordinary Dividend)</t>
        </is>
      </c>
      <c r="C92" t="inlineStr">
        <is>
          <t>USD</t>
        </is>
      </c>
      <c r="D92" t="n">
        <v>5.31</v>
      </c>
      <c r="E92" t="n">
        <v>5.31</v>
      </c>
      <c r="F92" t="n">
        <v>87.7</v>
      </c>
      <c r="G92" t="n">
        <v>466</v>
      </c>
    </row>
    <row r="93">
      <c r="A93" s="2" t="n">
        <v>45936</v>
      </c>
      <c r="B93" t="inlineStr">
        <is>
          <t>TIP(US4642871762) Cash Dividend USD 0.198069 per Share (Ordinary Dividend)</t>
        </is>
      </c>
      <c r="C93" t="inlineStr">
        <is>
          <t>USD</t>
        </is>
      </c>
      <c r="D93" t="n">
        <v>7.72</v>
      </c>
      <c r="E93" t="n">
        <v>7.72</v>
      </c>
      <c r="F93" t="n">
        <v>88.34999999999999</v>
      </c>
      <c r="G93" t="n">
        <v>682</v>
      </c>
    </row>
    <row r="94">
      <c r="A94" s="2" t="n">
        <v>45938</v>
      </c>
      <c r="B94" t="inlineStr">
        <is>
          <t>3416(HK0000978954) Cash Dividend HKD 0.14 per Share (Ordinary Dividend)</t>
        </is>
      </c>
      <c r="C94" t="inlineStr">
        <is>
          <t>HKD</t>
        </is>
      </c>
      <c r="D94" t="n">
        <v>140</v>
      </c>
      <c r="E94" t="n">
        <v>17.9886</v>
      </c>
      <c r="F94" t="n">
        <v>88.34999999999999</v>
      </c>
      <c r="G94" t="n">
        <v>1589</v>
      </c>
    </row>
    <row r="95">
      <c r="A95" s="2" t="n">
        <v>45939</v>
      </c>
      <c r="B95" t="inlineStr">
        <is>
          <t>TSM(US8740391003) Cash Dividend USD 0.821965 per Share (Ordinary Div - NRA Withholding Exempt)</t>
        </is>
      </c>
      <c r="C95" t="inlineStr">
        <is>
          <t>USD</t>
        </is>
      </c>
      <c r="D95" t="n">
        <v>36.99</v>
      </c>
      <c r="E95" t="n">
        <v>36.99</v>
      </c>
      <c r="F95" t="n">
        <v>88.34999999999999</v>
      </c>
      <c r="G95" t="n">
        <v>3268</v>
      </c>
    </row>
    <row r="96">
      <c r="A96" s="2" t="n">
        <v>45945</v>
      </c>
      <c r="B96" t="inlineStr">
        <is>
          <t>LRCX(US5128073062) Cash Dividend USD 0.26 per Share (Ordinary Dividend)</t>
        </is>
      </c>
      <c r="C96" t="inlineStr">
        <is>
          <t>USD</t>
        </is>
      </c>
      <c r="D96" t="n">
        <v>7.8</v>
      </c>
      <c r="E96" t="n">
        <v>7.8</v>
      </c>
      <c r="F96" t="n">
        <v>88.34999999999999</v>
      </c>
      <c r="G96" t="n">
        <v>689</v>
      </c>
    </row>
    <row r="97">
      <c r="A97" s="2" t="n">
        <v>45952</v>
      </c>
      <c r="B97" t="inlineStr">
        <is>
          <t>CSCO(US17275R1023) Cash Dividend USD 0.41 per Share (Ordinary Dividend)</t>
        </is>
      </c>
      <c r="C97" t="inlineStr">
        <is>
          <t>USD</t>
        </is>
      </c>
      <c r="D97" t="n">
        <v>8.199999999999999</v>
      </c>
      <c r="E97" t="n">
        <v>8.199999999999999</v>
      </c>
      <c r="F97" t="n">
        <v>88.34999999999999</v>
      </c>
      <c r="G97" t="n">
        <v>724</v>
      </c>
    </row>
    <row r="98">
      <c r="A98" s="2" t="n">
        <v>45953</v>
      </c>
      <c r="B98" t="inlineStr">
        <is>
          <t>ORCL(US68389X1054) Cash Dividend USD 0.50 per Share (Ordinary Dividend)</t>
        </is>
      </c>
      <c r="C98" t="inlineStr">
        <is>
          <t>USD</t>
        </is>
      </c>
      <c r="D98" t="n">
        <v>2.5</v>
      </c>
      <c r="E98" t="n">
        <v>2.5</v>
      </c>
      <c r="F98" t="n">
        <v>88.34999999999999</v>
      </c>
      <c r="G98" t="n">
        <v>221</v>
      </c>
    </row>
    <row r="99">
      <c r="A99" s="2" t="n">
        <v>45957</v>
      </c>
      <c r="B99" t="inlineStr">
        <is>
          <t>GE(US3696043013) Cash Dividend USD 0.36 per Share (Ordinary Dividend)</t>
        </is>
      </c>
      <c r="C99" t="inlineStr">
        <is>
          <t>USD</t>
        </is>
      </c>
      <c r="D99" t="n">
        <v>2.52</v>
      </c>
      <c r="E99" t="n">
        <v>2.52</v>
      </c>
      <c r="F99" t="n">
        <v>88.34999999999999</v>
      </c>
      <c r="G99" t="n">
        <v>223</v>
      </c>
    </row>
    <row r="100">
      <c r="A100" s="2" t="n">
        <v>45967</v>
      </c>
      <c r="B100" t="inlineStr">
        <is>
          <t>3416(HK0000978954) Cash Dividend HKD 0.14 per Share (Ordinary Dividend)</t>
        </is>
      </c>
      <c r="C100" t="inlineStr">
        <is>
          <t>HKD</t>
        </is>
      </c>
      <c r="D100" t="n">
        <v>140</v>
      </c>
      <c r="E100" t="n">
        <v>17.9886</v>
      </c>
      <c r="F100" t="n">
        <v>88.2</v>
      </c>
      <c r="G100" t="n">
        <v>1587</v>
      </c>
    </row>
    <row r="101">
      <c r="A101" s="2" t="n">
        <v>45967</v>
      </c>
      <c r="B101" t="inlineStr">
        <is>
          <t>ASML(USN070592100) Cash Dividend USD 1.864032 per Share (Ordinary Dividend)</t>
        </is>
      </c>
      <c r="C101" t="inlineStr">
        <is>
          <t>USD</t>
        </is>
      </c>
      <c r="D101" t="n">
        <v>11.19</v>
      </c>
      <c r="E101" t="n">
        <v>11.19</v>
      </c>
      <c r="F101" t="n">
        <v>88.2</v>
      </c>
      <c r="G101" t="n">
        <v>987</v>
      </c>
    </row>
    <row r="102">
      <c r="A102" s="2" t="n">
        <v>45967</v>
      </c>
      <c r="B102" t="inlineStr">
        <is>
          <t>TIP(US4642871762) Cash Dividend USD 0.360933 per Share (Ordinary Dividend)</t>
        </is>
      </c>
      <c r="C102" t="inlineStr">
        <is>
          <t>USD</t>
        </is>
      </c>
      <c r="D102" t="n">
        <v>1.08</v>
      </c>
      <c r="E102" t="n">
        <v>1.08</v>
      </c>
      <c r="F102" t="n">
        <v>88.2</v>
      </c>
      <c r="G102" t="n">
        <v>95</v>
      </c>
    </row>
    <row r="103">
      <c r="A103" s="2" t="n">
        <v>45967</v>
      </c>
      <c r="B103" t="inlineStr">
        <is>
          <t>TIP(US4642871762) Payment in Lieu of Dividend (Ordinary Dividend)</t>
        </is>
      </c>
      <c r="C103" t="inlineStr">
        <is>
          <t>USD</t>
        </is>
      </c>
      <c r="D103" t="n">
        <v>12.99</v>
      </c>
      <c r="E103" t="n">
        <v>12.99</v>
      </c>
      <c r="F103" t="n">
        <v>88.2</v>
      </c>
      <c r="G103" t="n">
        <v>1146</v>
      </c>
    </row>
    <row r="104">
      <c r="A104" s="2" t="n">
        <v>45971</v>
      </c>
      <c r="B104" t="inlineStr">
        <is>
          <t>AXP(US0258161092) Cash Dividend USD 0.82 per Share (Ordinary Dividend)</t>
        </is>
      </c>
      <c r="C104" t="inlineStr">
        <is>
          <t>USD</t>
        </is>
      </c>
      <c r="D104" t="n">
        <v>2.46</v>
      </c>
      <c r="E104" t="n">
        <v>2.46</v>
      </c>
      <c r="F104" t="n">
        <v>88.2</v>
      </c>
      <c r="G104" t="n">
        <v>217</v>
      </c>
    </row>
    <row r="105">
      <c r="A105" s="2" t="n">
        <v>45971</v>
      </c>
      <c r="B105" t="inlineStr">
        <is>
          <t>BX(US09260D1072) Cash Dividend USD 1.29 per Share (Ordinary Dividend)</t>
        </is>
      </c>
      <c r="C105" t="inlineStr">
        <is>
          <t>USD</t>
        </is>
      </c>
      <c r="D105" t="n">
        <v>54.18</v>
      </c>
      <c r="E105" t="n">
        <v>54.18</v>
      </c>
      <c r="F105" t="n">
        <v>88.2</v>
      </c>
      <c r="G105" t="n">
        <v>4779</v>
      </c>
    </row>
    <row r="106">
      <c r="A106" s="2" t="n">
        <v>45981</v>
      </c>
      <c r="B106" t="inlineStr">
        <is>
          <t>CAT(US1491231015) Cash Dividend USD 1.51 per Share (Ordinary Dividend)</t>
        </is>
      </c>
      <c r="C106" t="inlineStr">
        <is>
          <t>USD</t>
        </is>
      </c>
      <c r="D106" t="n">
        <v>4.53</v>
      </c>
      <c r="E106" t="n">
        <v>4.53</v>
      </c>
      <c r="F106" t="n">
        <v>88.2</v>
      </c>
      <c r="G106" t="n">
        <v>400</v>
      </c>
    </row>
    <row r="107">
      <c r="A107" s="2" t="n">
        <v>45987</v>
      </c>
      <c r="B107" t="inlineStr">
        <is>
          <t>7203.T(JP3633400001) Cash Dividend JPY 45 per Share (Ordinary Dividend)</t>
        </is>
      </c>
      <c r="C107" t="inlineStr">
        <is>
          <t>JPY</t>
        </is>
      </c>
      <c r="D107" t="n">
        <v>4500</v>
      </c>
      <c r="E107" t="n">
        <v>28.7221</v>
      </c>
      <c r="F107" t="n">
        <v>88.2</v>
      </c>
      <c r="G107" t="n">
        <v>2533</v>
      </c>
    </row>
    <row r="108">
      <c r="A108" s="2" t="n">
        <v>45992</v>
      </c>
      <c r="B108" t="inlineStr">
        <is>
          <t>TGT(US87612E1064) Cash Dividend USD 1.14 per Share (Ordinary Dividend)</t>
        </is>
      </c>
      <c r="C108" t="inlineStr">
        <is>
          <t>USD</t>
        </is>
      </c>
      <c r="D108" t="n">
        <v>34.2</v>
      </c>
      <c r="E108" t="n">
        <v>34.2</v>
      </c>
      <c r="F108" t="n">
        <v>88.95</v>
      </c>
      <c r="G108" t="n">
        <v>3042</v>
      </c>
    </row>
    <row r="109">
      <c r="A109" s="2" t="n">
        <v>45995</v>
      </c>
      <c r="B109" t="inlineStr">
        <is>
          <t>3416(HK0000978954) Cash Dividend HKD 0.14 per Share (Ordinary Dividend)</t>
        </is>
      </c>
      <c r="C109" t="inlineStr">
        <is>
          <t>HKD</t>
        </is>
      </c>
      <c r="D109" t="n">
        <v>140</v>
      </c>
      <c r="E109" t="n">
        <v>17.9886</v>
      </c>
      <c r="F109" t="n">
        <v>88.95</v>
      </c>
      <c r="G109" t="n">
        <v>1600</v>
      </c>
    </row>
    <row r="110">
      <c r="A110" s="2" t="n">
        <v>45995</v>
      </c>
      <c r="B110" t="inlineStr">
        <is>
          <t>TIP(US4642871762) Cash Dividend USD 0.322417 per Share (Ordinary Dividend)</t>
        </is>
      </c>
      <c r="C110" t="inlineStr">
        <is>
          <t>USD</t>
        </is>
      </c>
      <c r="D110" t="n">
        <v>12.57</v>
      </c>
      <c r="E110" t="n">
        <v>12.57</v>
      </c>
      <c r="F110" t="n">
        <v>88.95</v>
      </c>
      <c r="G110" t="n">
        <v>1118</v>
      </c>
    </row>
    <row r="111">
      <c r="A111" s="2" t="n">
        <v>46001</v>
      </c>
      <c r="B111" t="inlineStr">
        <is>
          <t>4568.T(JP3475350009) Cash Dividend JPY 39 per Share (Ordinary Dividend)</t>
        </is>
      </c>
      <c r="C111" t="inlineStr">
        <is>
          <t>JPY</t>
        </is>
      </c>
      <c r="D111" t="n">
        <v>7800</v>
      </c>
      <c r="E111" t="n">
        <v>49.7851</v>
      </c>
      <c r="F111" t="n">
        <v>88.95</v>
      </c>
      <c r="G111" t="n">
        <v>4428</v>
      </c>
    </row>
    <row r="112">
      <c r="A112" s="2" t="n">
        <v>46001</v>
      </c>
      <c r="B112" t="inlineStr">
        <is>
          <t>IBM(US4592001014) Cash Dividend USD 1.68 per Share (Ordinary Dividend)</t>
        </is>
      </c>
      <c r="C112" t="inlineStr">
        <is>
          <t>USD</t>
        </is>
      </c>
      <c r="D112" t="n">
        <v>8.4</v>
      </c>
      <c r="E112" t="n">
        <v>8.4</v>
      </c>
      <c r="F112" t="n">
        <v>88.95</v>
      </c>
      <c r="G112" t="n">
        <v>747</v>
      </c>
    </row>
    <row r="113">
      <c r="A113" s="2" t="n">
        <v>46001</v>
      </c>
      <c r="B113" t="inlineStr">
        <is>
          <t>LLY(US5324571083) Cash Dividend USD 1.50 per Share (Ordinary Dividend)</t>
        </is>
      </c>
      <c r="C113" t="inlineStr">
        <is>
          <t>USD</t>
        </is>
      </c>
      <c r="D113" t="n">
        <v>4.5</v>
      </c>
      <c r="E113" t="n">
        <v>4.5</v>
      </c>
      <c r="F113" t="n">
        <v>88.95</v>
      </c>
      <c r="G113" t="n">
        <v>400</v>
      </c>
    </row>
    <row r="114">
      <c r="A114" s="2" t="n">
        <v>46002</v>
      </c>
      <c r="B114" t="inlineStr">
        <is>
          <t>MSFT(US5949181045) Cash Dividend USD 0.91 per Share (Ordinary Dividend)</t>
        </is>
      </c>
      <c r="C114" t="inlineStr">
        <is>
          <t>USD</t>
        </is>
      </c>
      <c r="D114" t="n">
        <v>2.73</v>
      </c>
      <c r="E114" t="n">
        <v>2.73</v>
      </c>
      <c r="F114" t="n">
        <v>88.95</v>
      </c>
      <c r="G114" t="n">
        <v>243</v>
      </c>
    </row>
    <row r="115">
      <c r="A115" s="2" t="n">
        <v>46009</v>
      </c>
      <c r="B115" t="inlineStr">
        <is>
          <t>SHELL1.DI(NL0015002SG4) Expire Dividend Right (Ordinary Dividend)</t>
        </is>
      </c>
      <c r="C115" t="inlineStr">
        <is>
          <t>EUR</t>
        </is>
      </c>
      <c r="D115" t="n">
        <v>59.56</v>
      </c>
      <c r="E115" t="n">
        <v>69.9592</v>
      </c>
      <c r="F115" t="n">
        <v>88.95</v>
      </c>
      <c r="G115" t="n">
        <v>6223</v>
      </c>
    </row>
    <row r="116">
      <c r="A116" s="2" t="n">
        <v>46010</v>
      </c>
      <c r="B116" t="inlineStr">
        <is>
          <t>EMXC(US46434G7640) Cash Dividend USD 1.335744 per Share (Ordinary Dividend)</t>
        </is>
      </c>
      <c r="C116" t="inlineStr">
        <is>
          <t>USD</t>
        </is>
      </c>
      <c r="D116" t="n">
        <v>100.18</v>
      </c>
      <c r="E116" t="n">
        <v>100.18</v>
      </c>
      <c r="F116" t="n">
        <v>88.95</v>
      </c>
      <c r="G116" t="n">
        <v>8911</v>
      </c>
    </row>
    <row r="117">
      <c r="A117" s="2" t="n">
        <v>46015</v>
      </c>
      <c r="B117" t="inlineStr">
        <is>
          <t>TIP(US4642871762) Cash Dividend USD 0.341961 per Share (Ordinary Dividend)</t>
        </is>
      </c>
      <c r="C117" t="inlineStr">
        <is>
          <t>USD</t>
        </is>
      </c>
      <c r="D117" t="n">
        <v>13.34</v>
      </c>
      <c r="E117" t="n">
        <v>13.34</v>
      </c>
      <c r="F117" t="n">
        <v>88.95</v>
      </c>
      <c r="G117" t="n">
        <v>1187</v>
      </c>
    </row>
    <row r="118">
      <c r="A118" s="2" t="n">
        <v>46017</v>
      </c>
      <c r="B118" t="inlineStr">
        <is>
          <t>BAC(US0605051046) Cash Dividend USD 0.28 per Share (Ordinary Dividend)</t>
        </is>
      </c>
      <c r="C118" t="inlineStr">
        <is>
          <t>USD</t>
        </is>
      </c>
      <c r="D118" t="n">
        <v>45.36</v>
      </c>
      <c r="E118" t="n">
        <v>45.36</v>
      </c>
      <c r="F118" t="n">
        <v>88.95</v>
      </c>
      <c r="G118" t="n">
        <v>4035</v>
      </c>
    </row>
    <row r="119">
      <c r="A119" s="2" t="n">
        <v>46021</v>
      </c>
      <c r="B119" t="inlineStr">
        <is>
          <t>DXJ(US97717W8516) Payment in Lieu of Dividend (Ordinary Dividend)</t>
        </is>
      </c>
      <c r="C119" t="inlineStr">
        <is>
          <t>USD</t>
        </is>
      </c>
      <c r="D119" t="n">
        <v>5.39</v>
      </c>
      <c r="E119" t="n">
        <v>5.39</v>
      </c>
      <c r="F119" t="n">
        <v>88.95</v>
      </c>
      <c r="G119" t="n">
        <v>479</v>
      </c>
    </row>
    <row r="120">
      <c r="A120" s="2" t="n">
        <v>46021</v>
      </c>
      <c r="B120" t="inlineStr">
        <is>
          <t>DXJ(US97717W8516) Cash Dividend USD 0.38499 per Share (Ordinary Dividend)</t>
        </is>
      </c>
      <c r="C120" t="inlineStr">
        <is>
          <t>USD</t>
        </is>
      </c>
      <c r="D120" t="n">
        <v>3.85</v>
      </c>
      <c r="E120" t="n">
        <v>3.85</v>
      </c>
      <c r="F120" t="n">
        <v>88.95</v>
      </c>
      <c r="G120" t="n">
        <v>342</v>
      </c>
    </row>
    <row r="121">
      <c r="A121" s="2" t="n">
        <v>46022</v>
      </c>
      <c r="B121" t="inlineStr">
        <is>
          <t>3069(HK0000711199) Cash Dividend HKD 0.05 per Share (Ordinary Dividend)</t>
        </is>
      </c>
      <c r="C121" t="inlineStr">
        <is>
          <t>HKD</t>
        </is>
      </c>
      <c r="D121" t="n">
        <v>9.949999999999999</v>
      </c>
      <c r="E121" t="n">
        <v>1.2785</v>
      </c>
      <c r="F121" t="n">
        <v>88.95</v>
      </c>
      <c r="G121" t="n">
        <v>114</v>
      </c>
    </row>
    <row r="122">
      <c r="A122" s="2" t="n">
        <v>46022</v>
      </c>
      <c r="B122" t="inlineStr">
        <is>
          <t>3069(HK0000711199) Payment in Lieu of Dividend (Ordinary Dividend)</t>
        </is>
      </c>
      <c r="C122" t="inlineStr">
        <is>
          <t>HKD</t>
        </is>
      </c>
      <c r="D122" t="n">
        <v>25.05</v>
      </c>
      <c r="E122" t="n">
        <v>3.2187</v>
      </c>
      <c r="F122" t="n">
        <v>88.95</v>
      </c>
      <c r="G122" t="n">
        <v>286</v>
      </c>
    </row>
    <row r="123">
      <c r="A123" s="2" t="n">
        <v>46022</v>
      </c>
      <c r="B123" t="inlineStr">
        <is>
          <t>AVGO(US11135F1012) Cash Dividend USD 0.65 per Share (Ordinary Dividend)</t>
        </is>
      </c>
      <c r="C123" t="inlineStr">
        <is>
          <t>USD</t>
        </is>
      </c>
      <c r="D123" t="n">
        <v>5.85</v>
      </c>
      <c r="E123" t="n">
        <v>5.85</v>
      </c>
      <c r="F123" t="n">
        <v>88.95</v>
      </c>
      <c r="G123" t="n">
        <v>520</v>
      </c>
    </row>
    <row r="124">
      <c r="B124" t="inlineStr">
        <is>
          <t>TOTAL DIVIDENDS</t>
        </is>
      </c>
      <c r="E124" t="n">
        <v>1617.42</v>
      </c>
      <c r="G124" t="n">
        <v>140901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45750</v>
      </c>
      <c r="B4" t="inlineStr">
        <is>
          <t>USD Credit Interest for Mar-2025</t>
        </is>
      </c>
      <c r="C4" t="inlineStr">
        <is>
          <t>USD</t>
        </is>
      </c>
      <c r="D4" t="n">
        <v>43.15</v>
      </c>
      <c r="E4" t="n">
        <v>43.15</v>
      </c>
      <c r="F4" t="n">
        <v>85.09999999999999</v>
      </c>
      <c r="G4" t="n">
        <v>3672</v>
      </c>
    </row>
    <row r="5">
      <c r="A5" s="2" t="n">
        <v>45750</v>
      </c>
      <c r="B5" t="inlineStr">
        <is>
          <t>USD IBKR Managed Securities (SYEP) Interest for Mar-2025</t>
        </is>
      </c>
      <c r="C5" t="inlineStr">
        <is>
          <t>USD</t>
        </is>
      </c>
      <c r="D5" t="n">
        <v>0.28</v>
      </c>
      <c r="E5" t="n">
        <v>0.28</v>
      </c>
      <c r="F5" t="n">
        <v>85.09999999999999</v>
      </c>
      <c r="G5" t="n">
        <v>24</v>
      </c>
    </row>
    <row r="6">
      <c r="A6" s="2" t="n">
        <v>45782</v>
      </c>
      <c r="B6" t="inlineStr">
        <is>
          <t>USD Credit Interest for Apr-2025</t>
        </is>
      </c>
      <c r="C6" t="inlineStr">
        <is>
          <t>USD</t>
        </is>
      </c>
      <c r="D6" t="n">
        <v>6.21</v>
      </c>
      <c r="E6" t="n">
        <v>6.21</v>
      </c>
      <c r="F6" t="n">
        <v>84.25</v>
      </c>
      <c r="G6" t="n">
        <v>523</v>
      </c>
    </row>
    <row r="7">
      <c r="A7" s="2" t="n">
        <v>45782</v>
      </c>
      <c r="B7" t="inlineStr">
        <is>
          <t>USD IBKR Managed Securities (SYEP) Interest for Apr-2025</t>
        </is>
      </c>
      <c r="C7" t="inlineStr">
        <is>
          <t>USD</t>
        </is>
      </c>
      <c r="D7" t="n">
        <v>0.34</v>
      </c>
      <c r="E7" t="n">
        <v>0.34</v>
      </c>
      <c r="F7" t="n">
        <v>84.25</v>
      </c>
      <c r="G7" t="n">
        <v>29</v>
      </c>
    </row>
    <row r="8">
      <c r="A8" s="2" t="n">
        <v>45812</v>
      </c>
      <c r="B8" t="inlineStr">
        <is>
          <t>USD IBKR Managed Securities (SYEP) Interest for May-2025</t>
        </is>
      </c>
      <c r="C8" t="inlineStr">
        <is>
          <t>USD</t>
        </is>
      </c>
      <c r="D8" t="n">
        <v>0.8100000000000001</v>
      </c>
      <c r="E8" t="n">
        <v>0.8100000000000001</v>
      </c>
      <c r="F8" t="n">
        <v>85.09999999999999</v>
      </c>
      <c r="G8" t="n">
        <v>69</v>
      </c>
    </row>
    <row r="9">
      <c r="A9" s="2" t="n">
        <v>45841</v>
      </c>
      <c r="B9" t="inlineStr">
        <is>
          <t>USD IBKR Managed Securities (SYEP) Interest for Jun-2025</t>
        </is>
      </c>
      <c r="C9" t="inlineStr">
        <is>
          <t>USD</t>
        </is>
      </c>
      <c r="D9" t="n">
        <v>0.57</v>
      </c>
      <c r="E9" t="n">
        <v>0.57</v>
      </c>
      <c r="F9" t="n">
        <v>85.09999999999999</v>
      </c>
      <c r="G9" t="n">
        <v>49</v>
      </c>
    </row>
    <row r="10">
      <c r="A10" s="2" t="n">
        <v>45874</v>
      </c>
      <c r="B10" t="inlineStr">
        <is>
          <t>EUR IBKR Managed Securities (SYEP) Interest for Jul-2025</t>
        </is>
      </c>
      <c r="C10" t="inlineStr">
        <is>
          <t>EUR</t>
        </is>
      </c>
      <c r="D10" t="n">
        <v>0.01</v>
      </c>
      <c r="E10" t="n">
        <v>0.0117</v>
      </c>
      <c r="F10" t="n">
        <v>87.15000000000001</v>
      </c>
      <c r="G10" t="n">
        <v>1</v>
      </c>
    </row>
    <row r="11">
      <c r="A11" s="2" t="n">
        <v>45874</v>
      </c>
      <c r="B11" t="inlineStr">
        <is>
          <t>HKD IBKR Managed Securities (SYEP) Interest for Jul-2025</t>
        </is>
      </c>
      <c r="C11" t="inlineStr">
        <is>
          <t>HKD</t>
        </is>
      </c>
      <c r="D11" t="n">
        <v>2</v>
      </c>
      <c r="E11" t="n">
        <v>0.257</v>
      </c>
      <c r="F11" t="n">
        <v>87.15000000000001</v>
      </c>
      <c r="G11" t="n">
        <v>22</v>
      </c>
    </row>
    <row r="12">
      <c r="A12" s="2" t="n">
        <v>45874</v>
      </c>
      <c r="B12" t="inlineStr">
        <is>
          <t>USD Credit Interest for Jul-2025</t>
        </is>
      </c>
      <c r="C12" t="inlineStr">
        <is>
          <t>USD</t>
        </is>
      </c>
      <c r="D12" t="n">
        <v>22.72</v>
      </c>
      <c r="E12" t="n">
        <v>22.72</v>
      </c>
      <c r="F12" t="n">
        <v>87.15000000000001</v>
      </c>
      <c r="G12" t="n">
        <v>1980</v>
      </c>
    </row>
    <row r="13">
      <c r="A13" s="2" t="n">
        <v>45874</v>
      </c>
      <c r="B13" t="inlineStr">
        <is>
          <t>USD Debit Interest for Jul-2025</t>
        </is>
      </c>
      <c r="C13" t="inlineStr">
        <is>
          <t>USD</t>
        </is>
      </c>
      <c r="D13" t="n">
        <v>-0.6</v>
      </c>
      <c r="E13" t="n">
        <v>-0.6</v>
      </c>
      <c r="F13" t="n">
        <v>87.15000000000001</v>
      </c>
      <c r="G13" t="n">
        <v>-52</v>
      </c>
    </row>
    <row r="14">
      <c r="A14" s="2" t="n">
        <v>45874</v>
      </c>
      <c r="B14" t="inlineStr">
        <is>
          <t>USD IBKR Managed Securities (SYEP) Interest for Jul-2025</t>
        </is>
      </c>
      <c r="C14" t="inlineStr">
        <is>
          <t>USD</t>
        </is>
      </c>
      <c r="D14" t="n">
        <v>0.28</v>
      </c>
      <c r="E14" t="n">
        <v>0.28</v>
      </c>
      <c r="F14" t="n">
        <v>87.15000000000001</v>
      </c>
      <c r="G14" t="n">
        <v>24</v>
      </c>
    </row>
    <row r="15">
      <c r="A15" s="2" t="n">
        <v>45904</v>
      </c>
      <c r="B15" t="inlineStr">
        <is>
          <t>HKD IBKR Managed Securities (SYEP) Interest for Aug-2025</t>
        </is>
      </c>
      <c r="C15" t="inlineStr">
        <is>
          <t>HKD</t>
        </is>
      </c>
      <c r="D15" t="n">
        <v>2.17</v>
      </c>
      <c r="E15" t="n">
        <v>0.2788</v>
      </c>
      <c r="F15" t="n">
        <v>87.7</v>
      </c>
      <c r="G15" t="n">
        <v>24</v>
      </c>
    </row>
    <row r="16">
      <c r="A16" s="2" t="n">
        <v>45904</v>
      </c>
      <c r="B16" t="inlineStr">
        <is>
          <t>JPY IBKR Managed Securities (SYEP) Interest for Aug-2025</t>
        </is>
      </c>
      <c r="C16" t="inlineStr">
        <is>
          <t>JPY</t>
        </is>
      </c>
      <c r="D16" t="n">
        <v>3</v>
      </c>
      <c r="E16" t="n">
        <v>0.0191</v>
      </c>
      <c r="F16" t="n">
        <v>87.7</v>
      </c>
      <c r="G16" t="n">
        <v>2</v>
      </c>
    </row>
    <row r="17">
      <c r="A17" s="2" t="n">
        <v>45904</v>
      </c>
      <c r="B17" t="inlineStr">
        <is>
          <t>USD Credit Interest for Aug-2025</t>
        </is>
      </c>
      <c r="C17" t="inlineStr">
        <is>
          <t>USD</t>
        </is>
      </c>
      <c r="D17" t="n">
        <v>24.04</v>
      </c>
      <c r="E17" t="n">
        <v>24.04</v>
      </c>
      <c r="F17" t="n">
        <v>87.7</v>
      </c>
      <c r="G17" t="n">
        <v>2108</v>
      </c>
    </row>
    <row r="18">
      <c r="A18" s="2" t="n">
        <v>45904</v>
      </c>
      <c r="B18" t="inlineStr">
        <is>
          <t>USD IBKR Managed Securities (SYEP) Interest for Aug-2025</t>
        </is>
      </c>
      <c r="C18" t="inlineStr">
        <is>
          <t>USD</t>
        </is>
      </c>
      <c r="D18" t="n">
        <v>0.2</v>
      </c>
      <c r="E18" t="n">
        <v>0.2</v>
      </c>
      <c r="F18" t="n">
        <v>87.7</v>
      </c>
      <c r="G18" t="n">
        <v>18</v>
      </c>
    </row>
    <row r="19">
      <c r="A19" s="2" t="n">
        <v>45933</v>
      </c>
      <c r="B19" t="inlineStr">
        <is>
          <t>HKD IBKR Managed Securities (SYEP) Interest for Sep-2025</t>
        </is>
      </c>
      <c r="C19" t="inlineStr">
        <is>
          <t>HKD</t>
        </is>
      </c>
      <c r="D19" t="n">
        <v>12.91</v>
      </c>
      <c r="E19" t="n">
        <v>1.6588</v>
      </c>
      <c r="F19" t="n">
        <v>88.34999999999999</v>
      </c>
      <c r="G19" t="n">
        <v>147</v>
      </c>
    </row>
    <row r="20">
      <c r="A20" s="2" t="n">
        <v>45933</v>
      </c>
      <c r="B20" t="inlineStr">
        <is>
          <t>JPY IBKR Managed Securities (SYEP) Interest for Sep-2025</t>
        </is>
      </c>
      <c r="C20" t="inlineStr">
        <is>
          <t>JPY</t>
        </is>
      </c>
      <c r="D20" t="n">
        <v>28</v>
      </c>
      <c r="E20" t="n">
        <v>0.1787</v>
      </c>
      <c r="F20" t="n">
        <v>88.34999999999999</v>
      </c>
      <c r="G20" t="n">
        <v>16</v>
      </c>
    </row>
    <row r="21">
      <c r="A21" s="2" t="n">
        <v>45933</v>
      </c>
      <c r="B21" t="inlineStr">
        <is>
          <t>USD Credit Interest for Sep-2025</t>
        </is>
      </c>
      <c r="C21" t="inlineStr">
        <is>
          <t>USD</t>
        </is>
      </c>
      <c r="D21" t="n">
        <v>2.82</v>
      </c>
      <c r="E21" t="n">
        <v>2.82</v>
      </c>
      <c r="F21" t="n">
        <v>88.34999999999999</v>
      </c>
      <c r="G21" t="n">
        <v>249</v>
      </c>
    </row>
    <row r="22">
      <c r="A22" s="2" t="n">
        <v>45933</v>
      </c>
      <c r="B22" t="inlineStr">
        <is>
          <t>USD IBKR Managed Securities (SYEP) Interest for Sep-2025</t>
        </is>
      </c>
      <c r="C22" t="inlineStr">
        <is>
          <t>USD</t>
        </is>
      </c>
      <c r="D22" t="n">
        <v>0.86</v>
      </c>
      <c r="E22" t="n">
        <v>0.86</v>
      </c>
      <c r="F22" t="n">
        <v>88.34999999999999</v>
      </c>
      <c r="G22" t="n">
        <v>76</v>
      </c>
    </row>
    <row r="23">
      <c r="A23" s="2" t="n">
        <v>45966</v>
      </c>
      <c r="B23" t="inlineStr">
        <is>
          <t>HKD IBKR Managed Securities (SYEP) Interest for Oct-2025</t>
        </is>
      </c>
      <c r="C23" t="inlineStr">
        <is>
          <t>HKD</t>
        </is>
      </c>
      <c r="D23" t="n">
        <v>7.98</v>
      </c>
      <c r="E23" t="n">
        <v>1.0254</v>
      </c>
      <c r="F23" t="n">
        <v>88.2</v>
      </c>
      <c r="G23" t="n">
        <v>90</v>
      </c>
    </row>
    <row r="24">
      <c r="A24" s="2" t="n">
        <v>45966</v>
      </c>
      <c r="B24" t="inlineStr">
        <is>
          <t>USD IBKR Managed Securities (SYEP) Interest for Oct-2025</t>
        </is>
      </c>
      <c r="C24" t="inlineStr">
        <is>
          <t>USD</t>
        </is>
      </c>
      <c r="D24" t="n">
        <v>1.2</v>
      </c>
      <c r="E24" t="n">
        <v>1.2</v>
      </c>
      <c r="F24" t="n">
        <v>88.2</v>
      </c>
      <c r="G24" t="n">
        <v>106</v>
      </c>
    </row>
    <row r="25">
      <c r="A25" s="2" t="n">
        <v>45994</v>
      </c>
      <c r="B25" t="inlineStr">
        <is>
          <t>HKD IBKR Managed Securities (SYEP) Interest for Nov-2025</t>
        </is>
      </c>
      <c r="C25" t="inlineStr">
        <is>
          <t>HKD</t>
        </is>
      </c>
      <c r="D25" t="n">
        <v>15.82</v>
      </c>
      <c r="E25" t="n">
        <v>2.0327</v>
      </c>
      <c r="F25" t="n">
        <v>88.95</v>
      </c>
      <c r="G25" t="n">
        <v>181</v>
      </c>
    </row>
    <row r="26">
      <c r="A26" s="2" t="n">
        <v>45994</v>
      </c>
      <c r="B26" t="inlineStr">
        <is>
          <t>JPY IBKR Managed Securities (SYEP) Interest for Nov-2025</t>
        </is>
      </c>
      <c r="C26" t="inlineStr">
        <is>
          <t>JPY</t>
        </is>
      </c>
      <c r="D26" t="n">
        <v>7</v>
      </c>
      <c r="E26" t="n">
        <v>0.0447</v>
      </c>
      <c r="F26" t="n">
        <v>88.95</v>
      </c>
      <c r="G26" t="n">
        <v>4</v>
      </c>
    </row>
    <row r="27">
      <c r="A27" s="2" t="n">
        <v>45994</v>
      </c>
      <c r="B27" t="inlineStr">
        <is>
          <t>USD IBKR Managed Securities (SYEP) Interest for Nov-2025</t>
        </is>
      </c>
      <c r="C27" t="inlineStr">
        <is>
          <t>USD</t>
        </is>
      </c>
      <c r="D27" t="n">
        <v>1.38</v>
      </c>
      <c r="E27" t="n">
        <v>1.38</v>
      </c>
      <c r="F27" t="n">
        <v>88.95</v>
      </c>
      <c r="G27" t="n">
        <v>123</v>
      </c>
    </row>
    <row r="28">
      <c r="A28" s="2" t="n">
        <v>46028</v>
      </c>
      <c r="B28" t="inlineStr">
        <is>
          <t>EUR IBKR Managed Securities (SYEP) for Dec-2025</t>
        </is>
      </c>
      <c r="C28" t="inlineStr">
        <is>
          <t>EUR</t>
        </is>
      </c>
      <c r="D28" t="n">
        <v>0.29</v>
      </c>
      <c r="E28" t="n">
        <v>0.3406</v>
      </c>
      <c r="F28" t="n">
        <v>89.47</v>
      </c>
      <c r="G28" t="n">
        <v>30</v>
      </c>
    </row>
    <row r="29">
      <c r="A29" s="2" t="n">
        <v>46028</v>
      </c>
      <c r="B29" t="inlineStr">
        <is>
          <t>HKD IBKR Managed Securities (SYEP) for Dec-2025</t>
        </is>
      </c>
      <c r="C29" t="inlineStr">
        <is>
          <t>HKD</t>
        </is>
      </c>
      <c r="D29" t="n">
        <v>16.71</v>
      </c>
      <c r="E29" t="n">
        <v>2.1471</v>
      </c>
      <c r="F29" t="n">
        <v>89.47</v>
      </c>
      <c r="G29" t="n">
        <v>192</v>
      </c>
    </row>
    <row r="30">
      <c r="A30" s="2" t="n">
        <v>46028</v>
      </c>
      <c r="B30" t="inlineStr">
        <is>
          <t>JPY IBKR Managed Securities (SYEP) for Dec-2025</t>
        </is>
      </c>
      <c r="C30" t="inlineStr">
        <is>
          <t>JPY</t>
        </is>
      </c>
      <c r="D30" t="n">
        <v>12</v>
      </c>
      <c r="E30" t="n">
        <v>0.0766</v>
      </c>
      <c r="F30" t="n">
        <v>89.47</v>
      </c>
      <c r="G30" t="n">
        <v>7</v>
      </c>
    </row>
    <row r="31">
      <c r="A31" s="2" t="n">
        <v>46028</v>
      </c>
      <c r="B31" t="inlineStr">
        <is>
          <t>USD IBKR Managed Securities (SYEP) for Dec-2025</t>
        </is>
      </c>
      <c r="C31" t="inlineStr">
        <is>
          <t>USD</t>
        </is>
      </c>
      <c r="D31" t="n">
        <v>0.65</v>
      </c>
      <c r="E31" t="n">
        <v>0.65</v>
      </c>
      <c r="F31" t="n">
        <v>89.47</v>
      </c>
      <c r="G31" t="n">
        <v>58</v>
      </c>
    </row>
    <row r="32">
      <c r="A32" s="2" t="n">
        <v>46057</v>
      </c>
      <c r="B32" t="inlineStr">
        <is>
          <t>HKD IBKR Managed Securities (SYEP) for Jan-2026</t>
        </is>
      </c>
      <c r="C32" t="inlineStr">
        <is>
          <t>HKD</t>
        </is>
      </c>
      <c r="D32" t="n">
        <v>17.52</v>
      </c>
      <c r="E32" t="n">
        <v>2.2511</v>
      </c>
      <c r="F32" t="n">
        <v>91.34999999999999</v>
      </c>
      <c r="G32" t="n">
        <v>206</v>
      </c>
    </row>
    <row r="33">
      <c r="A33" s="2" t="n">
        <v>46057</v>
      </c>
      <c r="B33" t="inlineStr">
        <is>
          <t>USD IBKR Managed Securities (SYEP) for Jan-2026</t>
        </is>
      </c>
      <c r="C33" t="inlineStr">
        <is>
          <t>USD</t>
        </is>
      </c>
      <c r="D33" t="n">
        <v>0.59</v>
      </c>
      <c r="E33" t="n">
        <v>0.59</v>
      </c>
      <c r="F33" t="n">
        <v>91.34999999999999</v>
      </c>
      <c r="G33" t="n">
        <v>54</v>
      </c>
    </row>
    <row r="34">
      <c r="A34" s="2" t="n">
        <v>46085</v>
      </c>
      <c r="B34" t="inlineStr">
        <is>
          <t>HKD IBKR Managed Securities (SYEP) for Feb-2026</t>
        </is>
      </c>
      <c r="C34" t="inlineStr">
        <is>
          <t>HKD</t>
        </is>
      </c>
      <c r="D34" t="n">
        <v>8.44</v>
      </c>
      <c r="E34" t="n">
        <v>1.0845</v>
      </c>
      <c r="F34" t="n">
        <v>90.56</v>
      </c>
      <c r="G34" t="n">
        <v>98</v>
      </c>
    </row>
    <row r="35">
      <c r="A35" s="2" t="n">
        <v>46085</v>
      </c>
      <c r="B35" t="inlineStr">
        <is>
          <t>USD IBKR Managed Securities (SYEP) for Feb-2026</t>
        </is>
      </c>
      <c r="C35" t="inlineStr">
        <is>
          <t>USD</t>
        </is>
      </c>
      <c r="D35" t="n">
        <v>0.41</v>
      </c>
      <c r="E35" t="n">
        <v>0.41</v>
      </c>
      <c r="F35" t="n">
        <v>90.56</v>
      </c>
      <c r="G35" t="n">
        <v>37</v>
      </c>
    </row>
    <row r="36">
      <c r="B36" t="inlineStr">
        <is>
          <t>TOTAL INTEREST</t>
        </is>
      </c>
      <c r="E36" t="n">
        <v>117.32</v>
      </c>
      <c r="G36" t="n">
        <v>10166</v>
      </c>
    </row>
    <row r="37"/>
    <row r="38">
      <c r="A38" t="inlineStr">
        <is>
          <t>— DIVIDENDS —</t>
        </is>
      </c>
    </row>
    <row r="39">
      <c r="A39" s="2" t="n">
        <v>45748</v>
      </c>
      <c r="B39" t="inlineStr">
        <is>
          <t>NOV(DK0062498333) Cash Dividend DKK 7.90 per Share (Ordinary Dividend)</t>
        </is>
      </c>
      <c r="C39" t="inlineStr">
        <is>
          <t>DKK</t>
        </is>
      </c>
      <c r="D39" t="n">
        <v>237</v>
      </c>
      <c r="E39" t="n">
        <v>37.2706</v>
      </c>
      <c r="F39" t="n">
        <v>85.09999999999999</v>
      </c>
      <c r="G39" t="n">
        <v>3172</v>
      </c>
    </row>
    <row r="40">
      <c r="A40" s="2" t="n">
        <v>45751</v>
      </c>
      <c r="B40" t="inlineStr">
        <is>
          <t>TIP(US4642871762) Cash Dividend USD 0.70918 per Share (Ordinary Dividend)</t>
        </is>
      </c>
      <c r="C40" t="inlineStr">
        <is>
          <t>USD</t>
        </is>
      </c>
      <c r="D40" t="n">
        <v>27.66</v>
      </c>
      <c r="E40" t="n">
        <v>27.66</v>
      </c>
      <c r="F40" t="n">
        <v>85.09999999999999</v>
      </c>
      <c r="G40" t="n">
        <v>2354</v>
      </c>
    </row>
    <row r="41">
      <c r="A41" s="2" t="n">
        <v>45756</v>
      </c>
      <c r="B41" t="inlineStr">
        <is>
          <t>LRCX(US5128073062) Cash Dividend USD 0.23 per Share (Ordinary Dividend)</t>
        </is>
      </c>
      <c r="C41" t="inlineStr">
        <is>
          <t>USD</t>
        </is>
      </c>
      <c r="D41" t="n">
        <v>6.9</v>
      </c>
      <c r="E41" t="n">
        <v>6.9</v>
      </c>
      <c r="F41" t="n">
        <v>85.09999999999999</v>
      </c>
      <c r="G41" t="n">
        <v>587</v>
      </c>
    </row>
    <row r="42">
      <c r="A42" s="2" t="n">
        <v>45757</v>
      </c>
      <c r="B42" t="inlineStr">
        <is>
          <t>TSM(US8740391003) Cash Dividend USD 0.677693 per Share (Ordinary Div - NRA Withholding Exempt)</t>
        </is>
      </c>
      <c r="C42" t="inlineStr">
        <is>
          <t>USD</t>
        </is>
      </c>
      <c r="D42" t="n">
        <v>9.49</v>
      </c>
      <c r="E42" t="n">
        <v>9.49</v>
      </c>
      <c r="F42" t="n">
        <v>85.09999999999999</v>
      </c>
      <c r="G42" t="n">
        <v>808</v>
      </c>
    </row>
    <row r="43">
      <c r="A43" s="2" t="n">
        <v>45772</v>
      </c>
      <c r="B43" t="inlineStr">
        <is>
          <t>GE(US3696043013) Cash Dividend USD 0.36 per Share (Ordinary Dividend)</t>
        </is>
      </c>
      <c r="C43" t="inlineStr">
        <is>
          <t>USD</t>
        </is>
      </c>
      <c r="D43" t="n">
        <v>2.52</v>
      </c>
      <c r="E43" t="n">
        <v>2.52</v>
      </c>
      <c r="F43" t="n">
        <v>85.09999999999999</v>
      </c>
      <c r="G43" t="n">
        <v>214</v>
      </c>
    </row>
    <row r="44">
      <c r="A44" s="2" t="n">
        <v>45782</v>
      </c>
      <c r="B44" t="inlineStr">
        <is>
          <t>BX(US09260D1072) Cash Dividend USD 0.93 per Share (Ordinary Dividend)</t>
        </is>
      </c>
      <c r="C44" t="inlineStr">
        <is>
          <t>USD</t>
        </is>
      </c>
      <c r="D44" t="n">
        <v>39.06</v>
      </c>
      <c r="E44" t="n">
        <v>39.06</v>
      </c>
      <c r="F44" t="n">
        <v>84.25</v>
      </c>
      <c r="G44" t="n">
        <v>3291</v>
      </c>
    </row>
    <row r="45">
      <c r="A45" s="2" t="n">
        <v>45783</v>
      </c>
      <c r="B45" t="inlineStr">
        <is>
          <t>ASML(USN070592100) Cash Dividend USD 2.090608 per Share (Ordinary Dividend)</t>
        </is>
      </c>
      <c r="C45" t="inlineStr">
        <is>
          <t>USD</t>
        </is>
      </c>
      <c r="D45" t="n">
        <v>12.54</v>
      </c>
      <c r="E45" t="n">
        <v>12.54</v>
      </c>
      <c r="F45" t="n">
        <v>84.25</v>
      </c>
      <c r="G45" t="n">
        <v>1056</v>
      </c>
    </row>
    <row r="46">
      <c r="A46" s="2" t="n">
        <v>45783</v>
      </c>
      <c r="B46" t="inlineStr">
        <is>
          <t>TIP(US4642871762) Cash Dividend USD 0.534953 per Share (Ordinary Dividend)</t>
        </is>
      </c>
      <c r="C46" t="inlineStr">
        <is>
          <t>USD</t>
        </is>
      </c>
      <c r="D46" t="n">
        <v>20.86</v>
      </c>
      <c r="E46" t="n">
        <v>20.86</v>
      </c>
      <c r="F46" t="n">
        <v>84.25</v>
      </c>
      <c r="G46" t="n">
        <v>1757</v>
      </c>
    </row>
    <row r="47">
      <c r="A47" s="2" t="n">
        <v>45786</v>
      </c>
      <c r="B47" t="inlineStr">
        <is>
          <t>AXP(US0258161092) Cash Dividend USD 0.82 per Share (Ordinary Dividend)</t>
        </is>
      </c>
      <c r="C47" t="inlineStr">
        <is>
          <t>USD</t>
        </is>
      </c>
      <c r="D47" t="n">
        <v>2.46</v>
      </c>
      <c r="E47" t="n">
        <v>2.46</v>
      </c>
      <c r="F47" t="n">
        <v>84.25</v>
      </c>
      <c r="G47" t="n">
        <v>207</v>
      </c>
    </row>
    <row r="48">
      <c r="A48" s="2" t="n">
        <v>45797</v>
      </c>
      <c r="B48" t="inlineStr">
        <is>
          <t>CAT(US1491231015) Cash Dividend USD 1.41 per Share (Ordinary Dividend)</t>
        </is>
      </c>
      <c r="C48" t="inlineStr">
        <is>
          <t>USD</t>
        </is>
      </c>
      <c r="D48" t="n">
        <v>4.23</v>
      </c>
      <c r="E48" t="n">
        <v>4.23</v>
      </c>
      <c r="F48" t="n">
        <v>84.25</v>
      </c>
      <c r="G48" t="n">
        <v>356</v>
      </c>
    </row>
    <row r="49">
      <c r="A49" s="2" t="n">
        <v>45810</v>
      </c>
      <c r="B49" t="inlineStr">
        <is>
          <t>TGT(US87612E1064) Cash Dividend USD 1.12 per Share (Ordinary Dividend)</t>
        </is>
      </c>
      <c r="C49" t="inlineStr">
        <is>
          <t>USD</t>
        </is>
      </c>
      <c r="D49" t="n">
        <v>10.08</v>
      </c>
      <c r="E49" t="n">
        <v>10.08</v>
      </c>
      <c r="F49" t="n">
        <v>85.09999999999999</v>
      </c>
      <c r="G49" t="n">
        <v>858</v>
      </c>
    </row>
    <row r="50">
      <c r="A50" s="2" t="n">
        <v>45813</v>
      </c>
      <c r="B50" t="inlineStr">
        <is>
          <t>TIP(US4642871762) Cash Dividend USD 0.273105 per Share (Ordinary Dividend)</t>
        </is>
      </c>
      <c r="C50" t="inlineStr">
        <is>
          <t>USD</t>
        </is>
      </c>
      <c r="D50" t="n">
        <v>10.65</v>
      </c>
      <c r="E50" t="n">
        <v>10.65</v>
      </c>
      <c r="F50" t="n">
        <v>85.09999999999999</v>
      </c>
      <c r="G50" t="n">
        <v>906</v>
      </c>
    </row>
    <row r="51">
      <c r="A51" s="2" t="n">
        <v>45818</v>
      </c>
      <c r="B51" t="inlineStr">
        <is>
          <t>LLY(US5324571083) Cash Dividend USD 1.50 per Share (Ordinary Dividend)</t>
        </is>
      </c>
      <c r="C51" t="inlineStr">
        <is>
          <t>USD</t>
        </is>
      </c>
      <c r="D51" t="n">
        <v>4.5</v>
      </c>
      <c r="E51" t="n">
        <v>4.5</v>
      </c>
      <c r="F51" t="n">
        <v>85.09999999999999</v>
      </c>
      <c r="G51" t="n">
        <v>383</v>
      </c>
    </row>
    <row r="52">
      <c r="A52" s="2" t="n">
        <v>45820</v>
      </c>
      <c r="B52" t="inlineStr">
        <is>
          <t>MSFT(US5949181045) Cash Dividend USD 0.83 per Share (Ordinary Dividend)</t>
        </is>
      </c>
      <c r="C52" t="inlineStr">
        <is>
          <t>USD</t>
        </is>
      </c>
      <c r="D52" t="n">
        <v>2.49</v>
      </c>
      <c r="E52" t="n">
        <v>2.49</v>
      </c>
      <c r="F52" t="n">
        <v>85.09999999999999</v>
      </c>
      <c r="G52" t="n">
        <v>212</v>
      </c>
    </row>
    <row r="53">
      <c r="A53" s="2" t="n">
        <v>45828</v>
      </c>
      <c r="B53" t="inlineStr">
        <is>
          <t>EMXC(US46434G7640) Cash Dividend USD 0.711404 per Share (Ordinary Dividend)</t>
        </is>
      </c>
      <c r="C53" t="inlineStr">
        <is>
          <t>USD</t>
        </is>
      </c>
      <c r="D53" t="n">
        <v>53.36</v>
      </c>
      <c r="E53" t="n">
        <v>53.36</v>
      </c>
      <c r="F53" t="n">
        <v>85.09999999999999</v>
      </c>
      <c r="G53" t="n">
        <v>4541</v>
      </c>
    </row>
    <row r="54">
      <c r="A54" s="2" t="n">
        <v>45831</v>
      </c>
      <c r="B54" t="inlineStr">
        <is>
          <t>SHELL.DVD(NL0015002HW4) Expire Dividend Right (Ordinary Dividend)</t>
        </is>
      </c>
      <c r="C54" t="inlineStr">
        <is>
          <t>EUR</t>
        </is>
      </c>
      <c r="D54" t="n">
        <v>60.52</v>
      </c>
      <c r="E54" t="n">
        <v>71.0868</v>
      </c>
      <c r="F54" t="n">
        <v>85.09999999999999</v>
      </c>
      <c r="G54" t="n">
        <v>6049</v>
      </c>
    </row>
    <row r="55">
      <c r="A55" s="2" t="n">
        <v>45832</v>
      </c>
      <c r="B55" t="inlineStr">
        <is>
          <t>4568.T(JP3475350009) Cash Dividend JPY 30 per Share (Ordinary Dividend)</t>
        </is>
      </c>
      <c r="C55" t="inlineStr">
        <is>
          <t>JPY</t>
        </is>
      </c>
      <c r="D55" t="n">
        <v>3000</v>
      </c>
      <c r="E55" t="n">
        <v>19.1481</v>
      </c>
      <c r="F55" t="n">
        <v>85.09999999999999</v>
      </c>
      <c r="G55" t="n">
        <v>1630</v>
      </c>
    </row>
    <row r="56">
      <c r="A56" s="2" t="n">
        <v>45835</v>
      </c>
      <c r="B56" t="inlineStr">
        <is>
          <t>BAC(US0605051046) Cash Dividend USD 0.26 per Share (Ordinary Dividend)</t>
        </is>
      </c>
      <c r="C56" t="inlineStr">
        <is>
          <t>USD</t>
        </is>
      </c>
      <c r="D56" t="n">
        <v>42.12</v>
      </c>
      <c r="E56" t="n">
        <v>42.12</v>
      </c>
      <c r="F56" t="n">
        <v>85.09999999999999</v>
      </c>
      <c r="G56" t="n">
        <v>3584</v>
      </c>
    </row>
    <row r="57">
      <c r="A57" s="2" t="n">
        <v>45835</v>
      </c>
      <c r="B57" t="inlineStr">
        <is>
          <t>DXJ(US97717W8516) Cash Dividend USD 1.34 per Share (Ordinary Dividend)</t>
        </is>
      </c>
      <c r="C57" t="inlineStr">
        <is>
          <t>USD</t>
        </is>
      </c>
      <c r="D57" t="n">
        <v>32.16</v>
      </c>
      <c r="E57" t="n">
        <v>32.16</v>
      </c>
      <c r="F57" t="n">
        <v>85.09999999999999</v>
      </c>
      <c r="G57" t="n">
        <v>2737</v>
      </c>
    </row>
    <row r="58">
      <c r="A58" s="2" t="n">
        <v>45838</v>
      </c>
      <c r="B58" t="inlineStr">
        <is>
          <t>AVGO(US11135F1012) Cash Dividend USD 0.59 per Share (Ordinary Dividend)</t>
        </is>
      </c>
      <c r="C58" t="inlineStr">
        <is>
          <t>USD</t>
        </is>
      </c>
      <c r="D58" t="n">
        <v>5.31</v>
      </c>
      <c r="E58" t="n">
        <v>5.31</v>
      </c>
      <c r="F58" t="n">
        <v>85.09999999999999</v>
      </c>
      <c r="G58" t="n">
        <v>452</v>
      </c>
    </row>
    <row r="59">
      <c r="A59" s="2" t="n">
        <v>45845</v>
      </c>
      <c r="B59" t="inlineStr">
        <is>
          <t>TIP(US4642871762) Cash Dividend USD 0.379923 per Share (Ordinary Dividend)</t>
        </is>
      </c>
      <c r="C59" t="inlineStr">
        <is>
          <t>USD</t>
        </is>
      </c>
      <c r="D59" t="n">
        <v>14.82</v>
      </c>
      <c r="E59" t="n">
        <v>14.82</v>
      </c>
      <c r="F59" t="n">
        <v>85.09999999999999</v>
      </c>
      <c r="G59" t="n">
        <v>1261</v>
      </c>
    </row>
    <row r="60">
      <c r="A60" s="2" t="n">
        <v>45847</v>
      </c>
      <c r="B60" t="inlineStr">
        <is>
          <t>LRCX(US5128073062) Cash Dividend USD 0.23 per Share (Ordinary Dividend)</t>
        </is>
      </c>
      <c r="C60" t="inlineStr">
        <is>
          <t>USD</t>
        </is>
      </c>
      <c r="D60" t="n">
        <v>6.9</v>
      </c>
      <c r="E60" t="n">
        <v>6.9</v>
      </c>
      <c r="F60" t="n">
        <v>85.09999999999999</v>
      </c>
      <c r="G60" t="n">
        <v>587</v>
      </c>
    </row>
    <row r="61">
      <c r="A61" s="2" t="n">
        <v>45848</v>
      </c>
      <c r="B61" t="inlineStr">
        <is>
          <t>TSM(US8740391003) Cash Dividend USD 0.780305 per Share (Ordinary Div - NRA Withholding Exempt)</t>
        </is>
      </c>
      <c r="C61" t="inlineStr">
        <is>
          <t>USD</t>
        </is>
      </c>
      <c r="D61" t="n">
        <v>35.11</v>
      </c>
      <c r="E61" t="n">
        <v>35.11</v>
      </c>
      <c r="F61" t="n">
        <v>85.09999999999999</v>
      </c>
      <c r="G61" t="n">
        <v>2988</v>
      </c>
    </row>
    <row r="62">
      <c r="A62" s="2" t="n">
        <v>45863</v>
      </c>
      <c r="B62" t="inlineStr">
        <is>
          <t>GE(US3696043013) Cash Dividend USD 0.36 per Share (Ordinary Dividend)</t>
        </is>
      </c>
      <c r="C62" t="inlineStr">
        <is>
          <t>USD</t>
        </is>
      </c>
      <c r="D62" t="n">
        <v>2.52</v>
      </c>
      <c r="E62" t="n">
        <v>2.52</v>
      </c>
      <c r="F62" t="n">
        <v>85.09999999999999</v>
      </c>
      <c r="G62" t="n">
        <v>214</v>
      </c>
    </row>
    <row r="63">
      <c r="A63" s="2" t="n">
        <v>45875</v>
      </c>
      <c r="B63" t="inlineStr">
        <is>
          <t>3416(HK0000978954) Cash Dividend HKD 0.15 per Share (Ordinary Dividend)</t>
        </is>
      </c>
      <c r="C63" t="inlineStr">
        <is>
          <t>HKD</t>
        </is>
      </c>
      <c r="D63" t="n">
        <v>150</v>
      </c>
      <c r="E63" t="n">
        <v>19.2735</v>
      </c>
      <c r="F63" t="n">
        <v>87.15000000000001</v>
      </c>
      <c r="G63" t="n">
        <v>1680</v>
      </c>
    </row>
    <row r="64">
      <c r="A64" s="2" t="n">
        <v>45875</v>
      </c>
      <c r="B64" t="inlineStr">
        <is>
          <t>ASML(USN070592100) Cash Dividend USD 1.846784 per Share (Ordinary Dividend)</t>
        </is>
      </c>
      <c r="C64" t="inlineStr">
        <is>
          <t>USD</t>
        </is>
      </c>
      <c r="D64" t="n">
        <v>11.08</v>
      </c>
      <c r="E64" t="n">
        <v>11.08</v>
      </c>
      <c r="F64" t="n">
        <v>87.15000000000001</v>
      </c>
      <c r="G64" t="n">
        <v>966</v>
      </c>
    </row>
    <row r="65">
      <c r="A65" s="2" t="n">
        <v>45875</v>
      </c>
      <c r="B65" t="inlineStr">
        <is>
          <t>TIP(US4642871762) Cash Dividend USD 0.264488 per Share (Ordinary Dividend)</t>
        </is>
      </c>
      <c r="C65" t="inlineStr">
        <is>
          <t>USD</t>
        </is>
      </c>
      <c r="D65" t="n">
        <v>10.32</v>
      </c>
      <c r="E65" t="n">
        <v>10.32</v>
      </c>
      <c r="F65" t="n">
        <v>87.15000000000001</v>
      </c>
      <c r="G65" t="n">
        <v>899</v>
      </c>
    </row>
    <row r="66">
      <c r="A66" s="2" t="n">
        <v>45877</v>
      </c>
      <c r="B66" t="inlineStr">
        <is>
          <t>AXP(US0258161092) Cash Dividend USD 0.82 per Share (Ordinary Dividend)</t>
        </is>
      </c>
      <c r="C66" t="inlineStr">
        <is>
          <t>USD</t>
        </is>
      </c>
      <c r="D66" t="n">
        <v>2.46</v>
      </c>
      <c r="E66" t="n">
        <v>2.46</v>
      </c>
      <c r="F66" t="n">
        <v>87.15000000000001</v>
      </c>
      <c r="G66" t="n">
        <v>214</v>
      </c>
    </row>
    <row r="67">
      <c r="A67" s="2" t="n">
        <v>45880</v>
      </c>
      <c r="B67" t="inlineStr">
        <is>
          <t>BX(US09260D1072) Cash Dividend USD 1.03 per Share (Ordinary Dividend)</t>
        </is>
      </c>
      <c r="C67" t="inlineStr">
        <is>
          <t>USD</t>
        </is>
      </c>
      <c r="D67" t="n">
        <v>43.26</v>
      </c>
      <c r="E67" t="n">
        <v>43.26</v>
      </c>
      <c r="F67" t="n">
        <v>87.15000000000001</v>
      </c>
      <c r="G67" t="n">
        <v>3770</v>
      </c>
    </row>
    <row r="68">
      <c r="A68" s="2" t="n">
        <v>45888</v>
      </c>
      <c r="B68" t="inlineStr">
        <is>
          <t>NOV(DK0062498333) Cash Dividend DKK 3.75 per Share (Bonus Dividend)</t>
        </is>
      </c>
      <c r="C68" t="inlineStr">
        <is>
          <t>DKK</t>
        </is>
      </c>
      <c r="D68" t="n">
        <v>112.5</v>
      </c>
      <c r="E68" t="n">
        <v>17.6918</v>
      </c>
      <c r="F68" t="n">
        <v>87.15000000000001</v>
      </c>
      <c r="G68" t="n">
        <v>1542</v>
      </c>
    </row>
    <row r="69">
      <c r="A69" s="2" t="n">
        <v>45889</v>
      </c>
      <c r="B69" t="inlineStr">
        <is>
          <t>CAT(US1491231015) Cash Dividend USD 1.51 per Share (Ordinary Dividend)</t>
        </is>
      </c>
      <c r="C69" t="inlineStr">
        <is>
          <t>USD</t>
        </is>
      </c>
      <c r="D69" t="n">
        <v>4.53</v>
      </c>
      <c r="E69" t="n">
        <v>4.53</v>
      </c>
      <c r="F69" t="n">
        <v>87.15000000000001</v>
      </c>
      <c r="G69" t="n">
        <v>395</v>
      </c>
    </row>
    <row r="70">
      <c r="A70" s="2" t="n">
        <v>45901</v>
      </c>
      <c r="B70" t="inlineStr">
        <is>
          <t>2914.T(JP3726800000) Cash Dividend JPY 104 per Share (Ordinary Dividend)</t>
        </is>
      </c>
      <c r="C70" t="inlineStr">
        <is>
          <t>JPY</t>
        </is>
      </c>
      <c r="D70" t="n">
        <v>10400</v>
      </c>
      <c r="E70" t="n">
        <v>66.3801</v>
      </c>
      <c r="F70" t="n">
        <v>87.7</v>
      </c>
      <c r="G70" t="n">
        <v>5822</v>
      </c>
    </row>
    <row r="71">
      <c r="A71" s="2" t="n">
        <v>45902</v>
      </c>
      <c r="B71" t="inlineStr">
        <is>
          <t>TGT(US87612E1064) Cash Dividend USD 1.14 per Share (Ordinary Dividend)</t>
        </is>
      </c>
      <c r="C71" t="inlineStr">
        <is>
          <t>USD</t>
        </is>
      </c>
      <c r="D71" t="n">
        <v>10.26</v>
      </c>
      <c r="E71" t="n">
        <v>10.26</v>
      </c>
      <c r="F71" t="n">
        <v>87.7</v>
      </c>
      <c r="G71" t="n">
        <v>900</v>
      </c>
    </row>
    <row r="72">
      <c r="A72" s="2" t="n">
        <v>45904</v>
      </c>
      <c r="B72" t="inlineStr">
        <is>
          <t>3416(HK0000978954) Cash Dividend HKD 0.14 per Share (Ordinary Dividend)</t>
        </is>
      </c>
      <c r="C72" t="inlineStr">
        <is>
          <t>HKD</t>
        </is>
      </c>
      <c r="D72" t="n">
        <v>138.74</v>
      </c>
      <c r="E72" t="n">
        <v>17.8267</v>
      </c>
      <c r="F72" t="n">
        <v>87.7</v>
      </c>
      <c r="G72" t="n">
        <v>1563</v>
      </c>
    </row>
    <row r="73">
      <c r="A73" s="2" t="n">
        <v>45904</v>
      </c>
      <c r="B73" t="inlineStr">
        <is>
          <t>3416(HK0000978954) Payment in Lieu of Dividend (Ordinary Dividend)</t>
        </is>
      </c>
      <c r="C73" t="inlineStr">
        <is>
          <t>HKD</t>
        </is>
      </c>
      <c r="D73" t="n">
        <v>1.26</v>
      </c>
      <c r="E73" t="n">
        <v>0.1619</v>
      </c>
      <c r="F73" t="n">
        <v>87.7</v>
      </c>
      <c r="G73" t="n">
        <v>14</v>
      </c>
    </row>
    <row r="74">
      <c r="A74" s="2" t="n">
        <v>45905</v>
      </c>
      <c r="B74" t="inlineStr">
        <is>
          <t>TIP(US4642871762) Cash Dividend USD 0.417238 per Share (Ordinary Dividend)</t>
        </is>
      </c>
      <c r="C74" t="inlineStr">
        <is>
          <t>USD</t>
        </is>
      </c>
      <c r="D74" t="n">
        <v>16.27</v>
      </c>
      <c r="E74" t="n">
        <v>16.27</v>
      </c>
      <c r="F74" t="n">
        <v>87.7</v>
      </c>
      <c r="G74" t="n">
        <v>1427</v>
      </c>
    </row>
    <row r="75">
      <c r="A75" s="2" t="n">
        <v>45910</v>
      </c>
      <c r="B75" t="inlineStr">
        <is>
          <t>LLY(US5324571083) Cash Dividend USD 1.50 per Share (Ordinary Dividend)</t>
        </is>
      </c>
      <c r="C75" t="inlineStr">
        <is>
          <t>USD</t>
        </is>
      </c>
      <c r="D75" t="n">
        <v>4.5</v>
      </c>
      <c r="E75" t="n">
        <v>4.5</v>
      </c>
      <c r="F75" t="n">
        <v>87.7</v>
      </c>
      <c r="G75" t="n">
        <v>395</v>
      </c>
    </row>
    <row r="76">
      <c r="A76" s="2" t="n">
        <v>45911</v>
      </c>
      <c r="B76" t="inlineStr">
        <is>
          <t>MSFT(US5949181045) Cash Dividend USD 0.83 per Share (Ordinary Dividend)</t>
        </is>
      </c>
      <c r="C76" t="inlineStr">
        <is>
          <t>USD</t>
        </is>
      </c>
      <c r="D76" t="n">
        <v>2.49</v>
      </c>
      <c r="E76" t="n">
        <v>2.49</v>
      </c>
      <c r="F76" t="n">
        <v>87.7</v>
      </c>
      <c r="G76" t="n">
        <v>218</v>
      </c>
    </row>
    <row r="77">
      <c r="A77" s="2" t="n">
        <v>45922</v>
      </c>
      <c r="B77" t="inlineStr">
        <is>
          <t>SHELL.DRS(NL0015002L33) Expire Dividend Right (Ordinary Dividend)</t>
        </is>
      </c>
      <c r="C77" t="inlineStr">
        <is>
          <t>EUR</t>
        </is>
      </c>
      <c r="D77" t="n">
        <v>28.53</v>
      </c>
      <c r="E77" t="n">
        <v>33.5113</v>
      </c>
      <c r="F77" t="n">
        <v>87.7</v>
      </c>
      <c r="G77" t="n">
        <v>2939</v>
      </c>
    </row>
    <row r="78">
      <c r="A78" s="2" t="n">
        <v>45926</v>
      </c>
      <c r="B78" t="inlineStr">
        <is>
          <t>BAC(US0605051046) Cash Dividend USD 0.28 per Share (Ordinary Dividend)</t>
        </is>
      </c>
      <c r="C78" t="inlineStr">
        <is>
          <t>USD</t>
        </is>
      </c>
      <c r="D78" t="n">
        <v>45.36</v>
      </c>
      <c r="E78" t="n">
        <v>45.36</v>
      </c>
      <c r="F78" t="n">
        <v>87.7</v>
      </c>
      <c r="G78" t="n">
        <v>3978</v>
      </c>
    </row>
    <row r="79">
      <c r="A79" s="2" t="n">
        <v>45929</v>
      </c>
      <c r="B79" t="inlineStr">
        <is>
          <t>DXJ(US97717W8516) Payment in Lieu of Dividend (Ordinary Dividend)</t>
        </is>
      </c>
      <c r="C79" t="inlineStr">
        <is>
          <t>USD</t>
        </is>
      </c>
      <c r="D79" t="n">
        <v>3.36</v>
      </c>
      <c r="E79" t="n">
        <v>3.36</v>
      </c>
      <c r="F79" t="n">
        <v>87.7</v>
      </c>
      <c r="G79" t="n">
        <v>295</v>
      </c>
    </row>
    <row r="80">
      <c r="A80" s="2" t="n">
        <v>45930</v>
      </c>
      <c r="B80" t="inlineStr">
        <is>
          <t>3110(HK0000151933) Cash Dividend HKD 1.60 per Share (Ordinary Dividend)</t>
        </is>
      </c>
      <c r="C80" t="inlineStr">
        <is>
          <t>HKD</t>
        </is>
      </c>
      <c r="D80" t="n">
        <v>800</v>
      </c>
      <c r="E80" t="n">
        <v>102.792</v>
      </c>
      <c r="F80" t="n">
        <v>87.7</v>
      </c>
      <c r="G80" t="n">
        <v>9015</v>
      </c>
    </row>
    <row r="81">
      <c r="A81" s="2" t="n">
        <v>45930</v>
      </c>
      <c r="B81" t="inlineStr">
        <is>
          <t>AVGO(US11135F1012) Cash Dividend USD 0.59 per Share (Ordinary Dividend)</t>
        </is>
      </c>
      <c r="C81" t="inlineStr">
        <is>
          <t>USD</t>
        </is>
      </c>
      <c r="D81" t="n">
        <v>5.31</v>
      </c>
      <c r="E81" t="n">
        <v>5.31</v>
      </c>
      <c r="F81" t="n">
        <v>87.7</v>
      </c>
      <c r="G81" t="n">
        <v>466</v>
      </c>
    </row>
    <row r="82">
      <c r="A82" s="2" t="n">
        <v>45936</v>
      </c>
      <c r="B82" t="inlineStr">
        <is>
          <t>TIP(US4642871762) Cash Dividend USD 0.198069 per Share (Ordinary Dividend)</t>
        </is>
      </c>
      <c r="C82" t="inlineStr">
        <is>
          <t>USD</t>
        </is>
      </c>
      <c r="D82" t="n">
        <v>7.72</v>
      </c>
      <c r="E82" t="n">
        <v>7.72</v>
      </c>
      <c r="F82" t="n">
        <v>88.34999999999999</v>
      </c>
      <c r="G82" t="n">
        <v>682</v>
      </c>
    </row>
    <row r="83">
      <c r="A83" s="2" t="n">
        <v>45938</v>
      </c>
      <c r="B83" t="inlineStr">
        <is>
          <t>3416(HK0000978954) Cash Dividend HKD 0.14 per Share (Ordinary Dividend)</t>
        </is>
      </c>
      <c r="C83" t="inlineStr">
        <is>
          <t>HKD</t>
        </is>
      </c>
      <c r="D83" t="n">
        <v>140</v>
      </c>
      <c r="E83" t="n">
        <v>17.9886</v>
      </c>
      <c r="F83" t="n">
        <v>88.34999999999999</v>
      </c>
      <c r="G83" t="n">
        <v>1589</v>
      </c>
    </row>
    <row r="84">
      <c r="A84" s="2" t="n">
        <v>45939</v>
      </c>
      <c r="B84" t="inlineStr">
        <is>
          <t>TSM(US8740391003) Cash Dividend USD 0.821965 per Share (Ordinary Div - NRA Withholding Exempt)</t>
        </is>
      </c>
      <c r="C84" t="inlineStr">
        <is>
          <t>USD</t>
        </is>
      </c>
      <c r="D84" t="n">
        <v>36.99</v>
      </c>
      <c r="E84" t="n">
        <v>36.99</v>
      </c>
      <c r="F84" t="n">
        <v>88.34999999999999</v>
      </c>
      <c r="G84" t="n">
        <v>3268</v>
      </c>
    </row>
    <row r="85">
      <c r="A85" s="2" t="n">
        <v>45945</v>
      </c>
      <c r="B85" t="inlineStr">
        <is>
          <t>LRCX(US5128073062) Cash Dividend USD 0.26 per Share (Ordinary Dividend)</t>
        </is>
      </c>
      <c r="C85" t="inlineStr">
        <is>
          <t>USD</t>
        </is>
      </c>
      <c r="D85" t="n">
        <v>7.8</v>
      </c>
      <c r="E85" t="n">
        <v>7.8</v>
      </c>
      <c r="F85" t="n">
        <v>88.34999999999999</v>
      </c>
      <c r="G85" t="n">
        <v>689</v>
      </c>
    </row>
    <row r="86">
      <c r="A86" s="2" t="n">
        <v>45952</v>
      </c>
      <c r="B86" t="inlineStr">
        <is>
          <t>CSCO(US17275R1023) Cash Dividend USD 0.41 per Share (Ordinary Dividend)</t>
        </is>
      </c>
      <c r="C86" t="inlineStr">
        <is>
          <t>USD</t>
        </is>
      </c>
      <c r="D86" t="n">
        <v>8.199999999999999</v>
      </c>
      <c r="E86" t="n">
        <v>8.199999999999999</v>
      </c>
      <c r="F86" t="n">
        <v>88.34999999999999</v>
      </c>
      <c r="G86" t="n">
        <v>724</v>
      </c>
    </row>
    <row r="87">
      <c r="A87" s="2" t="n">
        <v>45953</v>
      </c>
      <c r="B87" t="inlineStr">
        <is>
          <t>ORCL(US68389X1054) Cash Dividend USD 0.50 per Share (Ordinary Dividend)</t>
        </is>
      </c>
      <c r="C87" t="inlineStr">
        <is>
          <t>USD</t>
        </is>
      </c>
      <c r="D87" t="n">
        <v>2.5</v>
      </c>
      <c r="E87" t="n">
        <v>2.5</v>
      </c>
      <c r="F87" t="n">
        <v>88.34999999999999</v>
      </c>
      <c r="G87" t="n">
        <v>221</v>
      </c>
    </row>
    <row r="88">
      <c r="A88" s="2" t="n">
        <v>45957</v>
      </c>
      <c r="B88" t="inlineStr">
        <is>
          <t>GE(US3696043013) Cash Dividend USD 0.36 per Share (Ordinary Dividend)</t>
        </is>
      </c>
      <c r="C88" t="inlineStr">
        <is>
          <t>USD</t>
        </is>
      </c>
      <c r="D88" t="n">
        <v>2.52</v>
      </c>
      <c r="E88" t="n">
        <v>2.52</v>
      </c>
      <c r="F88" t="n">
        <v>88.34999999999999</v>
      </c>
      <c r="G88" t="n">
        <v>223</v>
      </c>
    </row>
    <row r="89">
      <c r="A89" s="2" t="n">
        <v>45967</v>
      </c>
      <c r="B89" t="inlineStr">
        <is>
          <t>3416(HK0000978954) Cash Dividend HKD 0.14 per Share (Ordinary Dividend)</t>
        </is>
      </c>
      <c r="C89" t="inlineStr">
        <is>
          <t>HKD</t>
        </is>
      </c>
      <c r="D89" t="n">
        <v>140</v>
      </c>
      <c r="E89" t="n">
        <v>17.9886</v>
      </c>
      <c r="F89" t="n">
        <v>88.2</v>
      </c>
      <c r="G89" t="n">
        <v>1587</v>
      </c>
    </row>
    <row r="90">
      <c r="A90" s="2" t="n">
        <v>45967</v>
      </c>
      <c r="B90" t="inlineStr">
        <is>
          <t>ASML(USN070592100) Cash Dividend USD 1.864032 per Share (Ordinary Dividend)</t>
        </is>
      </c>
      <c r="C90" t="inlineStr">
        <is>
          <t>USD</t>
        </is>
      </c>
      <c r="D90" t="n">
        <v>11.19</v>
      </c>
      <c r="E90" t="n">
        <v>11.19</v>
      </c>
      <c r="F90" t="n">
        <v>88.2</v>
      </c>
      <c r="G90" t="n">
        <v>987</v>
      </c>
    </row>
    <row r="91">
      <c r="A91" s="2" t="n">
        <v>45967</v>
      </c>
      <c r="B91" t="inlineStr">
        <is>
          <t>TIP(US4642871762) Cash Dividend USD 0.360933 per Share (Ordinary Dividend)</t>
        </is>
      </c>
      <c r="C91" t="inlineStr">
        <is>
          <t>USD</t>
        </is>
      </c>
      <c r="D91" t="n">
        <v>1.08</v>
      </c>
      <c r="E91" t="n">
        <v>1.08</v>
      </c>
      <c r="F91" t="n">
        <v>88.2</v>
      </c>
      <c r="G91" t="n">
        <v>95</v>
      </c>
    </row>
    <row r="92">
      <c r="A92" s="2" t="n">
        <v>45967</v>
      </c>
      <c r="B92" t="inlineStr">
        <is>
          <t>TIP(US4642871762) Payment in Lieu of Dividend (Ordinary Dividend)</t>
        </is>
      </c>
      <c r="C92" t="inlineStr">
        <is>
          <t>USD</t>
        </is>
      </c>
      <c r="D92" t="n">
        <v>12.99</v>
      </c>
      <c r="E92" t="n">
        <v>12.99</v>
      </c>
      <c r="F92" t="n">
        <v>88.2</v>
      </c>
      <c r="G92" t="n">
        <v>1146</v>
      </c>
    </row>
    <row r="93">
      <c r="A93" s="2" t="n">
        <v>45971</v>
      </c>
      <c r="B93" t="inlineStr">
        <is>
          <t>AXP(US0258161092) Cash Dividend USD 0.82 per Share (Ordinary Dividend)</t>
        </is>
      </c>
      <c r="C93" t="inlineStr">
        <is>
          <t>USD</t>
        </is>
      </c>
      <c r="D93" t="n">
        <v>2.46</v>
      </c>
      <c r="E93" t="n">
        <v>2.46</v>
      </c>
      <c r="F93" t="n">
        <v>88.2</v>
      </c>
      <c r="G93" t="n">
        <v>217</v>
      </c>
    </row>
    <row r="94">
      <c r="A94" s="2" t="n">
        <v>45971</v>
      </c>
      <c r="B94" t="inlineStr">
        <is>
          <t>BX(US09260D1072) Cash Dividend USD 1.29 per Share (Ordinary Dividend)</t>
        </is>
      </c>
      <c r="C94" t="inlineStr">
        <is>
          <t>USD</t>
        </is>
      </c>
      <c r="D94" t="n">
        <v>54.18</v>
      </c>
      <c r="E94" t="n">
        <v>54.18</v>
      </c>
      <c r="F94" t="n">
        <v>88.2</v>
      </c>
      <c r="G94" t="n">
        <v>4779</v>
      </c>
    </row>
    <row r="95">
      <c r="A95" s="2" t="n">
        <v>45981</v>
      </c>
      <c r="B95" t="inlineStr">
        <is>
          <t>CAT(US1491231015) Cash Dividend USD 1.51 per Share (Ordinary Dividend)</t>
        </is>
      </c>
      <c r="C95" t="inlineStr">
        <is>
          <t>USD</t>
        </is>
      </c>
      <c r="D95" t="n">
        <v>4.53</v>
      </c>
      <c r="E95" t="n">
        <v>4.53</v>
      </c>
      <c r="F95" t="n">
        <v>88.2</v>
      </c>
      <c r="G95" t="n">
        <v>400</v>
      </c>
    </row>
    <row r="96">
      <c r="A96" s="2" t="n">
        <v>45987</v>
      </c>
      <c r="B96" t="inlineStr">
        <is>
          <t>7203.T(JP3633400001) Cash Dividend JPY 45 per Share (Ordinary Dividend)</t>
        </is>
      </c>
      <c r="C96" t="inlineStr">
        <is>
          <t>JPY</t>
        </is>
      </c>
      <c r="D96" t="n">
        <v>4500</v>
      </c>
      <c r="E96" t="n">
        <v>28.7221</v>
      </c>
      <c r="F96" t="n">
        <v>88.2</v>
      </c>
      <c r="G96" t="n">
        <v>2533</v>
      </c>
    </row>
    <row r="97">
      <c r="A97" s="2" t="n">
        <v>45992</v>
      </c>
      <c r="B97" t="inlineStr">
        <is>
          <t>TGT(US87612E1064) Cash Dividend USD 1.14 per Share (Ordinary Dividend)</t>
        </is>
      </c>
      <c r="C97" t="inlineStr">
        <is>
          <t>USD</t>
        </is>
      </c>
      <c r="D97" t="n">
        <v>34.2</v>
      </c>
      <c r="E97" t="n">
        <v>34.2</v>
      </c>
      <c r="F97" t="n">
        <v>88.95</v>
      </c>
      <c r="G97" t="n">
        <v>3042</v>
      </c>
    </row>
    <row r="98">
      <c r="A98" s="2" t="n">
        <v>45995</v>
      </c>
      <c r="B98" t="inlineStr">
        <is>
          <t>3416(HK0000978954) Cash Dividend HKD 0.14 per Share (Ordinary Dividend)</t>
        </is>
      </c>
      <c r="C98" t="inlineStr">
        <is>
          <t>HKD</t>
        </is>
      </c>
      <c r="D98" t="n">
        <v>140</v>
      </c>
      <c r="E98" t="n">
        <v>17.9886</v>
      </c>
      <c r="F98" t="n">
        <v>88.95</v>
      </c>
      <c r="G98" t="n">
        <v>1600</v>
      </c>
    </row>
    <row r="99">
      <c r="A99" s="2" t="n">
        <v>45995</v>
      </c>
      <c r="B99" t="inlineStr">
        <is>
          <t>TIP(US4642871762) Cash Dividend USD 0.322417 per Share (Ordinary Dividend)</t>
        </is>
      </c>
      <c r="C99" t="inlineStr">
        <is>
          <t>USD</t>
        </is>
      </c>
      <c r="D99" t="n">
        <v>12.57</v>
      </c>
      <c r="E99" t="n">
        <v>12.57</v>
      </c>
      <c r="F99" t="n">
        <v>88.95</v>
      </c>
      <c r="G99" t="n">
        <v>1118</v>
      </c>
    </row>
    <row r="100">
      <c r="A100" s="2" t="n">
        <v>46001</v>
      </c>
      <c r="B100" t="inlineStr">
        <is>
          <t>4568.T(JP3475350009) Cash Dividend JPY 39 per Share (Ordinary Dividend)</t>
        </is>
      </c>
      <c r="C100" t="inlineStr">
        <is>
          <t>JPY</t>
        </is>
      </c>
      <c r="D100" t="n">
        <v>7800</v>
      </c>
      <c r="E100" t="n">
        <v>49.7851</v>
      </c>
      <c r="F100" t="n">
        <v>88.95</v>
      </c>
      <c r="G100" t="n">
        <v>4428</v>
      </c>
    </row>
    <row r="101">
      <c r="A101" s="2" t="n">
        <v>46001</v>
      </c>
      <c r="B101" t="inlineStr">
        <is>
          <t>IBM(US4592001014) Cash Dividend USD 1.68 per Share (Ordinary Dividend)</t>
        </is>
      </c>
      <c r="C101" t="inlineStr">
        <is>
          <t>USD</t>
        </is>
      </c>
      <c r="D101" t="n">
        <v>8.4</v>
      </c>
      <c r="E101" t="n">
        <v>8.4</v>
      </c>
      <c r="F101" t="n">
        <v>88.95</v>
      </c>
      <c r="G101" t="n">
        <v>747</v>
      </c>
    </row>
    <row r="102">
      <c r="A102" s="2" t="n">
        <v>46001</v>
      </c>
      <c r="B102" t="inlineStr">
        <is>
          <t>LLY(US5324571083) Cash Dividend USD 1.50 per Share (Ordinary Dividend)</t>
        </is>
      </c>
      <c r="C102" t="inlineStr">
        <is>
          <t>USD</t>
        </is>
      </c>
      <c r="D102" t="n">
        <v>4.5</v>
      </c>
      <c r="E102" t="n">
        <v>4.5</v>
      </c>
      <c r="F102" t="n">
        <v>88.95</v>
      </c>
      <c r="G102" t="n">
        <v>400</v>
      </c>
    </row>
    <row r="103">
      <c r="A103" s="2" t="n">
        <v>46002</v>
      </c>
      <c r="B103" t="inlineStr">
        <is>
          <t>MSFT(US5949181045) Cash Dividend USD 0.91 per Share (Ordinary Dividend)</t>
        </is>
      </c>
      <c r="C103" t="inlineStr">
        <is>
          <t>USD</t>
        </is>
      </c>
      <c r="D103" t="n">
        <v>2.73</v>
      </c>
      <c r="E103" t="n">
        <v>2.73</v>
      </c>
      <c r="F103" t="n">
        <v>88.95</v>
      </c>
      <c r="G103" t="n">
        <v>243</v>
      </c>
    </row>
    <row r="104">
      <c r="A104" s="2" t="n">
        <v>46009</v>
      </c>
      <c r="B104" t="inlineStr">
        <is>
          <t>SHELL1.DI(NL0015002SG4) Expire Dividend Right (Ordinary Dividend)</t>
        </is>
      </c>
      <c r="C104" t="inlineStr">
        <is>
          <t>EUR</t>
        </is>
      </c>
      <c r="D104" t="n">
        <v>59.56</v>
      </c>
      <c r="E104" t="n">
        <v>69.9592</v>
      </c>
      <c r="F104" t="n">
        <v>88.95</v>
      </c>
      <c r="G104" t="n">
        <v>6223</v>
      </c>
    </row>
    <row r="105">
      <c r="A105" s="2" t="n">
        <v>46010</v>
      </c>
      <c r="B105" t="inlineStr">
        <is>
          <t>EMXC(US46434G7640) Cash Dividend USD 1.335744 per Share (Ordinary Dividend)</t>
        </is>
      </c>
      <c r="C105" t="inlineStr">
        <is>
          <t>USD</t>
        </is>
      </c>
      <c r="D105" t="n">
        <v>100.18</v>
      </c>
      <c r="E105" t="n">
        <v>100.18</v>
      </c>
      <c r="F105" t="n">
        <v>88.95</v>
      </c>
      <c r="G105" t="n">
        <v>8911</v>
      </c>
    </row>
    <row r="106">
      <c r="A106" s="2" t="n">
        <v>46015</v>
      </c>
      <c r="B106" t="inlineStr">
        <is>
          <t>TIP(US4642871762) Cash Dividend USD 0.341961 per Share (Ordinary Dividend)</t>
        </is>
      </c>
      <c r="C106" t="inlineStr">
        <is>
          <t>USD</t>
        </is>
      </c>
      <c r="D106" t="n">
        <v>13.34</v>
      </c>
      <c r="E106" t="n">
        <v>13.34</v>
      </c>
      <c r="F106" t="n">
        <v>88.95</v>
      </c>
      <c r="G106" t="n">
        <v>1187</v>
      </c>
    </row>
    <row r="107">
      <c r="A107" s="2" t="n">
        <v>46017</v>
      </c>
      <c r="B107" t="inlineStr">
        <is>
          <t>BAC(US0605051046) Cash Dividend USD 0.28 per Share (Ordinary Dividend)</t>
        </is>
      </c>
      <c r="C107" t="inlineStr">
        <is>
          <t>USD</t>
        </is>
      </c>
      <c r="D107" t="n">
        <v>45.36</v>
      </c>
      <c r="E107" t="n">
        <v>45.36</v>
      </c>
      <c r="F107" t="n">
        <v>88.95</v>
      </c>
      <c r="G107" t="n">
        <v>4035</v>
      </c>
    </row>
    <row r="108">
      <c r="A108" s="2" t="n">
        <v>46021</v>
      </c>
      <c r="B108" t="inlineStr">
        <is>
          <t>DXJ(US97717W8516) Cash Dividend USD 0.38499 per Share (Ordinary Dividend)</t>
        </is>
      </c>
      <c r="C108" t="inlineStr">
        <is>
          <t>USD</t>
        </is>
      </c>
      <c r="D108" t="n">
        <v>3.85</v>
      </c>
      <c r="E108" t="n">
        <v>3.85</v>
      </c>
      <c r="F108" t="n">
        <v>88.95</v>
      </c>
      <c r="G108" t="n">
        <v>342</v>
      </c>
    </row>
    <row r="109">
      <c r="A109" s="2" t="n">
        <v>46021</v>
      </c>
      <c r="B109" t="inlineStr">
        <is>
          <t>DXJ(US97717W8516) Payment in Lieu of Dividend (Ordinary Dividend)</t>
        </is>
      </c>
      <c r="C109" t="inlineStr">
        <is>
          <t>USD</t>
        </is>
      </c>
      <c r="D109" t="n">
        <v>5.39</v>
      </c>
      <c r="E109" t="n">
        <v>5.39</v>
      </c>
      <c r="F109" t="n">
        <v>88.95</v>
      </c>
      <c r="G109" t="n">
        <v>479</v>
      </c>
    </row>
    <row r="110">
      <c r="A110" s="2" t="n">
        <v>46022</v>
      </c>
      <c r="B110" t="inlineStr">
        <is>
          <t>3069(HK0000711199) Cash Dividend HKD 0.05 per Share (Ordinary Dividend)</t>
        </is>
      </c>
      <c r="C110" t="inlineStr">
        <is>
          <t>HKD</t>
        </is>
      </c>
      <c r="D110" t="n">
        <v>9.949999999999999</v>
      </c>
      <c r="E110" t="n">
        <v>1.2785</v>
      </c>
      <c r="F110" t="n">
        <v>88.95</v>
      </c>
      <c r="G110" t="n">
        <v>114</v>
      </c>
    </row>
    <row r="111">
      <c r="A111" s="2" t="n">
        <v>46022</v>
      </c>
      <c r="B111" t="inlineStr">
        <is>
          <t>3069(HK0000711199) Payment in Lieu of Dividend (Ordinary Dividend)</t>
        </is>
      </c>
      <c r="C111" t="inlineStr">
        <is>
          <t>HKD</t>
        </is>
      </c>
      <c r="D111" t="n">
        <v>25.05</v>
      </c>
      <c r="E111" t="n">
        <v>3.2187</v>
      </c>
      <c r="F111" t="n">
        <v>88.95</v>
      </c>
      <c r="G111" t="n">
        <v>286</v>
      </c>
    </row>
    <row r="112">
      <c r="A112" s="2" t="n">
        <v>46022</v>
      </c>
      <c r="B112" t="inlineStr">
        <is>
          <t>AVGO(US11135F1012) Cash Dividend USD 0.65 per Share (Ordinary Dividend)</t>
        </is>
      </c>
      <c r="C112" t="inlineStr">
        <is>
          <t>USD</t>
        </is>
      </c>
      <c r="D112" t="n">
        <v>5.85</v>
      </c>
      <c r="E112" t="n">
        <v>5.85</v>
      </c>
      <c r="F112" t="n">
        <v>88.95</v>
      </c>
      <c r="G112" t="n">
        <v>520</v>
      </c>
    </row>
    <row r="113">
      <c r="A113" s="2" t="n">
        <v>46029</v>
      </c>
      <c r="B113" t="inlineStr">
        <is>
          <t>3416(HK0000978954) Cash Dividend HKD 0.14 per Share (Ordinary Dividend)</t>
        </is>
      </c>
      <c r="C113" t="inlineStr">
        <is>
          <t>HKD</t>
        </is>
      </c>
      <c r="D113" t="n">
        <v>140</v>
      </c>
      <c r="E113" t="n">
        <v>17.9886</v>
      </c>
      <c r="F113" t="n">
        <v>89.47</v>
      </c>
      <c r="G113" t="n">
        <v>1609</v>
      </c>
    </row>
    <row r="114">
      <c r="A114" s="2" t="n">
        <v>46029</v>
      </c>
      <c r="B114" t="inlineStr">
        <is>
          <t>LRCX(US5128073062) Cash Dividend USD 0.26 per Share (Ordinary Dividend)</t>
        </is>
      </c>
      <c r="C114" t="inlineStr">
        <is>
          <t>USD</t>
        </is>
      </c>
      <c r="D114" t="n">
        <v>7.8</v>
      </c>
      <c r="E114" t="n">
        <v>7.8</v>
      </c>
      <c r="F114" t="n">
        <v>89.47</v>
      </c>
      <c r="G114" t="n">
        <v>698</v>
      </c>
    </row>
    <row r="115">
      <c r="A115" s="2" t="n">
        <v>46029</v>
      </c>
      <c r="B115" t="inlineStr">
        <is>
          <t>URA(US37954Y8710) Cash Dividend USD 2.084331 per Share (Ordinary Dividend)</t>
        </is>
      </c>
      <c r="C115" t="inlineStr">
        <is>
          <t>USD</t>
        </is>
      </c>
      <c r="D115" t="n">
        <v>50.02</v>
      </c>
      <c r="E115" t="n">
        <v>50.02</v>
      </c>
      <c r="F115" t="n">
        <v>89.47</v>
      </c>
      <c r="G115" t="n">
        <v>4475</v>
      </c>
    </row>
    <row r="116">
      <c r="A116" s="2" t="n">
        <v>46030</v>
      </c>
      <c r="B116" t="inlineStr">
        <is>
          <t>TSM(US8740391003) Cash Dividend USD 0.79542 per Share (Ordinary Div - NRA Withholding Exempt)</t>
        </is>
      </c>
      <c r="C116" t="inlineStr">
        <is>
          <t>USD</t>
        </is>
      </c>
      <c r="D116" t="n">
        <v>35.8</v>
      </c>
      <c r="E116" t="n">
        <v>35.8</v>
      </c>
      <c r="F116" t="n">
        <v>89.47</v>
      </c>
      <c r="G116" t="n">
        <v>3203</v>
      </c>
    </row>
    <row r="117">
      <c r="A117" s="2" t="n">
        <v>46043</v>
      </c>
      <c r="B117" t="inlineStr">
        <is>
          <t>CSCO(US17275R1023) Cash Dividend USD 0.41 per Share (Ordinary Dividend)</t>
        </is>
      </c>
      <c r="C117" t="inlineStr">
        <is>
          <t>USD</t>
        </is>
      </c>
      <c r="D117" t="n">
        <v>8.199999999999999</v>
      </c>
      <c r="E117" t="n">
        <v>8.199999999999999</v>
      </c>
      <c r="F117" t="n">
        <v>89.47</v>
      </c>
      <c r="G117" t="n">
        <v>734</v>
      </c>
    </row>
    <row r="118">
      <c r="A118" s="2" t="n">
        <v>46048</v>
      </c>
      <c r="B118" t="inlineStr">
        <is>
          <t>GE(US3696043013) Cash Dividend USD 0.36 per Share (Ordinary Dividend)</t>
        </is>
      </c>
      <c r="C118" t="inlineStr">
        <is>
          <t>USD</t>
        </is>
      </c>
      <c r="D118" t="n">
        <v>2.52</v>
      </c>
      <c r="E118" t="n">
        <v>2.52</v>
      </c>
      <c r="F118" t="n">
        <v>89.47</v>
      </c>
      <c r="G118" t="n">
        <v>225</v>
      </c>
    </row>
    <row r="119">
      <c r="A119" s="2" t="n">
        <v>46058</v>
      </c>
      <c r="B119" t="inlineStr">
        <is>
          <t>3416(HK0000978954) Cash Dividend HKD 0.14 per Share (Ordinary Dividend)</t>
        </is>
      </c>
      <c r="C119" t="inlineStr">
        <is>
          <t>HKD</t>
        </is>
      </c>
      <c r="D119" t="n">
        <v>140</v>
      </c>
      <c r="E119" t="n">
        <v>17.9886</v>
      </c>
      <c r="F119" t="n">
        <v>91.34999999999999</v>
      </c>
      <c r="G119" t="n">
        <v>1643</v>
      </c>
    </row>
    <row r="120">
      <c r="A120" s="2" t="n">
        <v>46063</v>
      </c>
      <c r="B120" t="inlineStr">
        <is>
          <t>AXP(US0258161092) Cash Dividend USD 0.82 per Share (Ordinary Dividend)</t>
        </is>
      </c>
      <c r="C120" t="inlineStr">
        <is>
          <t>USD</t>
        </is>
      </c>
      <c r="D120" t="n">
        <v>2.46</v>
      </c>
      <c r="E120" t="n">
        <v>2.46</v>
      </c>
      <c r="F120" t="n">
        <v>91.34999999999999</v>
      </c>
      <c r="G120" t="n">
        <v>225</v>
      </c>
    </row>
    <row r="121">
      <c r="A121" s="2" t="n">
        <v>46070</v>
      </c>
      <c r="B121" t="inlineStr">
        <is>
          <t>BX(US09260D1072) Cash Dividend USD 1.49 per Share (Ordinary Dividend)</t>
        </is>
      </c>
      <c r="C121" t="inlineStr">
        <is>
          <t>USD</t>
        </is>
      </c>
      <c r="D121" t="n">
        <v>62.58</v>
      </c>
      <c r="E121" t="n">
        <v>62.58</v>
      </c>
      <c r="F121" t="n">
        <v>91.34999999999999</v>
      </c>
      <c r="G121" t="n">
        <v>5717</v>
      </c>
    </row>
    <row r="122">
      <c r="A122" s="2" t="n">
        <v>46070</v>
      </c>
      <c r="B122" t="inlineStr">
        <is>
          <t>SIE(DE0007236101) Cash Dividend EUR 5.35 per Share (Ordinary Dividend)</t>
        </is>
      </c>
      <c r="C122" t="inlineStr">
        <is>
          <t>EUR</t>
        </is>
      </c>
      <c r="D122" t="n">
        <v>37.45</v>
      </c>
      <c r="E122" t="n">
        <v>43.9888</v>
      </c>
      <c r="F122" t="n">
        <v>91.34999999999999</v>
      </c>
      <c r="G122" t="n">
        <v>4018</v>
      </c>
    </row>
    <row r="123">
      <c r="A123" s="2" t="n">
        <v>46071</v>
      </c>
      <c r="B123" t="inlineStr">
        <is>
          <t>ASML(USN070592100) Cash Dividend USD 1.9064 per Share (Ordinary Dividend)</t>
        </is>
      </c>
      <c r="C123" t="inlineStr">
        <is>
          <t>USD</t>
        </is>
      </c>
      <c r="D123" t="n">
        <v>11.44</v>
      </c>
      <c r="E123" t="n">
        <v>11.44</v>
      </c>
      <c r="F123" t="n">
        <v>91.34999999999999</v>
      </c>
      <c r="G123" t="n">
        <v>1045</v>
      </c>
    </row>
    <row r="124">
      <c r="A124" s="2" t="n">
        <v>46072</v>
      </c>
      <c r="B124" t="inlineStr">
        <is>
          <t>CAT(US1491231015) Cash Dividend USD 1.51 per Share (Ordinary Dividend)</t>
        </is>
      </c>
      <c r="C124" t="inlineStr">
        <is>
          <t>USD</t>
        </is>
      </c>
      <c r="D124" t="n">
        <v>4.53</v>
      </c>
      <c r="E124" t="n">
        <v>4.53</v>
      </c>
      <c r="F124" t="n">
        <v>91.34999999999999</v>
      </c>
      <c r="G124" t="n">
        <v>414</v>
      </c>
    </row>
    <row r="125">
      <c r="A125" s="2" t="n">
        <v>46082</v>
      </c>
      <c r="B125" t="inlineStr">
        <is>
          <t>TGT(US87612E1064) Cash Dividend USD 1.14 per Share (Ordinary Dividend)</t>
        </is>
      </c>
      <c r="C125" t="inlineStr">
        <is>
          <t>USD</t>
        </is>
      </c>
      <c r="D125" t="n">
        <v>34.2</v>
      </c>
      <c r="E125" t="n">
        <v>34.2</v>
      </c>
      <c r="F125" t="n">
        <v>90.56</v>
      </c>
      <c r="G125" t="n">
        <v>3097</v>
      </c>
    </row>
    <row r="126">
      <c r="A126" s="2" t="n">
        <v>46086</v>
      </c>
      <c r="B126" t="inlineStr">
        <is>
          <t>3416(HK0000978954) Cash Dividend HKD 0.14 per Share (Ordinary Dividend)</t>
        </is>
      </c>
      <c r="C126" t="inlineStr">
        <is>
          <t>HKD</t>
        </is>
      </c>
      <c r="D126" t="n">
        <v>140</v>
      </c>
      <c r="E126" t="n">
        <v>17.9886</v>
      </c>
      <c r="F126" t="n">
        <v>90.56</v>
      </c>
      <c r="G126" t="n">
        <v>1629</v>
      </c>
    </row>
    <row r="127">
      <c r="A127" s="2" t="n">
        <v>46091</v>
      </c>
      <c r="B127" t="inlineStr">
        <is>
          <t>AEP(US0255371017) Cash Dividend USD 0.95 per Share (Ordinary Dividend)</t>
        </is>
      </c>
      <c r="C127" t="inlineStr">
        <is>
          <t>USD</t>
        </is>
      </c>
      <c r="D127" t="n">
        <v>9.5</v>
      </c>
      <c r="E127" t="n">
        <v>9.5</v>
      </c>
      <c r="F127" t="n">
        <v>90.56</v>
      </c>
      <c r="G127" t="n">
        <v>860</v>
      </c>
    </row>
    <row r="128">
      <c r="A128" s="2" t="n">
        <v>46091</v>
      </c>
      <c r="B128" t="inlineStr">
        <is>
          <t>IBM(US4592001014) Cash Dividend USD 1.68 per Share (Ordinary Dividend)</t>
        </is>
      </c>
      <c r="C128" t="inlineStr">
        <is>
          <t>USD</t>
        </is>
      </c>
      <c r="D128" t="n">
        <v>8.4</v>
      </c>
      <c r="E128" t="n">
        <v>8.4</v>
      </c>
      <c r="F128" t="n">
        <v>90.56</v>
      </c>
      <c r="G128" t="n">
        <v>761</v>
      </c>
    </row>
    <row r="129">
      <c r="A129" s="2" t="n">
        <v>46091</v>
      </c>
      <c r="B129" t="inlineStr">
        <is>
          <t>LLY(US5324571083) Cash Dividend USD 1.73 per Share (Ordinary Dividend)</t>
        </is>
      </c>
      <c r="C129" t="inlineStr">
        <is>
          <t>USD</t>
        </is>
      </c>
      <c r="D129" t="n">
        <v>5.19</v>
      </c>
      <c r="E129" t="n">
        <v>5.19</v>
      </c>
      <c r="F129" t="n">
        <v>90.56</v>
      </c>
      <c r="G129" t="n">
        <v>470</v>
      </c>
    </row>
    <row r="130">
      <c r="A130" s="2" t="n">
        <v>46093</v>
      </c>
      <c r="B130" t="inlineStr">
        <is>
          <t>MSFT(US5949181045) Cash Dividend USD 0.91 per Share (Ordinary Dividend)</t>
        </is>
      </c>
      <c r="C130" t="inlineStr">
        <is>
          <t>USD</t>
        </is>
      </c>
      <c r="D130" t="n">
        <v>2.73</v>
      </c>
      <c r="E130" t="n">
        <v>2.73</v>
      </c>
      <c r="F130" t="n">
        <v>90.56</v>
      </c>
      <c r="G130" t="n">
        <v>247</v>
      </c>
    </row>
    <row r="131">
      <c r="A131" s="2" t="n">
        <v>46107</v>
      </c>
      <c r="B131" t="inlineStr">
        <is>
          <t>2914.T(JP3726800000) Cash Dividend JPY 130 per Share (Ordinary Dividend)</t>
        </is>
      </c>
      <c r="C131" t="inlineStr">
        <is>
          <t>JPY</t>
        </is>
      </c>
      <c r="D131" t="n">
        <v>13000</v>
      </c>
      <c r="E131" t="n">
        <v>82.9751</v>
      </c>
      <c r="F131" t="n">
        <v>90.56</v>
      </c>
      <c r="G131" t="n">
        <v>7514</v>
      </c>
    </row>
    <row r="132">
      <c r="A132" s="2" t="n">
        <v>46108</v>
      </c>
      <c r="B132" t="inlineStr">
        <is>
          <t>BAC(US0605051046) Cash Dividend USD 0.28 per Share (Ordinary Dividend)</t>
        </is>
      </c>
      <c r="C132" t="inlineStr">
        <is>
          <t>USD</t>
        </is>
      </c>
      <c r="D132" t="n">
        <v>45.36</v>
      </c>
      <c r="E132" t="n">
        <v>45.36</v>
      </c>
      <c r="F132" t="n">
        <v>90.56</v>
      </c>
      <c r="G132" t="n">
        <v>4108</v>
      </c>
    </row>
    <row r="133">
      <c r="A133" s="2" t="n">
        <v>46111</v>
      </c>
      <c r="B133" t="inlineStr">
        <is>
          <t>SHELL.DDR(NL0015073VB0) Expire Dividend Right (Ordinary Dividend)</t>
        </is>
      </c>
      <c r="C133" t="inlineStr">
        <is>
          <t>EUR</t>
        </is>
      </c>
      <c r="D133" t="n">
        <v>62.6</v>
      </c>
      <c r="E133" t="n">
        <v>73.53</v>
      </c>
      <c r="F133" t="n">
        <v>90.56</v>
      </c>
      <c r="G133" t="n">
        <v>6659</v>
      </c>
    </row>
    <row r="134">
      <c r="A134" s="2" t="n">
        <v>46112</v>
      </c>
      <c r="B134" t="inlineStr">
        <is>
          <t>3110(HK0000151933) Cash Dividend HKD 0.28 per Share (Ordinary Dividend)</t>
        </is>
      </c>
      <c r="C134" t="inlineStr">
        <is>
          <t>HKD</t>
        </is>
      </c>
      <c r="D134" t="n">
        <v>140</v>
      </c>
      <c r="E134" t="n">
        <v>17.9886</v>
      </c>
      <c r="F134" t="n">
        <v>90.56</v>
      </c>
      <c r="G134" t="n">
        <v>1629</v>
      </c>
    </row>
    <row r="135">
      <c r="A135" s="2" t="n">
        <v>46112</v>
      </c>
      <c r="B135" t="inlineStr">
        <is>
          <t>AVGO(US11135F1012) Cash Dividend USD 0.65 per Share (Ordinary Dividend)</t>
        </is>
      </c>
      <c r="C135" t="inlineStr">
        <is>
          <t>USD</t>
        </is>
      </c>
      <c r="D135" t="n">
        <v>5.85</v>
      </c>
      <c r="E135" t="n">
        <v>5.85</v>
      </c>
      <c r="F135" t="n">
        <v>90.56</v>
      </c>
      <c r="G135" t="n">
        <v>530</v>
      </c>
    </row>
    <row r="136">
      <c r="B136" t="inlineStr">
        <is>
          <t>TOTAL DIVIDENDS</t>
        </is>
      </c>
      <c r="E136" t="n">
        <v>2054.57</v>
      </c>
      <c r="G136" t="n">
        <v>181030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45665</v>
      </c>
      <c r="C3" t="inlineStr">
        <is>
          <t>LRCX(US5128073062) Cash Dividend USD 0.23 per Share - US Tax</t>
        </is>
      </c>
      <c r="D3" t="inlineStr">
        <is>
          <t>USD</t>
        </is>
      </c>
      <c r="E3" t="n">
        <v>-1.73</v>
      </c>
      <c r="F3" t="n">
        <v>-1.73</v>
      </c>
      <c r="G3" t="n">
        <v>85.2</v>
      </c>
      <c r="H3" t="n">
        <v>-147</v>
      </c>
    </row>
    <row r="4">
      <c r="A4" t="inlineStr">
        <is>
          <t>CY2025</t>
        </is>
      </c>
      <c r="B4" s="2" t="n">
        <v>45666</v>
      </c>
      <c r="C4" t="inlineStr">
        <is>
          <t>TSM(US8740391003) Cash Dividend USD 0.608106 per Share - TW Tax</t>
        </is>
      </c>
      <c r="D4" t="inlineStr">
        <is>
          <t>USD</t>
        </is>
      </c>
      <c r="E4" t="n">
        <v>-1.79</v>
      </c>
      <c r="F4" t="n">
        <v>-1.79</v>
      </c>
      <c r="G4" t="n">
        <v>85.2</v>
      </c>
      <c r="H4" t="n">
        <v>-153</v>
      </c>
    </row>
    <row r="5">
      <c r="A5" t="inlineStr">
        <is>
          <t>CY2025</t>
        </is>
      </c>
      <c r="B5" s="2" t="n">
        <v>45684</v>
      </c>
      <c r="C5" t="inlineStr">
        <is>
          <t>GE(US3696043013) Cash Dividend USD 0.28 per Share - US Tax</t>
        </is>
      </c>
      <c r="D5" t="inlineStr">
        <is>
          <t>USD</t>
        </is>
      </c>
      <c r="E5" t="n">
        <v>-0.49</v>
      </c>
      <c r="F5" t="n">
        <v>-0.49</v>
      </c>
      <c r="G5" t="n">
        <v>85.2</v>
      </c>
      <c r="H5" t="n">
        <v>-42</v>
      </c>
    </row>
    <row r="6">
      <c r="A6" t="inlineStr">
        <is>
          <t>CY2025</t>
        </is>
      </c>
      <c r="B6" s="2" t="n">
        <v>45698</v>
      </c>
      <c r="C6" t="inlineStr">
        <is>
          <t>AXP(US0258161092) Cash Dividend USD 0.70 per Share - US Tax</t>
        </is>
      </c>
      <c r="D6" t="inlineStr">
        <is>
          <t>USD</t>
        </is>
      </c>
      <c r="E6" t="n">
        <v>-0.53</v>
      </c>
      <c r="F6" t="n">
        <v>-0.53</v>
      </c>
      <c r="G6" t="n">
        <v>86.2</v>
      </c>
      <c r="H6" t="n">
        <v>-46</v>
      </c>
    </row>
    <row r="7">
      <c r="A7" t="inlineStr">
        <is>
          <t>CY2025</t>
        </is>
      </c>
      <c r="B7" s="2" t="n">
        <v>45706</v>
      </c>
      <c r="C7" t="inlineStr">
        <is>
          <t>SIE(DE0007236101) Cash Dividend EUR 5.20 per Share - DE Tax</t>
        </is>
      </c>
      <c r="D7" t="inlineStr">
        <is>
          <t>EUR</t>
        </is>
      </c>
      <c r="E7" t="n">
        <v>-9.6</v>
      </c>
      <c r="F7" t="n">
        <v>-11.2762</v>
      </c>
      <c r="G7" t="n">
        <v>86.2</v>
      </c>
      <c r="H7" t="n">
        <v>-972</v>
      </c>
    </row>
    <row r="8">
      <c r="A8" t="inlineStr">
        <is>
          <t>CY2025</t>
        </is>
      </c>
      <c r="B8" s="2" t="n">
        <v>45706</v>
      </c>
      <c r="C8" t="inlineStr">
        <is>
          <t>BX(US09260D1072) Cash Dividend USD 1.44 per Share - US Tax</t>
        </is>
      </c>
      <c r="D8" t="inlineStr">
        <is>
          <t>USD</t>
        </is>
      </c>
      <c r="E8" t="n">
        <v>-3.24</v>
      </c>
      <c r="F8" t="n">
        <v>-3.24</v>
      </c>
      <c r="G8" t="n">
        <v>86.2</v>
      </c>
      <c r="H8" t="n">
        <v>-279</v>
      </c>
    </row>
    <row r="9">
      <c r="A9" t="inlineStr">
        <is>
          <t>CY2025</t>
        </is>
      </c>
      <c r="B9" s="2" t="n">
        <v>45706</v>
      </c>
      <c r="C9" t="inlineStr">
        <is>
          <t>BX(US09260D1072) Cash Dividend USD 1.44 per Share - US Tax</t>
        </is>
      </c>
      <c r="D9" t="inlineStr">
        <is>
          <t>USD</t>
        </is>
      </c>
      <c r="E9" t="n">
        <v>3.24</v>
      </c>
      <c r="F9" t="n">
        <v>3.24</v>
      </c>
      <c r="G9" t="n">
        <v>86.2</v>
      </c>
      <c r="H9" t="n">
        <v>279</v>
      </c>
    </row>
    <row r="10">
      <c r="A10" t="inlineStr">
        <is>
          <t>CY2025</t>
        </is>
      </c>
      <c r="B10" s="2" t="n">
        <v>45706</v>
      </c>
      <c r="C10" t="inlineStr">
        <is>
          <t>BX(US09260D1072) Cash Dividend USD 1.44 per Share - US Tax</t>
        </is>
      </c>
      <c r="D10" t="inlineStr">
        <is>
          <t>USD</t>
        </is>
      </c>
      <c r="E10" t="n">
        <v>-1.63</v>
      </c>
      <c r="F10" t="n">
        <v>-1.63</v>
      </c>
      <c r="G10" t="n">
        <v>86.2</v>
      </c>
      <c r="H10" t="n">
        <v>-141</v>
      </c>
    </row>
    <row r="11">
      <c r="A11" t="inlineStr">
        <is>
          <t>CY2025</t>
        </is>
      </c>
      <c r="B11" s="2" t="n">
        <v>45707</v>
      </c>
      <c r="C11" t="inlineStr">
        <is>
          <t>ASML(USN070592100) Cash Dividend USD 1.570464 per Share - NL Tax</t>
        </is>
      </c>
      <c r="D11" t="inlineStr">
        <is>
          <t>USD</t>
        </is>
      </c>
      <c r="E11" t="n">
        <v>-1.41</v>
      </c>
      <c r="F11" t="n">
        <v>-1.41</v>
      </c>
      <c r="G11" t="n">
        <v>86.2</v>
      </c>
      <c r="H11" t="n">
        <v>-122</v>
      </c>
    </row>
    <row r="12">
      <c r="A12" t="inlineStr">
        <is>
          <t>CY2025</t>
        </is>
      </c>
      <c r="B12" s="2" t="n">
        <v>45708</v>
      </c>
      <c r="C12" t="inlineStr">
        <is>
          <t>CAT(US1491231015) Cash Dividend USD 1.41 per Share - US Tax</t>
        </is>
      </c>
      <c r="D12" t="inlineStr">
        <is>
          <t>USD</t>
        </is>
      </c>
      <c r="E12" t="n">
        <v>-1.06</v>
      </c>
      <c r="F12" t="n">
        <v>-1.06</v>
      </c>
      <c r="G12" t="n">
        <v>86.2</v>
      </c>
      <c r="H12" t="n">
        <v>-91</v>
      </c>
    </row>
    <row r="13">
      <c r="A13" t="inlineStr">
        <is>
          <t>CY2025</t>
        </is>
      </c>
      <c r="B13" s="2" t="n">
        <v>45719</v>
      </c>
      <c r="C13" t="inlineStr">
        <is>
          <t>TGT(US87612E1064) Cash Dividend USD 1.12 per Share - US Tax</t>
        </is>
      </c>
      <c r="D13" t="inlineStr">
        <is>
          <t>USD</t>
        </is>
      </c>
      <c r="E13" t="n">
        <v>-2.52</v>
      </c>
      <c r="F13" t="n">
        <v>-2.52</v>
      </c>
      <c r="G13" t="n">
        <v>86.95</v>
      </c>
      <c r="H13" t="n">
        <v>-219</v>
      </c>
    </row>
    <row r="14">
      <c r="A14" t="inlineStr">
        <is>
          <t>CY2025</t>
        </is>
      </c>
      <c r="B14" s="2" t="n">
        <v>45726</v>
      </c>
      <c r="C14" t="inlineStr">
        <is>
          <t>LLY(US5324571083) Cash Dividend USD 1.50 per Share - US Tax</t>
        </is>
      </c>
      <c r="D14" t="inlineStr">
        <is>
          <t>USD</t>
        </is>
      </c>
      <c r="E14" t="n">
        <v>-1.13</v>
      </c>
      <c r="F14" t="n">
        <v>-1.13</v>
      </c>
      <c r="G14" t="n">
        <v>86.95</v>
      </c>
      <c r="H14" t="n">
        <v>-98</v>
      </c>
    </row>
    <row r="15">
      <c r="A15" t="inlineStr">
        <is>
          <t>CY2025</t>
        </is>
      </c>
      <c r="B15" s="2" t="n">
        <v>45729</v>
      </c>
      <c r="C15" t="inlineStr">
        <is>
          <t>MSFT(US5949181045) Cash Dividend USD 0.83 per Share - US Tax</t>
        </is>
      </c>
      <c r="D15" t="inlineStr">
        <is>
          <t>USD</t>
        </is>
      </c>
      <c r="E15" t="n">
        <v>-0.62</v>
      </c>
      <c r="F15" t="n">
        <v>-0.62</v>
      </c>
      <c r="G15" t="n">
        <v>86.95</v>
      </c>
      <c r="H15" t="n">
        <v>-54</v>
      </c>
    </row>
    <row r="16">
      <c r="A16" t="inlineStr">
        <is>
          <t>CY2025</t>
        </is>
      </c>
      <c r="B16" s="2" t="n">
        <v>45744</v>
      </c>
      <c r="C16" t="inlineStr">
        <is>
          <t>BAC(US0605051046) Cash Dividend USD 0.26 per Share - US Tax</t>
        </is>
      </c>
      <c r="D16" t="inlineStr">
        <is>
          <t>USD</t>
        </is>
      </c>
      <c r="E16" t="n">
        <v>-1.95</v>
      </c>
      <c r="F16" t="n">
        <v>-1.95</v>
      </c>
      <c r="G16" t="n">
        <v>86.95</v>
      </c>
      <c r="H16" t="n">
        <v>-170</v>
      </c>
    </row>
    <row r="17">
      <c r="A17" t="inlineStr">
        <is>
          <t>CY2025</t>
        </is>
      </c>
      <c r="B17" s="2" t="n">
        <v>45747</v>
      </c>
      <c r="C17" t="inlineStr">
        <is>
          <t>AVGO(US11135F1012) Cash Dividend USD 0.59 per Share - US Tax</t>
        </is>
      </c>
      <c r="D17" t="inlineStr">
        <is>
          <t>USD</t>
        </is>
      </c>
      <c r="E17" t="n">
        <v>-1.33</v>
      </c>
      <c r="F17" t="n">
        <v>-1.33</v>
      </c>
      <c r="G17" t="n">
        <v>86.95</v>
      </c>
      <c r="H17" t="n">
        <v>-116</v>
      </c>
    </row>
    <row r="18">
      <c r="A18" t="inlineStr">
        <is>
          <t>CY2025</t>
        </is>
      </c>
      <c r="B18" s="2" t="n">
        <v>45748</v>
      </c>
      <c r="C18" t="inlineStr">
        <is>
          <t>NOV(DK0062498333) Cash Dividend DKK 7.90 per Share - DK Tax</t>
        </is>
      </c>
      <c r="D18" t="inlineStr">
        <is>
          <t>DKK</t>
        </is>
      </c>
      <c r="E18" t="n">
        <v>-63.99</v>
      </c>
      <c r="F18" t="n">
        <v>-10.0631</v>
      </c>
      <c r="G18" t="n">
        <v>85.09999999999999</v>
      </c>
      <c r="H18" t="n">
        <v>-856</v>
      </c>
    </row>
    <row r="19">
      <c r="A19" t="inlineStr">
        <is>
          <t>CY2025</t>
        </is>
      </c>
      <c r="B19" s="2" t="n">
        <v>45751</v>
      </c>
      <c r="C19" t="inlineStr">
        <is>
          <t>TIP(US4642871762) Cash Dividend USD 0.70918 per Share - US Tax</t>
        </is>
      </c>
      <c r="D19" t="inlineStr">
        <is>
          <t>USD</t>
        </is>
      </c>
      <c r="E19" t="n">
        <v>-6.92</v>
      </c>
      <c r="F19" t="n">
        <v>-6.92</v>
      </c>
      <c r="G19" t="n">
        <v>85.09999999999999</v>
      </c>
      <c r="H19" t="n">
        <v>-589</v>
      </c>
    </row>
    <row r="20">
      <c r="A20" t="inlineStr">
        <is>
          <t>CY2025</t>
        </is>
      </c>
      <c r="B20" s="2" t="n">
        <v>45751</v>
      </c>
      <c r="C20" t="inlineStr">
        <is>
          <t>TIP(US4642871762) Cash Dividend USD 0.70918 per Share - US Tax</t>
        </is>
      </c>
      <c r="D20" t="inlineStr">
        <is>
          <t>USD</t>
        </is>
      </c>
      <c r="E20" t="n">
        <v>6.92</v>
      </c>
      <c r="F20" t="n">
        <v>6.92</v>
      </c>
      <c r="G20" t="n">
        <v>85.09999999999999</v>
      </c>
      <c r="H20" t="n">
        <v>589</v>
      </c>
    </row>
    <row r="21">
      <c r="A21" t="inlineStr">
        <is>
          <t>CY2025</t>
        </is>
      </c>
      <c r="B21" s="2" t="n">
        <v>45756</v>
      </c>
      <c r="C21" t="inlineStr">
        <is>
          <t>LRCX(US5128073062) Cash Dividend USD 0.23 per Share - US Tax</t>
        </is>
      </c>
      <c r="D21" t="inlineStr">
        <is>
          <t>USD</t>
        </is>
      </c>
      <c r="E21" t="n">
        <v>-1.73</v>
      </c>
      <c r="F21" t="n">
        <v>-1.73</v>
      </c>
      <c r="G21" t="n">
        <v>85.09999999999999</v>
      </c>
      <c r="H21" t="n">
        <v>-147</v>
      </c>
    </row>
    <row r="22">
      <c r="A22" t="inlineStr">
        <is>
          <t>CY2025</t>
        </is>
      </c>
      <c r="B22" s="2" t="n">
        <v>45757</v>
      </c>
      <c r="C22" t="inlineStr">
        <is>
          <t>TSM(US8740391003) Cash Dividend USD 0.677693 per Share - TW Tax</t>
        </is>
      </c>
      <c r="D22" t="inlineStr">
        <is>
          <t>USD</t>
        </is>
      </c>
      <c r="E22" t="n">
        <v>-1.99</v>
      </c>
      <c r="F22" t="n">
        <v>-1.99</v>
      </c>
      <c r="G22" t="n">
        <v>85.09999999999999</v>
      </c>
      <c r="H22" t="n">
        <v>-169</v>
      </c>
    </row>
    <row r="23">
      <c r="A23" t="inlineStr">
        <is>
          <t>CY2025</t>
        </is>
      </c>
      <c r="B23" s="2" t="n">
        <v>45772</v>
      </c>
      <c r="C23" t="inlineStr">
        <is>
          <t>GE(US3696043013) Cash Dividend USD 0.36 per Share - US Tax</t>
        </is>
      </c>
      <c r="D23" t="inlineStr">
        <is>
          <t>USD</t>
        </is>
      </c>
      <c r="E23" t="n">
        <v>-0.63</v>
      </c>
      <c r="F23" t="n">
        <v>-0.63</v>
      </c>
      <c r="G23" t="n">
        <v>85.09999999999999</v>
      </c>
      <c r="H23" t="n">
        <v>-54</v>
      </c>
    </row>
    <row r="24">
      <c r="A24" t="inlineStr">
        <is>
          <t>CY2025</t>
        </is>
      </c>
      <c r="B24" s="2" t="n">
        <v>45782</v>
      </c>
      <c r="C24" t="inlineStr">
        <is>
          <t>BX(US09260D1072) Cash Dividend USD 0.93 per Share - US Tax</t>
        </is>
      </c>
      <c r="D24" t="inlineStr">
        <is>
          <t>USD</t>
        </is>
      </c>
      <c r="E24" t="n">
        <v>-9.77</v>
      </c>
      <c r="F24" t="n">
        <v>-9.77</v>
      </c>
      <c r="G24" t="n">
        <v>84.25</v>
      </c>
      <c r="H24" t="n">
        <v>-823</v>
      </c>
    </row>
    <row r="25">
      <c r="A25" t="inlineStr">
        <is>
          <t>CY2025</t>
        </is>
      </c>
      <c r="B25" s="2" t="n">
        <v>45782</v>
      </c>
      <c r="C25" t="inlineStr">
        <is>
          <t>BX(US09260D1072) Cash Dividend USD 0.93 per Share - US Tax</t>
        </is>
      </c>
      <c r="D25" t="inlineStr">
        <is>
          <t>USD</t>
        </is>
      </c>
      <c r="E25" t="n">
        <v>9.77</v>
      </c>
      <c r="F25" t="n">
        <v>9.77</v>
      </c>
      <c r="G25" t="n">
        <v>84.25</v>
      </c>
      <c r="H25" t="n">
        <v>823</v>
      </c>
    </row>
    <row r="26">
      <c r="A26" t="inlineStr">
        <is>
          <t>CY2025</t>
        </is>
      </c>
      <c r="B26" s="2" t="n">
        <v>45782</v>
      </c>
      <c r="C26" t="inlineStr">
        <is>
          <t>BX(US09260D1072) Cash Dividend USD 0.93 per Share - US Tax</t>
        </is>
      </c>
      <c r="D26" t="inlineStr">
        <is>
          <t>USD</t>
        </is>
      </c>
      <c r="E26" t="n">
        <v>-4.91</v>
      </c>
      <c r="F26" t="n">
        <v>-4.91</v>
      </c>
      <c r="G26" t="n">
        <v>84.25</v>
      </c>
      <c r="H26" t="n">
        <v>-414</v>
      </c>
    </row>
    <row r="27">
      <c r="A27" t="inlineStr">
        <is>
          <t>CY2025</t>
        </is>
      </c>
      <c r="B27" s="2" t="n">
        <v>45783</v>
      </c>
      <c r="C27" t="inlineStr">
        <is>
          <t>ASML(USN070592100) Cash Dividend USD 2.090608 per Share - NL Tax</t>
        </is>
      </c>
      <c r="D27" t="inlineStr">
        <is>
          <t>USD</t>
        </is>
      </c>
      <c r="E27" t="n">
        <v>-1.88</v>
      </c>
      <c r="F27" t="n">
        <v>-1.88</v>
      </c>
      <c r="G27" t="n">
        <v>84.25</v>
      </c>
      <c r="H27" t="n">
        <v>-158</v>
      </c>
    </row>
    <row r="28">
      <c r="A28" t="inlineStr">
        <is>
          <t>CY2025</t>
        </is>
      </c>
      <c r="B28" s="2" t="n">
        <v>45783</v>
      </c>
      <c r="C28" t="inlineStr">
        <is>
          <t>TIP(US4642871762) Cash Dividend USD 0.534953 per Share - US Tax</t>
        </is>
      </c>
      <c r="D28" t="inlineStr">
        <is>
          <t>USD</t>
        </is>
      </c>
      <c r="E28" t="n">
        <v>-5.22</v>
      </c>
      <c r="F28" t="n">
        <v>-5.22</v>
      </c>
      <c r="G28" t="n">
        <v>84.25</v>
      </c>
      <c r="H28" t="n">
        <v>-440</v>
      </c>
    </row>
    <row r="29">
      <c r="A29" t="inlineStr">
        <is>
          <t>CY2025</t>
        </is>
      </c>
      <c r="B29" s="2" t="n">
        <v>45783</v>
      </c>
      <c r="C29" t="inlineStr">
        <is>
          <t>TIP(US4642871762) Cash Dividend USD 0.534953 per Share - US Tax</t>
        </is>
      </c>
      <c r="D29" t="inlineStr">
        <is>
          <t>USD</t>
        </is>
      </c>
      <c r="E29" t="n">
        <v>5.22</v>
      </c>
      <c r="F29" t="n">
        <v>5.22</v>
      </c>
      <c r="G29" t="n">
        <v>84.25</v>
      </c>
      <c r="H29" t="n">
        <v>440</v>
      </c>
    </row>
    <row r="30">
      <c r="A30" t="inlineStr">
        <is>
          <t>CY2025</t>
        </is>
      </c>
      <c r="B30" s="2" t="n">
        <v>45786</v>
      </c>
      <c r="C30" t="inlineStr">
        <is>
          <t>AXP(US0258161092) Cash Dividend USD 0.82 per Share - US Tax</t>
        </is>
      </c>
      <c r="D30" t="inlineStr">
        <is>
          <t>USD</t>
        </is>
      </c>
      <c r="E30" t="n">
        <v>-0.62</v>
      </c>
      <c r="F30" t="n">
        <v>-0.62</v>
      </c>
      <c r="G30" t="n">
        <v>84.25</v>
      </c>
      <c r="H30" t="n">
        <v>-52</v>
      </c>
    </row>
    <row r="31">
      <c r="A31" t="inlineStr">
        <is>
          <t>CY2025</t>
        </is>
      </c>
      <c r="B31" s="2" t="n">
        <v>45797</v>
      </c>
      <c r="C31" t="inlineStr">
        <is>
          <t>CAT(US1491231015) Cash Dividend USD 1.41 per Share - US Tax</t>
        </is>
      </c>
      <c r="D31" t="inlineStr">
        <is>
          <t>USD</t>
        </is>
      </c>
      <c r="E31" t="n">
        <v>-1.06</v>
      </c>
      <c r="F31" t="n">
        <v>-1.06</v>
      </c>
      <c r="G31" t="n">
        <v>84.25</v>
      </c>
      <c r="H31" t="n">
        <v>-89</v>
      </c>
    </row>
    <row r="32">
      <c r="A32" t="inlineStr">
        <is>
          <t>CY2025</t>
        </is>
      </c>
      <c r="B32" s="2" t="n">
        <v>45810</v>
      </c>
      <c r="C32" t="inlineStr">
        <is>
          <t>TGT(US87612E1064) Cash Dividend USD 1.12 per Share - US Tax</t>
        </is>
      </c>
      <c r="D32" t="inlineStr">
        <is>
          <t>USD</t>
        </is>
      </c>
      <c r="E32" t="n">
        <v>-2.52</v>
      </c>
      <c r="F32" t="n">
        <v>-2.52</v>
      </c>
      <c r="G32" t="n">
        <v>85.09999999999999</v>
      </c>
      <c r="H32" t="n">
        <v>-214</v>
      </c>
    </row>
    <row r="33">
      <c r="A33" t="inlineStr">
        <is>
          <t>CY2025</t>
        </is>
      </c>
      <c r="B33" s="2" t="n">
        <v>45813</v>
      </c>
      <c r="C33" t="inlineStr">
        <is>
          <t>TIP(US4642871762) Cash Dividend USD 0.273105 per Share - US Tax</t>
        </is>
      </c>
      <c r="D33" t="inlineStr">
        <is>
          <t>USD</t>
        </is>
      </c>
      <c r="E33" t="n">
        <v>-2.66</v>
      </c>
      <c r="F33" t="n">
        <v>-2.66</v>
      </c>
      <c r="G33" t="n">
        <v>85.09999999999999</v>
      </c>
      <c r="H33" t="n">
        <v>-226</v>
      </c>
    </row>
    <row r="34">
      <c r="A34" t="inlineStr">
        <is>
          <t>CY2025</t>
        </is>
      </c>
      <c r="B34" s="2" t="n">
        <v>45813</v>
      </c>
      <c r="C34" t="inlineStr">
        <is>
          <t>TIP(US4642871762) Cash Dividend USD 0.273105 per Share - US Tax</t>
        </is>
      </c>
      <c r="D34" t="inlineStr">
        <is>
          <t>USD</t>
        </is>
      </c>
      <c r="E34" t="n">
        <v>2.66</v>
      </c>
      <c r="F34" t="n">
        <v>2.66</v>
      </c>
      <c r="G34" t="n">
        <v>85.09999999999999</v>
      </c>
      <c r="H34" t="n">
        <v>226</v>
      </c>
    </row>
    <row r="35">
      <c r="A35" t="inlineStr">
        <is>
          <t>CY2025</t>
        </is>
      </c>
      <c r="B35" s="2" t="n">
        <v>45818</v>
      </c>
      <c r="C35" t="inlineStr">
        <is>
          <t>LLY(US5324571083) Cash Dividend USD 1.50 per Share - US Tax</t>
        </is>
      </c>
      <c r="D35" t="inlineStr">
        <is>
          <t>USD</t>
        </is>
      </c>
      <c r="E35" t="n">
        <v>-1.13</v>
      </c>
      <c r="F35" t="n">
        <v>-1.13</v>
      </c>
      <c r="G35" t="n">
        <v>85.09999999999999</v>
      </c>
      <c r="H35" t="n">
        <v>-96</v>
      </c>
    </row>
    <row r="36">
      <c r="A36" t="inlineStr">
        <is>
          <t>CY2025</t>
        </is>
      </c>
      <c r="B36" s="2" t="n">
        <v>45820</v>
      </c>
      <c r="C36" t="inlineStr">
        <is>
          <t>MSFT(US5949181045) Cash Dividend USD 0.83 per Share - US Tax</t>
        </is>
      </c>
      <c r="D36" t="inlineStr">
        <is>
          <t>USD</t>
        </is>
      </c>
      <c r="E36" t="n">
        <v>-0.62</v>
      </c>
      <c r="F36" t="n">
        <v>-0.62</v>
      </c>
      <c r="G36" t="n">
        <v>85.09999999999999</v>
      </c>
      <c r="H36" t="n">
        <v>-53</v>
      </c>
    </row>
    <row r="37">
      <c r="A37" t="inlineStr">
        <is>
          <t>CY2025</t>
        </is>
      </c>
      <c r="B37" s="2" t="n">
        <v>45828</v>
      </c>
      <c r="C37" t="inlineStr">
        <is>
          <t>EMXC(US46434G7640) Cash Dividend USD 0.711404 per Share - US Tax</t>
        </is>
      </c>
      <c r="D37" t="inlineStr">
        <is>
          <t>USD</t>
        </is>
      </c>
      <c r="E37" t="n">
        <v>-13.34</v>
      </c>
      <c r="F37" t="n">
        <v>-13.34</v>
      </c>
      <c r="G37" t="n">
        <v>85.09999999999999</v>
      </c>
      <c r="H37" t="n">
        <v>-1135</v>
      </c>
    </row>
    <row r="38">
      <c r="A38" t="inlineStr">
        <is>
          <t>CY2025</t>
        </is>
      </c>
      <c r="B38" s="2" t="n">
        <v>45828</v>
      </c>
      <c r="C38" t="inlineStr">
        <is>
          <t>EMXC(US46434G7640) Cash Dividend USD 0.711404 per Share - US Tax</t>
        </is>
      </c>
      <c r="D38" t="inlineStr">
        <is>
          <t>USD</t>
        </is>
      </c>
      <c r="E38" t="n">
        <v>13.34</v>
      </c>
      <c r="F38" t="n">
        <v>13.34</v>
      </c>
      <c r="G38" t="n">
        <v>85.09999999999999</v>
      </c>
      <c r="H38" t="n">
        <v>1135</v>
      </c>
    </row>
    <row r="39">
      <c r="A39" t="inlineStr">
        <is>
          <t>CY2025</t>
        </is>
      </c>
      <c r="B39" s="2" t="n">
        <v>45828</v>
      </c>
      <c r="C39" t="inlineStr">
        <is>
          <t>EMXC(US46434G7640) Cash Dividend USD 0.711404 per Share - US Tax</t>
        </is>
      </c>
      <c r="D39" t="inlineStr">
        <is>
          <t>USD</t>
        </is>
      </c>
      <c r="E39" t="n">
        <v>-13.21</v>
      </c>
      <c r="F39" t="n">
        <v>-13.21</v>
      </c>
      <c r="G39" t="n">
        <v>85.09999999999999</v>
      </c>
      <c r="H39" t="n">
        <v>-1124</v>
      </c>
    </row>
    <row r="40">
      <c r="A40" t="inlineStr">
        <is>
          <t>CY2025</t>
        </is>
      </c>
      <c r="B40" s="2" t="n">
        <v>45832</v>
      </c>
      <c r="C40" t="inlineStr">
        <is>
          <t>4568.T(JP3475350009) Cash Dividend JPY 30 per Share - JP Tax</t>
        </is>
      </c>
      <c r="D40" t="inlineStr">
        <is>
          <t>JPY</t>
        </is>
      </c>
      <c r="E40" t="n">
        <v>-459</v>
      </c>
      <c r="F40" t="n">
        <v>-2.9297</v>
      </c>
      <c r="G40" t="n">
        <v>85.09999999999999</v>
      </c>
      <c r="H40" t="n">
        <v>-249</v>
      </c>
    </row>
    <row r="41">
      <c r="A41" t="inlineStr">
        <is>
          <t>CY2025</t>
        </is>
      </c>
      <c r="B41" s="2" t="n">
        <v>45835</v>
      </c>
      <c r="C41" t="inlineStr">
        <is>
          <t>BAC(US0605051046) Cash Dividend USD 0.26 per Share - US Tax</t>
        </is>
      </c>
      <c r="D41" t="inlineStr">
        <is>
          <t>USD</t>
        </is>
      </c>
      <c r="E41" t="n">
        <v>-10.53</v>
      </c>
      <c r="F41" t="n">
        <v>-10.53</v>
      </c>
      <c r="G41" t="n">
        <v>85.09999999999999</v>
      </c>
      <c r="H41" t="n">
        <v>-896</v>
      </c>
    </row>
    <row r="42">
      <c r="A42" t="inlineStr">
        <is>
          <t>CY2025</t>
        </is>
      </c>
      <c r="B42" s="2" t="n">
        <v>45835</v>
      </c>
      <c r="C42" t="inlineStr">
        <is>
          <t>DXJ(US97717W8516) Cash Dividend USD 1.34 per Share - US Tax</t>
        </is>
      </c>
      <c r="D42" t="inlineStr">
        <is>
          <t>USD</t>
        </is>
      </c>
      <c r="E42" t="n">
        <v>-8.039999999999999</v>
      </c>
      <c r="F42" t="n">
        <v>-8.039999999999999</v>
      </c>
      <c r="G42" t="n">
        <v>85.09999999999999</v>
      </c>
      <c r="H42" t="n">
        <v>-684</v>
      </c>
    </row>
    <row r="43">
      <c r="A43" t="inlineStr">
        <is>
          <t>CY2025</t>
        </is>
      </c>
      <c r="B43" s="2" t="n">
        <v>45838</v>
      </c>
      <c r="C43" t="inlineStr">
        <is>
          <t>AVGO(US11135F1012) Cash Dividend USD 0.59 per Share - US Tax</t>
        </is>
      </c>
      <c r="D43" t="inlineStr">
        <is>
          <t>USD</t>
        </is>
      </c>
      <c r="E43" t="n">
        <v>-1.33</v>
      </c>
      <c r="F43" t="n">
        <v>-1.33</v>
      </c>
      <c r="G43" t="n">
        <v>85.09999999999999</v>
      </c>
      <c r="H43" t="n">
        <v>-113</v>
      </c>
    </row>
    <row r="44">
      <c r="A44" t="inlineStr">
        <is>
          <t>CY2025</t>
        </is>
      </c>
      <c r="B44" s="2" t="n">
        <v>45845</v>
      </c>
      <c r="C44" t="inlineStr">
        <is>
          <t>TIP(US4642871762) Cash Dividend USD 0.379923 per Share - US Tax</t>
        </is>
      </c>
      <c r="D44" t="inlineStr">
        <is>
          <t>USD</t>
        </is>
      </c>
      <c r="E44" t="n">
        <v>-3.71</v>
      </c>
      <c r="F44" t="n">
        <v>-3.71</v>
      </c>
      <c r="G44" t="n">
        <v>85.09999999999999</v>
      </c>
      <c r="H44" t="n">
        <v>-316</v>
      </c>
    </row>
    <row r="45">
      <c r="A45" t="inlineStr">
        <is>
          <t>CY2025</t>
        </is>
      </c>
      <c r="B45" s="2" t="n">
        <v>45845</v>
      </c>
      <c r="C45" t="inlineStr">
        <is>
          <t>TIP(US4642871762) Cash Dividend USD 0.379923 per Share - US Tax</t>
        </is>
      </c>
      <c r="D45" t="inlineStr">
        <is>
          <t>USD</t>
        </is>
      </c>
      <c r="E45" t="n">
        <v>3.71</v>
      </c>
      <c r="F45" t="n">
        <v>3.71</v>
      </c>
      <c r="G45" t="n">
        <v>85.09999999999999</v>
      </c>
      <c r="H45" t="n">
        <v>316</v>
      </c>
    </row>
    <row r="46">
      <c r="A46" t="inlineStr">
        <is>
          <t>CY2025</t>
        </is>
      </c>
      <c r="B46" s="2" t="n">
        <v>45847</v>
      </c>
      <c r="C46" t="inlineStr">
        <is>
          <t>LRCX(US5128073062) Cash Dividend USD 0.23 per Share - US Tax</t>
        </is>
      </c>
      <c r="D46" t="inlineStr">
        <is>
          <t>USD</t>
        </is>
      </c>
      <c r="E46" t="n">
        <v>-1.73</v>
      </c>
      <c r="F46" t="n">
        <v>-1.73</v>
      </c>
      <c r="G46" t="n">
        <v>85.09999999999999</v>
      </c>
      <c r="H46" t="n">
        <v>-147</v>
      </c>
    </row>
    <row r="47">
      <c r="A47" t="inlineStr">
        <is>
          <t>CY2025</t>
        </is>
      </c>
      <c r="B47" s="2" t="n">
        <v>45848</v>
      </c>
      <c r="C47" t="inlineStr">
        <is>
          <t>TSM(US8740391003) Cash Dividend USD 0.780305 per Share - TW Tax</t>
        </is>
      </c>
      <c r="D47" t="inlineStr">
        <is>
          <t>USD</t>
        </is>
      </c>
      <c r="E47" t="n">
        <v>-7.37</v>
      </c>
      <c r="F47" t="n">
        <v>-7.37</v>
      </c>
      <c r="G47" t="n">
        <v>85.09999999999999</v>
      </c>
      <c r="H47" t="n">
        <v>-627</v>
      </c>
    </row>
    <row r="48">
      <c r="A48" t="inlineStr">
        <is>
          <t>CY2025</t>
        </is>
      </c>
      <c r="B48" s="2" t="n">
        <v>45863</v>
      </c>
      <c r="C48" t="inlineStr">
        <is>
          <t>GE(US3696043013) Cash Dividend USD 0.36 per Share - US Tax</t>
        </is>
      </c>
      <c r="D48" t="inlineStr">
        <is>
          <t>USD</t>
        </is>
      </c>
      <c r="E48" t="n">
        <v>-0.63</v>
      </c>
      <c r="F48" t="n">
        <v>-0.63</v>
      </c>
      <c r="G48" t="n">
        <v>85.09999999999999</v>
      </c>
      <c r="H48" t="n">
        <v>-54</v>
      </c>
    </row>
    <row r="49">
      <c r="A49" t="inlineStr">
        <is>
          <t>CY2025</t>
        </is>
      </c>
      <c r="B49" s="2" t="n">
        <v>45875</v>
      </c>
      <c r="C49" t="inlineStr">
        <is>
          <t>ASML(USN070592100) Cash Dividend USD 1.846784 per Share - NL Tax</t>
        </is>
      </c>
      <c r="D49" t="inlineStr">
        <is>
          <t>USD</t>
        </is>
      </c>
      <c r="E49" t="n">
        <v>-1.66</v>
      </c>
      <c r="F49" t="n">
        <v>-1.66</v>
      </c>
      <c r="G49" t="n">
        <v>87.15000000000001</v>
      </c>
      <c r="H49" t="n">
        <v>-145</v>
      </c>
    </row>
    <row r="50">
      <c r="A50" t="inlineStr">
        <is>
          <t>CY2025</t>
        </is>
      </c>
      <c r="B50" s="2" t="n">
        <v>45875</v>
      </c>
      <c r="C50" t="inlineStr">
        <is>
          <t>TIP(US4642871762) Cash Dividend USD 0.264488 per Share - US Tax</t>
        </is>
      </c>
      <c r="D50" t="inlineStr">
        <is>
          <t>USD</t>
        </is>
      </c>
      <c r="E50" t="n">
        <v>-2.58</v>
      </c>
      <c r="F50" t="n">
        <v>-2.58</v>
      </c>
      <c r="G50" t="n">
        <v>87.15000000000001</v>
      </c>
      <c r="H50" t="n">
        <v>-225</v>
      </c>
    </row>
    <row r="51">
      <c r="A51" t="inlineStr">
        <is>
          <t>CY2025</t>
        </is>
      </c>
      <c r="B51" s="2" t="n">
        <v>45875</v>
      </c>
      <c r="C51" t="inlineStr">
        <is>
          <t>TIP(US4642871762) Cash Dividend USD 0.264488 per Share - US Tax</t>
        </is>
      </c>
      <c r="D51" t="inlineStr">
        <is>
          <t>USD</t>
        </is>
      </c>
      <c r="E51" t="n">
        <v>2.58</v>
      </c>
      <c r="F51" t="n">
        <v>2.58</v>
      </c>
      <c r="G51" t="n">
        <v>87.15000000000001</v>
      </c>
      <c r="H51" t="n">
        <v>225</v>
      </c>
    </row>
    <row r="52">
      <c r="A52" t="inlineStr">
        <is>
          <t>CY2025</t>
        </is>
      </c>
      <c r="B52" s="2" t="n">
        <v>45877</v>
      </c>
      <c r="C52" t="inlineStr">
        <is>
          <t>AXP(US0258161092) Cash Dividend USD 0.82 per Share - US Tax</t>
        </is>
      </c>
      <c r="D52" t="inlineStr">
        <is>
          <t>USD</t>
        </is>
      </c>
      <c r="E52" t="n">
        <v>-0.62</v>
      </c>
      <c r="F52" t="n">
        <v>-0.62</v>
      </c>
      <c r="G52" t="n">
        <v>87.15000000000001</v>
      </c>
      <c r="H52" t="n">
        <v>-54</v>
      </c>
    </row>
    <row r="53">
      <c r="A53" t="inlineStr">
        <is>
          <t>CY2025</t>
        </is>
      </c>
      <c r="B53" s="2" t="n">
        <v>45880</v>
      </c>
      <c r="C53" t="inlineStr">
        <is>
          <t>BX(US09260D1072) Cash Dividend USD 1.03 per Share - US Tax</t>
        </is>
      </c>
      <c r="D53" t="inlineStr">
        <is>
          <t>USD</t>
        </is>
      </c>
      <c r="E53" t="n">
        <v>-10.82</v>
      </c>
      <c r="F53" t="n">
        <v>-10.82</v>
      </c>
      <c r="G53" t="n">
        <v>87.15000000000001</v>
      </c>
      <c r="H53" t="n">
        <v>-943</v>
      </c>
    </row>
    <row r="54">
      <c r="A54" t="inlineStr">
        <is>
          <t>CY2025</t>
        </is>
      </c>
      <c r="B54" s="2" t="n">
        <v>45880</v>
      </c>
      <c r="C54" t="inlineStr">
        <is>
          <t>BX(US09260D1072) Cash Dividend USD 1.03 per Share - US Tax</t>
        </is>
      </c>
      <c r="D54" t="inlineStr">
        <is>
          <t>USD</t>
        </is>
      </c>
      <c r="E54" t="n">
        <v>10.82</v>
      </c>
      <c r="F54" t="n">
        <v>10.82</v>
      </c>
      <c r="G54" t="n">
        <v>87.15000000000001</v>
      </c>
      <c r="H54" t="n">
        <v>943</v>
      </c>
    </row>
    <row r="55">
      <c r="A55" t="inlineStr">
        <is>
          <t>CY2025</t>
        </is>
      </c>
      <c r="B55" s="2" t="n">
        <v>45880</v>
      </c>
      <c r="C55" t="inlineStr">
        <is>
          <t>BX(US09260D1072) Cash Dividend USD 1.03 per Share - US Tax</t>
        </is>
      </c>
      <c r="D55" t="inlineStr">
        <is>
          <t>USD</t>
        </is>
      </c>
      <c r="E55" t="n">
        <v>-5.44</v>
      </c>
      <c r="F55" t="n">
        <v>-5.44</v>
      </c>
      <c r="G55" t="n">
        <v>87.15000000000001</v>
      </c>
      <c r="H55" t="n">
        <v>-474</v>
      </c>
    </row>
    <row r="56">
      <c r="A56" t="inlineStr">
        <is>
          <t>CY2025</t>
        </is>
      </c>
      <c r="B56" s="2" t="n">
        <v>45888</v>
      </c>
      <c r="C56" t="inlineStr">
        <is>
          <t>NOV(DK0062498333) Cash Dividend DKK 3.75 per Share - DK Tax</t>
        </is>
      </c>
      <c r="D56" t="inlineStr">
        <is>
          <t>DKK</t>
        </is>
      </c>
      <c r="E56" t="n">
        <v>-30.38</v>
      </c>
      <c r="F56" t="n">
        <v>-4.7776</v>
      </c>
      <c r="G56" t="n">
        <v>87.15000000000001</v>
      </c>
      <c r="H56" t="n">
        <v>-416</v>
      </c>
    </row>
    <row r="57">
      <c r="A57" t="inlineStr">
        <is>
          <t>CY2025</t>
        </is>
      </c>
      <c r="B57" s="2" t="n">
        <v>45889</v>
      </c>
      <c r="C57" t="inlineStr">
        <is>
          <t>CAT(US1491231015) Cash Dividend USD 1.51 per Share - US Tax</t>
        </is>
      </c>
      <c r="D57" t="inlineStr">
        <is>
          <t>USD</t>
        </is>
      </c>
      <c r="E57" t="n">
        <v>-1.13</v>
      </c>
      <c r="F57" t="n">
        <v>-1.13</v>
      </c>
      <c r="G57" t="n">
        <v>87.15000000000001</v>
      </c>
      <c r="H57" t="n">
        <v>-98</v>
      </c>
    </row>
    <row r="58">
      <c r="A58" t="inlineStr">
        <is>
          <t>CY2025</t>
        </is>
      </c>
      <c r="B58" s="2" t="n">
        <v>45901</v>
      </c>
      <c r="C58" t="inlineStr">
        <is>
          <t>2914.T(JP3726800000) Cash Dividend JPY 104 per Share - JP Tax</t>
        </is>
      </c>
      <c r="D58" t="inlineStr">
        <is>
          <t>JPY</t>
        </is>
      </c>
      <c r="E58" t="n">
        <v>-1593</v>
      </c>
      <c r="F58" t="n">
        <v>-10.1676</v>
      </c>
      <c r="G58" t="n">
        <v>87.7</v>
      </c>
      <c r="H58" t="n">
        <v>-892</v>
      </c>
    </row>
    <row r="59">
      <c r="A59" t="inlineStr">
        <is>
          <t>CY2025</t>
        </is>
      </c>
      <c r="B59" s="2" t="n">
        <v>45902</v>
      </c>
      <c r="C59" t="inlineStr">
        <is>
          <t>TGT(US87612E1064) Cash Dividend USD 1.14 per Share - US Tax</t>
        </is>
      </c>
      <c r="D59" t="inlineStr">
        <is>
          <t>USD</t>
        </is>
      </c>
      <c r="E59" t="n">
        <v>-2.57</v>
      </c>
      <c r="F59" t="n">
        <v>-2.57</v>
      </c>
      <c r="G59" t="n">
        <v>87.7</v>
      </c>
      <c r="H59" t="n">
        <v>-225</v>
      </c>
    </row>
    <row r="60">
      <c r="A60" t="inlineStr">
        <is>
          <t>CY2025</t>
        </is>
      </c>
      <c r="B60" s="2" t="n">
        <v>45905</v>
      </c>
      <c r="C60" t="inlineStr">
        <is>
          <t>TIP(US4642871762) Cash Dividend USD 0.417238 per Share - US Tax</t>
        </is>
      </c>
      <c r="D60" t="inlineStr">
        <is>
          <t>USD</t>
        </is>
      </c>
      <c r="E60" t="n">
        <v>-4.07</v>
      </c>
      <c r="F60" t="n">
        <v>-4.07</v>
      </c>
      <c r="G60" t="n">
        <v>87.7</v>
      </c>
      <c r="H60" t="n">
        <v>-357</v>
      </c>
    </row>
    <row r="61">
      <c r="A61" t="inlineStr">
        <is>
          <t>CY2025</t>
        </is>
      </c>
      <c r="B61" s="2" t="n">
        <v>45905</v>
      </c>
      <c r="C61" t="inlineStr">
        <is>
          <t>TIP(US4642871762) Cash Dividend USD 0.417238 per Share - US Tax</t>
        </is>
      </c>
      <c r="D61" t="inlineStr">
        <is>
          <t>USD</t>
        </is>
      </c>
      <c r="E61" t="n">
        <v>4.07</v>
      </c>
      <c r="F61" t="n">
        <v>4.07</v>
      </c>
      <c r="G61" t="n">
        <v>87.7</v>
      </c>
      <c r="H61" t="n">
        <v>357</v>
      </c>
    </row>
    <row r="62">
      <c r="A62" t="inlineStr">
        <is>
          <t>CY2025</t>
        </is>
      </c>
      <c r="B62" s="2" t="n">
        <v>45910</v>
      </c>
      <c r="C62" t="inlineStr">
        <is>
          <t>LLY(US5324571083) Cash Dividend USD 1.50 per Share - US Tax</t>
        </is>
      </c>
      <c r="D62" t="inlineStr">
        <is>
          <t>USD</t>
        </is>
      </c>
      <c r="E62" t="n">
        <v>-1.13</v>
      </c>
      <c r="F62" t="n">
        <v>-1.13</v>
      </c>
      <c r="G62" t="n">
        <v>87.7</v>
      </c>
      <c r="H62" t="n">
        <v>-99</v>
      </c>
    </row>
    <row r="63">
      <c r="A63" t="inlineStr">
        <is>
          <t>CY2025</t>
        </is>
      </c>
      <c r="B63" s="2" t="n">
        <v>45911</v>
      </c>
      <c r="C63" t="inlineStr">
        <is>
          <t>MSFT(US5949181045) Cash Dividend USD 0.83 per Share - US Tax</t>
        </is>
      </c>
      <c r="D63" t="inlineStr">
        <is>
          <t>USD</t>
        </is>
      </c>
      <c r="E63" t="n">
        <v>-0.62</v>
      </c>
      <c r="F63" t="n">
        <v>-0.62</v>
      </c>
      <c r="G63" t="n">
        <v>87.7</v>
      </c>
      <c r="H63" t="n">
        <v>-54</v>
      </c>
    </row>
    <row r="64">
      <c r="A64" t="inlineStr">
        <is>
          <t>CY2025</t>
        </is>
      </c>
      <c r="B64" s="2" t="n">
        <v>45926</v>
      </c>
      <c r="C64" t="inlineStr">
        <is>
          <t>BAC(US0605051046) Cash Dividend USD 0.28 per Share - US Tax</t>
        </is>
      </c>
      <c r="D64" t="inlineStr">
        <is>
          <t>USD</t>
        </is>
      </c>
      <c r="E64" t="n">
        <v>-11.34</v>
      </c>
      <c r="F64" t="n">
        <v>-11.34</v>
      </c>
      <c r="G64" t="n">
        <v>87.7</v>
      </c>
      <c r="H64" t="n">
        <v>-995</v>
      </c>
    </row>
    <row r="65">
      <c r="A65" t="inlineStr">
        <is>
          <t>CY2025</t>
        </is>
      </c>
      <c r="B65" s="2" t="n">
        <v>45929</v>
      </c>
      <c r="C65" t="inlineStr">
        <is>
          <t>DXJ(US97717W8516) Payment in Lieu of Dividend - US Tax</t>
        </is>
      </c>
      <c r="D65" t="inlineStr">
        <is>
          <t>USD</t>
        </is>
      </c>
      <c r="E65" t="n">
        <v>-0.84</v>
      </c>
      <c r="F65" t="n">
        <v>-0.84</v>
      </c>
      <c r="G65" t="n">
        <v>87.7</v>
      </c>
      <c r="H65" t="n">
        <v>-74</v>
      </c>
    </row>
    <row r="66">
      <c r="A66" t="inlineStr">
        <is>
          <t>CY2025</t>
        </is>
      </c>
      <c r="B66" s="2" t="n">
        <v>45930</v>
      </c>
      <c r="C66" t="inlineStr">
        <is>
          <t>AVGO(US11135F1012) Cash Dividend USD 0.59 per Share - US Tax</t>
        </is>
      </c>
      <c r="D66" t="inlineStr">
        <is>
          <t>USD</t>
        </is>
      </c>
      <c r="E66" t="n">
        <v>-1.33</v>
      </c>
      <c r="F66" t="n">
        <v>-1.33</v>
      </c>
      <c r="G66" t="n">
        <v>87.7</v>
      </c>
      <c r="H66" t="n">
        <v>-117</v>
      </c>
    </row>
    <row r="67">
      <c r="A67" t="inlineStr">
        <is>
          <t>CY2025</t>
        </is>
      </c>
      <c r="B67" s="2" t="n">
        <v>45936</v>
      </c>
      <c r="C67" t="inlineStr">
        <is>
          <t>TIP(US4642871762) Cash Dividend USD 0.198069 per Share - US Tax</t>
        </is>
      </c>
      <c r="D67" t="inlineStr">
        <is>
          <t>USD</t>
        </is>
      </c>
      <c r="E67" t="n">
        <v>-1.93</v>
      </c>
      <c r="F67" t="n">
        <v>-1.93</v>
      </c>
      <c r="G67" t="n">
        <v>88.34999999999999</v>
      </c>
      <c r="H67" t="n">
        <v>-171</v>
      </c>
    </row>
    <row r="68">
      <c r="A68" t="inlineStr">
        <is>
          <t>CY2025</t>
        </is>
      </c>
      <c r="B68" s="2" t="n">
        <v>45936</v>
      </c>
      <c r="C68" t="inlineStr">
        <is>
          <t>TIP(US4642871762) Cash Dividend USD 0.198069 per Share - US Tax</t>
        </is>
      </c>
      <c r="D68" t="inlineStr">
        <is>
          <t>USD</t>
        </is>
      </c>
      <c r="E68" t="n">
        <v>1.93</v>
      </c>
      <c r="F68" t="n">
        <v>1.93</v>
      </c>
      <c r="G68" t="n">
        <v>88.34999999999999</v>
      </c>
      <c r="H68" t="n">
        <v>171</v>
      </c>
    </row>
    <row r="69">
      <c r="A69" t="inlineStr">
        <is>
          <t>CY2025</t>
        </is>
      </c>
      <c r="B69" s="2" t="n">
        <v>45939</v>
      </c>
      <c r="C69" t="inlineStr">
        <is>
          <t>TSM(US8740391003) Cash Dividend USD 0.821965 per Share - TW Tax</t>
        </is>
      </c>
      <c r="D69" t="inlineStr">
        <is>
          <t>USD</t>
        </is>
      </c>
      <c r="E69" t="n">
        <v>-7.77</v>
      </c>
      <c r="F69" t="n">
        <v>-7.77</v>
      </c>
      <c r="G69" t="n">
        <v>88.34999999999999</v>
      </c>
      <c r="H69" t="n">
        <v>-686</v>
      </c>
    </row>
    <row r="70">
      <c r="A70" t="inlineStr">
        <is>
          <t>CY2025</t>
        </is>
      </c>
      <c r="B70" s="2" t="n">
        <v>45945</v>
      </c>
      <c r="C70" t="inlineStr">
        <is>
          <t>LRCX(US5128073062) Cash Dividend USD 0.26 per Share - US Tax</t>
        </is>
      </c>
      <c r="D70" t="inlineStr">
        <is>
          <t>USD</t>
        </is>
      </c>
      <c r="E70" t="n">
        <v>-1.95</v>
      </c>
      <c r="F70" t="n">
        <v>-1.95</v>
      </c>
      <c r="G70" t="n">
        <v>88.34999999999999</v>
      </c>
      <c r="H70" t="n">
        <v>-172</v>
      </c>
    </row>
    <row r="71">
      <c r="A71" t="inlineStr">
        <is>
          <t>CY2025</t>
        </is>
      </c>
      <c r="B71" s="2" t="n">
        <v>45952</v>
      </c>
      <c r="C71" t="inlineStr">
        <is>
          <t>CSCO(US17275R1023) Cash Dividend USD 0.41 per Share - US Tax</t>
        </is>
      </c>
      <c r="D71" t="inlineStr">
        <is>
          <t>USD</t>
        </is>
      </c>
      <c r="E71" t="n">
        <v>-2.05</v>
      </c>
      <c r="F71" t="n">
        <v>-2.05</v>
      </c>
      <c r="G71" t="n">
        <v>88.34999999999999</v>
      </c>
      <c r="H71" t="n">
        <v>-181</v>
      </c>
    </row>
    <row r="72">
      <c r="A72" t="inlineStr">
        <is>
          <t>CY2025</t>
        </is>
      </c>
      <c r="B72" s="2" t="n">
        <v>45953</v>
      </c>
      <c r="C72" t="inlineStr">
        <is>
          <t>ORCL(US68389X1054) Cash Dividend USD 0.50 per Share - US Tax</t>
        </is>
      </c>
      <c r="D72" t="inlineStr">
        <is>
          <t>USD</t>
        </is>
      </c>
      <c r="E72" t="n">
        <v>-0.63</v>
      </c>
      <c r="F72" t="n">
        <v>-0.63</v>
      </c>
      <c r="G72" t="n">
        <v>88.34999999999999</v>
      </c>
      <c r="H72" t="n">
        <v>-56</v>
      </c>
    </row>
    <row r="73">
      <c r="A73" t="inlineStr">
        <is>
          <t>CY2025</t>
        </is>
      </c>
      <c r="B73" s="2" t="n">
        <v>45957</v>
      </c>
      <c r="C73" t="inlineStr">
        <is>
          <t>GE(US3696043013) Cash Dividend USD 0.36 per Share - US Tax</t>
        </is>
      </c>
      <c r="D73" t="inlineStr">
        <is>
          <t>USD</t>
        </is>
      </c>
      <c r="E73" t="n">
        <v>-0.63</v>
      </c>
      <c r="F73" t="n">
        <v>-0.63</v>
      </c>
      <c r="G73" t="n">
        <v>88.34999999999999</v>
      </c>
      <c r="H73" t="n">
        <v>-56</v>
      </c>
    </row>
    <row r="74">
      <c r="A74" t="inlineStr">
        <is>
          <t>CY2025</t>
        </is>
      </c>
      <c r="B74" s="2" t="n">
        <v>45967</v>
      </c>
      <c r="C74" t="inlineStr">
        <is>
          <t>ASML(USN070592100) Cash Dividend USD 1.864032 per Share - NL Tax</t>
        </is>
      </c>
      <c r="D74" t="inlineStr">
        <is>
          <t>USD</t>
        </is>
      </c>
      <c r="E74" t="n">
        <v>-1.68</v>
      </c>
      <c r="F74" t="n">
        <v>-1.68</v>
      </c>
      <c r="G74" t="n">
        <v>88.2</v>
      </c>
      <c r="H74" t="n">
        <v>-148</v>
      </c>
    </row>
    <row r="75">
      <c r="A75" t="inlineStr">
        <is>
          <t>CY2025</t>
        </is>
      </c>
      <c r="B75" s="2" t="n">
        <v>45967</v>
      </c>
      <c r="C75" t="inlineStr">
        <is>
          <t>TIP(US4642871762) Cash Dividend USD 0.360933 per Share - US Tax</t>
        </is>
      </c>
      <c r="D75" t="inlineStr">
        <is>
          <t>USD</t>
        </is>
      </c>
      <c r="E75" t="n">
        <v>-0.27</v>
      </c>
      <c r="F75" t="n">
        <v>-0.27</v>
      </c>
      <c r="G75" t="n">
        <v>88.2</v>
      </c>
      <c r="H75" t="n">
        <v>-24</v>
      </c>
    </row>
    <row r="76">
      <c r="A76" t="inlineStr">
        <is>
          <t>CY2025</t>
        </is>
      </c>
      <c r="B76" s="2" t="n">
        <v>45967</v>
      </c>
      <c r="C76" t="inlineStr">
        <is>
          <t>TIP(US4642871762) Payment in Lieu of Dividend - US Tax</t>
        </is>
      </c>
      <c r="D76" t="inlineStr">
        <is>
          <t>USD</t>
        </is>
      </c>
      <c r="E76" t="n">
        <v>-3.25</v>
      </c>
      <c r="F76" t="n">
        <v>-3.25</v>
      </c>
      <c r="G76" t="n">
        <v>88.2</v>
      </c>
      <c r="H76" t="n">
        <v>-287</v>
      </c>
    </row>
    <row r="77">
      <c r="A77" t="inlineStr">
        <is>
          <t>CY2025</t>
        </is>
      </c>
      <c r="B77" s="2" t="n">
        <v>45967</v>
      </c>
      <c r="C77" t="inlineStr">
        <is>
          <t>TIP(US4642871762) Cash Dividend USD 0.360933 per Share - US Tax</t>
        </is>
      </c>
      <c r="D77" t="inlineStr">
        <is>
          <t>USD</t>
        </is>
      </c>
      <c r="E77" t="n">
        <v>0.27</v>
      </c>
      <c r="F77" t="n">
        <v>0.27</v>
      </c>
      <c r="G77" t="n">
        <v>88.2</v>
      </c>
      <c r="H77" t="n">
        <v>24</v>
      </c>
    </row>
    <row r="78">
      <c r="A78" t="inlineStr">
        <is>
          <t>CY2025</t>
        </is>
      </c>
      <c r="B78" s="2" t="n">
        <v>45967</v>
      </c>
      <c r="C78" t="inlineStr">
        <is>
          <t>TIP(US4642871762) Payment in Lieu of Dividend - US Tax</t>
        </is>
      </c>
      <c r="D78" t="inlineStr">
        <is>
          <t>USD</t>
        </is>
      </c>
      <c r="E78" t="n">
        <v>3.25</v>
      </c>
      <c r="F78" t="n">
        <v>3.25</v>
      </c>
      <c r="G78" t="n">
        <v>88.2</v>
      </c>
      <c r="H78" t="n">
        <v>287</v>
      </c>
    </row>
    <row r="79">
      <c r="A79" t="inlineStr">
        <is>
          <t>CY2025</t>
        </is>
      </c>
      <c r="B79" s="2" t="n">
        <v>45971</v>
      </c>
      <c r="C79" t="inlineStr">
        <is>
          <t>AXP(US0258161092) Cash Dividend USD 0.82 per Share - US Tax</t>
        </is>
      </c>
      <c r="D79" t="inlineStr">
        <is>
          <t>USD</t>
        </is>
      </c>
      <c r="E79" t="n">
        <v>-0.62</v>
      </c>
      <c r="F79" t="n">
        <v>-0.62</v>
      </c>
      <c r="G79" t="n">
        <v>88.2</v>
      </c>
      <c r="H79" t="n">
        <v>-55</v>
      </c>
    </row>
    <row r="80">
      <c r="A80" t="inlineStr">
        <is>
          <t>CY2025</t>
        </is>
      </c>
      <c r="B80" s="2" t="n">
        <v>45971</v>
      </c>
      <c r="C80" t="inlineStr">
        <is>
          <t>BX(US09260D1072) Cash Dividend USD 1.29 per Share - US Tax</t>
        </is>
      </c>
      <c r="D80" t="inlineStr">
        <is>
          <t>USD</t>
        </is>
      </c>
      <c r="E80" t="n">
        <v>-13.55</v>
      </c>
      <c r="F80" t="n">
        <v>-13.55</v>
      </c>
      <c r="G80" t="n">
        <v>88.2</v>
      </c>
      <c r="H80" t="n">
        <v>-1195</v>
      </c>
    </row>
    <row r="81">
      <c r="A81" t="inlineStr">
        <is>
          <t>CY2025</t>
        </is>
      </c>
      <c r="B81" s="2" t="n">
        <v>45971</v>
      </c>
      <c r="C81" t="inlineStr">
        <is>
          <t>BX(US09260D1072) Cash Dividend USD 1.29 per Share - US Tax</t>
        </is>
      </c>
      <c r="D81" t="inlineStr">
        <is>
          <t>USD</t>
        </is>
      </c>
      <c r="E81" t="n">
        <v>13.55</v>
      </c>
      <c r="F81" t="n">
        <v>13.55</v>
      </c>
      <c r="G81" t="n">
        <v>88.2</v>
      </c>
      <c r="H81" t="n">
        <v>1195</v>
      </c>
    </row>
    <row r="82">
      <c r="A82" t="inlineStr">
        <is>
          <t>CY2025</t>
        </is>
      </c>
      <c r="B82" s="2" t="n">
        <v>45971</v>
      </c>
      <c r="C82" t="inlineStr">
        <is>
          <t>BX(US09260D1072) Cash Dividend USD 1.29 per Share - US Tax</t>
        </is>
      </c>
      <c r="D82" t="inlineStr">
        <is>
          <t>USD</t>
        </is>
      </c>
      <c r="E82" t="n">
        <v>-6.81</v>
      </c>
      <c r="F82" t="n">
        <v>-6.81</v>
      </c>
      <c r="G82" t="n">
        <v>88.2</v>
      </c>
      <c r="H82" t="n">
        <v>-601</v>
      </c>
    </row>
    <row r="83">
      <c r="A83" t="inlineStr">
        <is>
          <t>CY2025</t>
        </is>
      </c>
      <c r="B83" s="2" t="n">
        <v>45981</v>
      </c>
      <c r="C83" t="inlineStr">
        <is>
          <t>CAT(US1491231015) Cash Dividend USD 1.51 per Share - US Tax</t>
        </is>
      </c>
      <c r="D83" t="inlineStr">
        <is>
          <t>USD</t>
        </is>
      </c>
      <c r="E83" t="n">
        <v>-1.13</v>
      </c>
      <c r="F83" t="n">
        <v>-1.13</v>
      </c>
      <c r="G83" t="n">
        <v>88.2</v>
      </c>
      <c r="H83" t="n">
        <v>-100</v>
      </c>
    </row>
    <row r="84">
      <c r="A84" t="inlineStr">
        <is>
          <t>CY2025</t>
        </is>
      </c>
      <c r="B84" s="2" t="n">
        <v>45987</v>
      </c>
      <c r="C84" t="inlineStr">
        <is>
          <t>7203.T(JP3633400001) Cash Dividend JPY 45 per Share - JP Tax</t>
        </is>
      </c>
      <c r="D84" t="inlineStr">
        <is>
          <t>JPY</t>
        </is>
      </c>
      <c r="E84" t="n">
        <v>-689</v>
      </c>
      <c r="F84" t="n">
        <v>-4.3977</v>
      </c>
      <c r="G84" t="n">
        <v>88.2</v>
      </c>
      <c r="H84" t="n">
        <v>-388</v>
      </c>
    </row>
    <row r="85">
      <c r="A85" t="inlineStr">
        <is>
          <t>CY2025</t>
        </is>
      </c>
      <c r="B85" s="2" t="n">
        <v>45992</v>
      </c>
      <c r="C85" t="inlineStr">
        <is>
          <t>TGT(US87612E1064) Cash Dividend USD 1.14 per Share - US Tax</t>
        </is>
      </c>
      <c r="D85" t="inlineStr">
        <is>
          <t>USD</t>
        </is>
      </c>
      <c r="E85" t="n">
        <v>-8.550000000000001</v>
      </c>
      <c r="F85" t="n">
        <v>-8.550000000000001</v>
      </c>
      <c r="G85" t="n">
        <v>88.95</v>
      </c>
      <c r="H85" t="n">
        <v>-761</v>
      </c>
    </row>
    <row r="86">
      <c r="A86" t="inlineStr">
        <is>
          <t>CY2025</t>
        </is>
      </c>
      <c r="B86" s="2" t="n">
        <v>45995</v>
      </c>
      <c r="C86" t="inlineStr">
        <is>
          <t>TIP(US4642871762) Cash Dividend USD 0.322417 per Share - US Tax</t>
        </is>
      </c>
      <c r="D86" t="inlineStr">
        <is>
          <t>USD</t>
        </is>
      </c>
      <c r="E86" t="n">
        <v>-3.14</v>
      </c>
      <c r="F86" t="n">
        <v>-3.14</v>
      </c>
      <c r="G86" t="n">
        <v>88.95</v>
      </c>
      <c r="H86" t="n">
        <v>-279</v>
      </c>
    </row>
    <row r="87">
      <c r="A87" t="inlineStr">
        <is>
          <t>CY2025</t>
        </is>
      </c>
      <c r="B87" s="2" t="n">
        <v>45995</v>
      </c>
      <c r="C87" t="inlineStr">
        <is>
          <t>TIP(US4642871762) Cash Dividend USD 0.322417 per Share - US Tax</t>
        </is>
      </c>
      <c r="D87" t="inlineStr">
        <is>
          <t>USD</t>
        </is>
      </c>
      <c r="E87" t="n">
        <v>3.14</v>
      </c>
      <c r="F87" t="n">
        <v>3.14</v>
      </c>
      <c r="G87" t="n">
        <v>88.95</v>
      </c>
      <c r="H87" t="n">
        <v>279</v>
      </c>
    </row>
    <row r="88">
      <c r="A88" t="inlineStr">
        <is>
          <t>CY2025</t>
        </is>
      </c>
      <c r="B88" s="2" t="n">
        <v>46001</v>
      </c>
      <c r="C88" t="inlineStr">
        <is>
          <t>4568.T(JP3475350009) Cash Dividend JPY 39 per Share - JP Tax</t>
        </is>
      </c>
      <c r="D88" t="inlineStr">
        <is>
          <t>JPY</t>
        </is>
      </c>
      <c r="E88" t="n">
        <v>-1195</v>
      </c>
      <c r="F88" t="n">
        <v>-7.6273</v>
      </c>
      <c r="G88" t="n">
        <v>88.95</v>
      </c>
      <c r="H88" t="n">
        <v>-678</v>
      </c>
    </row>
    <row r="89">
      <c r="A89" t="inlineStr">
        <is>
          <t>CY2025</t>
        </is>
      </c>
      <c r="B89" s="2" t="n">
        <v>46001</v>
      </c>
      <c r="C89" t="inlineStr">
        <is>
          <t>IBM(US4592001014) Cash Dividend USD 1.68 per Share - US Tax</t>
        </is>
      </c>
      <c r="D89" t="inlineStr">
        <is>
          <t>USD</t>
        </is>
      </c>
      <c r="E89" t="n">
        <v>-2.1</v>
      </c>
      <c r="F89" t="n">
        <v>-2.1</v>
      </c>
      <c r="G89" t="n">
        <v>88.95</v>
      </c>
      <c r="H89" t="n">
        <v>-187</v>
      </c>
    </row>
    <row r="90">
      <c r="A90" t="inlineStr">
        <is>
          <t>CY2025</t>
        </is>
      </c>
      <c r="B90" s="2" t="n">
        <v>46001</v>
      </c>
      <c r="C90" t="inlineStr">
        <is>
          <t>LLY(US5324571083) Cash Dividend USD 1.50 per Share - US Tax</t>
        </is>
      </c>
      <c r="D90" t="inlineStr">
        <is>
          <t>USD</t>
        </is>
      </c>
      <c r="E90" t="n">
        <v>-1.13</v>
      </c>
      <c r="F90" t="n">
        <v>-1.13</v>
      </c>
      <c r="G90" t="n">
        <v>88.95</v>
      </c>
      <c r="H90" t="n">
        <v>-101</v>
      </c>
    </row>
    <row r="91">
      <c r="A91" t="inlineStr">
        <is>
          <t>CY2025</t>
        </is>
      </c>
      <c r="B91" s="2" t="n">
        <v>46002</v>
      </c>
      <c r="C91" t="inlineStr">
        <is>
          <t>MSFT(US5949181045) Cash Dividend USD 0.91 per Share - US Tax</t>
        </is>
      </c>
      <c r="D91" t="inlineStr">
        <is>
          <t>USD</t>
        </is>
      </c>
      <c r="E91" t="n">
        <v>-0.68</v>
      </c>
      <c r="F91" t="n">
        <v>-0.68</v>
      </c>
      <c r="G91" t="n">
        <v>88.95</v>
      </c>
      <c r="H91" t="n">
        <v>-60</v>
      </c>
    </row>
    <row r="92">
      <c r="A92" t="inlineStr">
        <is>
          <t>CY2025</t>
        </is>
      </c>
      <c r="B92" s="2" t="n">
        <v>46010</v>
      </c>
      <c r="C92" t="inlineStr">
        <is>
          <t>EMXC(US46434G7640) Cash Dividend USD 1.335744 per Share - US Tax</t>
        </is>
      </c>
      <c r="D92" t="inlineStr">
        <is>
          <t>USD</t>
        </is>
      </c>
      <c r="E92" t="n">
        <v>-25.05</v>
      </c>
      <c r="F92" t="n">
        <v>-25.05</v>
      </c>
      <c r="G92" t="n">
        <v>88.95</v>
      </c>
      <c r="H92" t="n">
        <v>-2228</v>
      </c>
    </row>
    <row r="93">
      <c r="A93" t="inlineStr">
        <is>
          <t>CY2025</t>
        </is>
      </c>
      <c r="B93" s="2" t="n">
        <v>46010</v>
      </c>
      <c r="C93" t="inlineStr">
        <is>
          <t>EMXC(US46434G7640) Cash Dividend USD 1.335744 per Share - US Tax</t>
        </is>
      </c>
      <c r="D93" t="inlineStr">
        <is>
          <t>USD</t>
        </is>
      </c>
      <c r="E93" t="n">
        <v>25.05</v>
      </c>
      <c r="F93" t="n">
        <v>25.05</v>
      </c>
      <c r="G93" t="n">
        <v>88.95</v>
      </c>
      <c r="H93" t="n">
        <v>2228</v>
      </c>
    </row>
    <row r="94">
      <c r="A94" t="inlineStr">
        <is>
          <t>CY2025</t>
        </is>
      </c>
      <c r="B94" s="2" t="n">
        <v>46010</v>
      </c>
      <c r="C94" t="inlineStr">
        <is>
          <t>EMXC(US46434G7640) Cash Dividend USD 1.335744 per Share - US Tax</t>
        </is>
      </c>
      <c r="D94" t="inlineStr">
        <is>
          <t>USD</t>
        </is>
      </c>
      <c r="E94" t="n">
        <v>-24.79</v>
      </c>
      <c r="F94" t="n">
        <v>-24.79</v>
      </c>
      <c r="G94" t="n">
        <v>88.95</v>
      </c>
      <c r="H94" t="n">
        <v>-2205</v>
      </c>
    </row>
    <row r="95">
      <c r="A95" t="inlineStr">
        <is>
          <t>CY2025</t>
        </is>
      </c>
      <c r="B95" s="2" t="n">
        <v>46015</v>
      </c>
      <c r="C95" t="inlineStr">
        <is>
          <t>TIP(US4642871762) Cash Dividend USD 0.341961 per Share - US Tax</t>
        </is>
      </c>
      <c r="D95" t="inlineStr">
        <is>
          <t>USD</t>
        </is>
      </c>
      <c r="E95" t="n">
        <v>-3.34</v>
      </c>
      <c r="F95" t="n">
        <v>-3.34</v>
      </c>
      <c r="G95" t="n">
        <v>88.95</v>
      </c>
      <c r="H95" t="n">
        <v>-297</v>
      </c>
    </row>
    <row r="96">
      <c r="A96" t="inlineStr">
        <is>
          <t>CY2025</t>
        </is>
      </c>
      <c r="B96" s="2" t="n">
        <v>46015</v>
      </c>
      <c r="C96" t="inlineStr">
        <is>
          <t>TIP(US4642871762) Cash Dividend USD 0.341961 per Share - US Tax</t>
        </is>
      </c>
      <c r="D96" t="inlineStr">
        <is>
          <t>USD</t>
        </is>
      </c>
      <c r="E96" t="n">
        <v>3.34</v>
      </c>
      <c r="F96" t="n">
        <v>3.34</v>
      </c>
      <c r="G96" t="n">
        <v>88.95</v>
      </c>
      <c r="H96" t="n">
        <v>297</v>
      </c>
    </row>
    <row r="97">
      <c r="A97" t="inlineStr">
        <is>
          <t>CY2025</t>
        </is>
      </c>
      <c r="B97" s="2" t="n">
        <v>46017</v>
      </c>
      <c r="C97" t="inlineStr">
        <is>
          <t>BAC(US0605051046) Cash Dividend USD 0.28 per Share - US Tax</t>
        </is>
      </c>
      <c r="D97" t="inlineStr">
        <is>
          <t>USD</t>
        </is>
      </c>
      <c r="E97" t="n">
        <v>-11.34</v>
      </c>
      <c r="F97" t="n">
        <v>-11.34</v>
      </c>
      <c r="G97" t="n">
        <v>88.95</v>
      </c>
      <c r="H97" t="n">
        <v>-1009</v>
      </c>
    </row>
    <row r="98">
      <c r="A98" t="inlineStr">
        <is>
          <t>CY2025</t>
        </is>
      </c>
      <c r="B98" s="2" t="n">
        <v>46021</v>
      </c>
      <c r="C98" t="inlineStr">
        <is>
          <t>DXJ(US97717W8516) Payment in Lieu of Dividend - US Tax</t>
        </is>
      </c>
      <c r="D98" t="inlineStr">
        <is>
          <t>USD</t>
        </is>
      </c>
      <c r="E98" t="n">
        <v>-1.35</v>
      </c>
      <c r="F98" t="n">
        <v>-1.35</v>
      </c>
      <c r="G98" t="n">
        <v>88.95</v>
      </c>
      <c r="H98" t="n">
        <v>-120</v>
      </c>
    </row>
    <row r="99">
      <c r="A99" t="inlineStr">
        <is>
          <t>CY2025</t>
        </is>
      </c>
      <c r="B99" s="2" t="n">
        <v>46021</v>
      </c>
      <c r="C99" t="inlineStr">
        <is>
          <t>DXJ(US97717W8516) Cash Dividend USD 0.38499 per Share - US Tax</t>
        </is>
      </c>
      <c r="D99" t="inlineStr">
        <is>
          <t>USD</t>
        </is>
      </c>
      <c r="E99" t="n">
        <v>-0.96</v>
      </c>
      <c r="F99" t="n">
        <v>-0.96</v>
      </c>
      <c r="G99" t="n">
        <v>88.95</v>
      </c>
      <c r="H99" t="n">
        <v>-85</v>
      </c>
    </row>
    <row r="100">
      <c r="A100" t="inlineStr">
        <is>
          <t>CY2025</t>
        </is>
      </c>
      <c r="B100" s="2" t="n">
        <v>46022</v>
      </c>
      <c r="C100" t="inlineStr">
        <is>
          <t>AVGO(US11135F1012) Cash Dividend USD 0.65 per Share - US Tax</t>
        </is>
      </c>
      <c r="D100" t="inlineStr">
        <is>
          <t>USD</t>
        </is>
      </c>
      <c r="E100" t="n">
        <v>-1.46</v>
      </c>
      <c r="F100" t="n">
        <v>-1.46</v>
      </c>
      <c r="G100" t="n">
        <v>88.95</v>
      </c>
      <c r="H100" t="n">
        <v>-130</v>
      </c>
    </row>
    <row r="101">
      <c r="A101" t="inlineStr">
        <is>
          <t>FY2025-26</t>
        </is>
      </c>
      <c r="B101" s="2" t="n">
        <v>45748</v>
      </c>
      <c r="C101" t="inlineStr">
        <is>
          <t>NOV(DK0062498333) Cash Dividend DKK 7.90 per Share - DK Tax</t>
        </is>
      </c>
      <c r="D101" t="inlineStr">
        <is>
          <t>DKK</t>
        </is>
      </c>
      <c r="E101" t="n">
        <v>-63.99</v>
      </c>
      <c r="F101" t="n">
        <v>-10.0631</v>
      </c>
      <c r="G101" t="n">
        <v>85.09999999999999</v>
      </c>
      <c r="H101" t="n">
        <v>-856</v>
      </c>
    </row>
    <row r="102">
      <c r="A102" t="inlineStr">
        <is>
          <t>FY2025-26</t>
        </is>
      </c>
      <c r="B102" s="2" t="n">
        <v>45888</v>
      </c>
      <c r="C102" t="inlineStr">
        <is>
          <t>NOV(DK0062498333) Cash Dividend DKK 3.75 per Share - DK Tax</t>
        </is>
      </c>
      <c r="D102" t="inlineStr">
        <is>
          <t>DKK</t>
        </is>
      </c>
      <c r="E102" t="n">
        <v>-30.38</v>
      </c>
      <c r="F102" t="n">
        <v>-4.7776</v>
      </c>
      <c r="G102" t="n">
        <v>87.15000000000001</v>
      </c>
      <c r="H102" t="n">
        <v>-416</v>
      </c>
    </row>
    <row r="103">
      <c r="A103" t="inlineStr">
        <is>
          <t>FY2025-26</t>
        </is>
      </c>
      <c r="B103" s="2" t="n">
        <v>46070</v>
      </c>
      <c r="C103" t="inlineStr">
        <is>
          <t>SIE(DE0007236101) Cash Dividend EUR 5.35 per Share - DE Tax</t>
        </is>
      </c>
      <c r="D103" t="inlineStr">
        <is>
          <t>EUR</t>
        </is>
      </c>
      <c r="E103" t="n">
        <v>-9.880000000000001</v>
      </c>
      <c r="F103" t="n">
        <v>-11.605</v>
      </c>
      <c r="G103" t="n">
        <v>91.34999999999999</v>
      </c>
      <c r="H103" t="n">
        <v>-1060</v>
      </c>
    </row>
    <row r="104">
      <c r="A104" t="inlineStr">
        <is>
          <t>FY2025-26</t>
        </is>
      </c>
      <c r="B104" s="2" t="n">
        <v>45832</v>
      </c>
      <c r="C104" t="inlineStr">
        <is>
          <t>4568.T(JP3475350009) Cash Dividend JPY 30 per Share - JP Tax</t>
        </is>
      </c>
      <c r="D104" t="inlineStr">
        <is>
          <t>JPY</t>
        </is>
      </c>
      <c r="E104" t="n">
        <v>-459</v>
      </c>
      <c r="F104" t="n">
        <v>-2.9297</v>
      </c>
      <c r="G104" t="n">
        <v>85.09999999999999</v>
      </c>
      <c r="H104" t="n">
        <v>-249</v>
      </c>
    </row>
    <row r="105">
      <c r="A105" t="inlineStr">
        <is>
          <t>FY2025-26</t>
        </is>
      </c>
      <c r="B105" s="2" t="n">
        <v>45901</v>
      </c>
      <c r="C105" t="inlineStr">
        <is>
          <t>2914.T(JP3726800000) Cash Dividend JPY 104 per Share - JP Tax</t>
        </is>
      </c>
      <c r="D105" t="inlineStr">
        <is>
          <t>JPY</t>
        </is>
      </c>
      <c r="E105" t="n">
        <v>-1593</v>
      </c>
      <c r="F105" t="n">
        <v>-10.1676</v>
      </c>
      <c r="G105" t="n">
        <v>87.7</v>
      </c>
      <c r="H105" t="n">
        <v>-892</v>
      </c>
    </row>
    <row r="106">
      <c r="A106" t="inlineStr">
        <is>
          <t>FY2025-26</t>
        </is>
      </c>
      <c r="B106" s="2" t="n">
        <v>45987</v>
      </c>
      <c r="C106" t="inlineStr">
        <is>
          <t>7203.T(JP3633400001) Cash Dividend JPY 45 per Share - JP Tax</t>
        </is>
      </c>
      <c r="D106" t="inlineStr">
        <is>
          <t>JPY</t>
        </is>
      </c>
      <c r="E106" t="n">
        <v>-689</v>
      </c>
      <c r="F106" t="n">
        <v>-4.3977</v>
      </c>
      <c r="G106" t="n">
        <v>88.2</v>
      </c>
      <c r="H106" t="n">
        <v>-388</v>
      </c>
    </row>
    <row r="107">
      <c r="A107" t="inlineStr">
        <is>
          <t>FY2025-26</t>
        </is>
      </c>
      <c r="B107" s="2" t="n">
        <v>46001</v>
      </c>
      <c r="C107" t="inlineStr">
        <is>
          <t>4568.T(JP3475350009) Cash Dividend JPY 39 per Share - JP Tax</t>
        </is>
      </c>
      <c r="D107" t="inlineStr">
        <is>
          <t>JPY</t>
        </is>
      </c>
      <c r="E107" t="n">
        <v>-1195</v>
      </c>
      <c r="F107" t="n">
        <v>-7.6273</v>
      </c>
      <c r="G107" t="n">
        <v>88.95</v>
      </c>
      <c r="H107" t="n">
        <v>-678</v>
      </c>
    </row>
    <row r="108">
      <c r="A108" t="inlineStr">
        <is>
          <t>FY2025-26</t>
        </is>
      </c>
      <c r="B108" s="2" t="n">
        <v>46107</v>
      </c>
      <c r="C108" t="inlineStr">
        <is>
          <t>2914.T(JP3726800000) Cash Dividend JPY 130 per Share - JP Tax</t>
        </is>
      </c>
      <c r="D108" t="inlineStr">
        <is>
          <t>JPY</t>
        </is>
      </c>
      <c r="E108" t="n">
        <v>-1991</v>
      </c>
      <c r="F108" t="n">
        <v>-12.708</v>
      </c>
      <c r="G108" t="n">
        <v>90.56</v>
      </c>
      <c r="H108" t="n">
        <v>-1151</v>
      </c>
    </row>
    <row r="109">
      <c r="A109" t="inlineStr">
        <is>
          <t>FY2025-26</t>
        </is>
      </c>
      <c r="B109" s="2" t="n">
        <v>45751</v>
      </c>
      <c r="C109" t="inlineStr">
        <is>
          <t>TIP(US4642871762) Cash Dividend USD 0.70918 per Share - US Tax</t>
        </is>
      </c>
      <c r="D109" t="inlineStr">
        <is>
          <t>USD</t>
        </is>
      </c>
      <c r="E109" t="n">
        <v>-6.92</v>
      </c>
      <c r="F109" t="n">
        <v>-6.92</v>
      </c>
      <c r="G109" t="n">
        <v>85.09999999999999</v>
      </c>
      <c r="H109" t="n">
        <v>-589</v>
      </c>
    </row>
    <row r="110">
      <c r="A110" t="inlineStr">
        <is>
          <t>FY2025-26</t>
        </is>
      </c>
      <c r="B110" s="2" t="n">
        <v>45751</v>
      </c>
      <c r="C110" t="inlineStr">
        <is>
          <t>TIP(US4642871762) Cash Dividend USD 0.70918 per Share - US Tax</t>
        </is>
      </c>
      <c r="D110" t="inlineStr">
        <is>
          <t>USD</t>
        </is>
      </c>
      <c r="E110" t="n">
        <v>6.92</v>
      </c>
      <c r="F110" t="n">
        <v>6.92</v>
      </c>
      <c r="G110" t="n">
        <v>85.09999999999999</v>
      </c>
      <c r="H110" t="n">
        <v>589</v>
      </c>
    </row>
    <row r="111">
      <c r="A111" t="inlineStr">
        <is>
          <t>FY2025-26</t>
        </is>
      </c>
      <c r="B111" s="2" t="n">
        <v>45756</v>
      </c>
      <c r="C111" t="inlineStr">
        <is>
          <t>LRCX(US5128073062) Cash Dividend USD 0.23 per Share - US Tax</t>
        </is>
      </c>
      <c r="D111" t="inlineStr">
        <is>
          <t>USD</t>
        </is>
      </c>
      <c r="E111" t="n">
        <v>-1.73</v>
      </c>
      <c r="F111" t="n">
        <v>-1.73</v>
      </c>
      <c r="G111" t="n">
        <v>85.09999999999999</v>
      </c>
      <c r="H111" t="n">
        <v>-147</v>
      </c>
    </row>
    <row r="112">
      <c r="A112" t="inlineStr">
        <is>
          <t>FY2025-26</t>
        </is>
      </c>
      <c r="B112" s="2" t="n">
        <v>45757</v>
      </c>
      <c r="C112" t="inlineStr">
        <is>
          <t>TSM(US8740391003) Cash Dividend USD 0.677693 per Share - TW Tax</t>
        </is>
      </c>
      <c r="D112" t="inlineStr">
        <is>
          <t>USD</t>
        </is>
      </c>
      <c r="E112" t="n">
        <v>-1.99</v>
      </c>
      <c r="F112" t="n">
        <v>-1.99</v>
      </c>
      <c r="G112" t="n">
        <v>85.09999999999999</v>
      </c>
      <c r="H112" t="n">
        <v>-169</v>
      </c>
    </row>
    <row r="113">
      <c r="A113" t="inlineStr">
        <is>
          <t>FY2025-26</t>
        </is>
      </c>
      <c r="B113" s="2" t="n">
        <v>45772</v>
      </c>
      <c r="C113" t="inlineStr">
        <is>
          <t>GE(US3696043013) Cash Dividend USD 0.36 per Share - US Tax</t>
        </is>
      </c>
      <c r="D113" t="inlineStr">
        <is>
          <t>USD</t>
        </is>
      </c>
      <c r="E113" t="n">
        <v>-0.63</v>
      </c>
      <c r="F113" t="n">
        <v>-0.63</v>
      </c>
      <c r="G113" t="n">
        <v>85.09999999999999</v>
      </c>
      <c r="H113" t="n">
        <v>-54</v>
      </c>
    </row>
    <row r="114">
      <c r="A114" t="inlineStr">
        <is>
          <t>FY2025-26</t>
        </is>
      </c>
      <c r="B114" s="2" t="n">
        <v>45782</v>
      </c>
      <c r="C114" t="inlineStr">
        <is>
          <t>BX(US09260D1072) Cash Dividend USD 0.93 per Share - US Tax</t>
        </is>
      </c>
      <c r="D114" t="inlineStr">
        <is>
          <t>USD</t>
        </is>
      </c>
      <c r="E114" t="n">
        <v>-9.77</v>
      </c>
      <c r="F114" t="n">
        <v>-9.77</v>
      </c>
      <c r="G114" t="n">
        <v>84.25</v>
      </c>
      <c r="H114" t="n">
        <v>-823</v>
      </c>
    </row>
    <row r="115">
      <c r="A115" t="inlineStr">
        <is>
          <t>FY2025-26</t>
        </is>
      </c>
      <c r="B115" s="2" t="n">
        <v>45782</v>
      </c>
      <c r="C115" t="inlineStr">
        <is>
          <t>BX(US09260D1072) Cash Dividend USD 0.93 per Share - US Tax</t>
        </is>
      </c>
      <c r="D115" t="inlineStr">
        <is>
          <t>USD</t>
        </is>
      </c>
      <c r="E115" t="n">
        <v>9.77</v>
      </c>
      <c r="F115" t="n">
        <v>9.77</v>
      </c>
      <c r="G115" t="n">
        <v>84.25</v>
      </c>
      <c r="H115" t="n">
        <v>823</v>
      </c>
    </row>
    <row r="116">
      <c r="A116" t="inlineStr">
        <is>
          <t>FY2025-26</t>
        </is>
      </c>
      <c r="B116" s="2" t="n">
        <v>45782</v>
      </c>
      <c r="C116" t="inlineStr">
        <is>
          <t>BX(US09260D1072) Cash Dividend USD 0.93 per Share - US Tax</t>
        </is>
      </c>
      <c r="D116" t="inlineStr">
        <is>
          <t>USD</t>
        </is>
      </c>
      <c r="E116" t="n">
        <v>-4.91</v>
      </c>
      <c r="F116" t="n">
        <v>-4.91</v>
      </c>
      <c r="G116" t="n">
        <v>84.25</v>
      </c>
      <c r="H116" t="n">
        <v>-414</v>
      </c>
    </row>
    <row r="117">
      <c r="A117" t="inlineStr">
        <is>
          <t>FY2025-26</t>
        </is>
      </c>
      <c r="B117" s="2" t="n">
        <v>45783</v>
      </c>
      <c r="C117" t="inlineStr">
        <is>
          <t>ASML(USN070592100) Cash Dividend USD 2.090608 per Share - NL Tax</t>
        </is>
      </c>
      <c r="D117" t="inlineStr">
        <is>
          <t>USD</t>
        </is>
      </c>
      <c r="E117" t="n">
        <v>-1.88</v>
      </c>
      <c r="F117" t="n">
        <v>-1.88</v>
      </c>
      <c r="G117" t="n">
        <v>84.25</v>
      </c>
      <c r="H117" t="n">
        <v>-158</v>
      </c>
    </row>
    <row r="118">
      <c r="A118" t="inlineStr">
        <is>
          <t>FY2025-26</t>
        </is>
      </c>
      <c r="B118" s="2" t="n">
        <v>45783</v>
      </c>
      <c r="C118" t="inlineStr">
        <is>
          <t>TIP(US4642871762) Cash Dividend USD 0.534953 per Share - US Tax</t>
        </is>
      </c>
      <c r="D118" t="inlineStr">
        <is>
          <t>USD</t>
        </is>
      </c>
      <c r="E118" t="n">
        <v>-5.22</v>
      </c>
      <c r="F118" t="n">
        <v>-5.22</v>
      </c>
      <c r="G118" t="n">
        <v>84.25</v>
      </c>
      <c r="H118" t="n">
        <v>-440</v>
      </c>
    </row>
    <row r="119">
      <c r="A119" t="inlineStr">
        <is>
          <t>FY2025-26</t>
        </is>
      </c>
      <c r="B119" s="2" t="n">
        <v>45783</v>
      </c>
      <c r="C119" t="inlineStr">
        <is>
          <t>TIP(US4642871762) Cash Dividend USD 0.534953 per Share - US Tax</t>
        </is>
      </c>
      <c r="D119" t="inlineStr">
        <is>
          <t>USD</t>
        </is>
      </c>
      <c r="E119" t="n">
        <v>5.22</v>
      </c>
      <c r="F119" t="n">
        <v>5.22</v>
      </c>
      <c r="G119" t="n">
        <v>84.25</v>
      </c>
      <c r="H119" t="n">
        <v>440</v>
      </c>
    </row>
    <row r="120">
      <c r="A120" t="inlineStr">
        <is>
          <t>FY2025-26</t>
        </is>
      </c>
      <c r="B120" s="2" t="n">
        <v>45786</v>
      </c>
      <c r="C120" t="inlineStr">
        <is>
          <t>AXP(US0258161092) Cash Dividend USD 0.82 per Share - US Tax</t>
        </is>
      </c>
      <c r="D120" t="inlineStr">
        <is>
          <t>USD</t>
        </is>
      </c>
      <c r="E120" t="n">
        <v>-0.62</v>
      </c>
      <c r="F120" t="n">
        <v>-0.62</v>
      </c>
      <c r="G120" t="n">
        <v>84.25</v>
      </c>
      <c r="H120" t="n">
        <v>-52</v>
      </c>
    </row>
    <row r="121">
      <c r="A121" t="inlineStr">
        <is>
          <t>FY2025-26</t>
        </is>
      </c>
      <c r="B121" s="2" t="n">
        <v>45797</v>
      </c>
      <c r="C121" t="inlineStr">
        <is>
          <t>CAT(US1491231015) Cash Dividend USD 1.41 per Share - US Tax</t>
        </is>
      </c>
      <c r="D121" t="inlineStr">
        <is>
          <t>USD</t>
        </is>
      </c>
      <c r="E121" t="n">
        <v>-1.06</v>
      </c>
      <c r="F121" t="n">
        <v>-1.06</v>
      </c>
      <c r="G121" t="n">
        <v>84.25</v>
      </c>
      <c r="H121" t="n">
        <v>-89</v>
      </c>
    </row>
    <row r="122">
      <c r="A122" t="inlineStr">
        <is>
          <t>FY2025-26</t>
        </is>
      </c>
      <c r="B122" s="2" t="n">
        <v>45810</v>
      </c>
      <c r="C122" t="inlineStr">
        <is>
          <t>TGT(US87612E1064) Cash Dividend USD 1.12 per Share - US Tax</t>
        </is>
      </c>
      <c r="D122" t="inlineStr">
        <is>
          <t>USD</t>
        </is>
      </c>
      <c r="E122" t="n">
        <v>-2.52</v>
      </c>
      <c r="F122" t="n">
        <v>-2.52</v>
      </c>
      <c r="G122" t="n">
        <v>85.09999999999999</v>
      </c>
      <c r="H122" t="n">
        <v>-214</v>
      </c>
    </row>
    <row r="123">
      <c r="A123" t="inlineStr">
        <is>
          <t>FY2025-26</t>
        </is>
      </c>
      <c r="B123" s="2" t="n">
        <v>45813</v>
      </c>
      <c r="C123" t="inlineStr">
        <is>
          <t>TIP(US4642871762) Cash Dividend USD 0.273105 per Share - US Tax</t>
        </is>
      </c>
      <c r="D123" t="inlineStr">
        <is>
          <t>USD</t>
        </is>
      </c>
      <c r="E123" t="n">
        <v>-2.66</v>
      </c>
      <c r="F123" t="n">
        <v>-2.66</v>
      </c>
      <c r="G123" t="n">
        <v>85.09999999999999</v>
      </c>
      <c r="H123" t="n">
        <v>-226</v>
      </c>
    </row>
    <row r="124">
      <c r="A124" t="inlineStr">
        <is>
          <t>FY2025-26</t>
        </is>
      </c>
      <c r="B124" s="2" t="n">
        <v>45813</v>
      </c>
      <c r="C124" t="inlineStr">
        <is>
          <t>TIP(US4642871762) Cash Dividend USD 0.273105 per Share - US Tax</t>
        </is>
      </c>
      <c r="D124" t="inlineStr">
        <is>
          <t>USD</t>
        </is>
      </c>
      <c r="E124" t="n">
        <v>2.66</v>
      </c>
      <c r="F124" t="n">
        <v>2.66</v>
      </c>
      <c r="G124" t="n">
        <v>85.09999999999999</v>
      </c>
      <c r="H124" t="n">
        <v>226</v>
      </c>
    </row>
    <row r="125">
      <c r="A125" t="inlineStr">
        <is>
          <t>FY2025-26</t>
        </is>
      </c>
      <c r="B125" s="2" t="n">
        <v>45818</v>
      </c>
      <c r="C125" t="inlineStr">
        <is>
          <t>LLY(US5324571083) Cash Dividend USD 1.50 per Share - US Tax</t>
        </is>
      </c>
      <c r="D125" t="inlineStr">
        <is>
          <t>USD</t>
        </is>
      </c>
      <c r="E125" t="n">
        <v>-1.13</v>
      </c>
      <c r="F125" t="n">
        <v>-1.13</v>
      </c>
      <c r="G125" t="n">
        <v>85.09999999999999</v>
      </c>
      <c r="H125" t="n">
        <v>-96</v>
      </c>
    </row>
    <row r="126">
      <c r="A126" t="inlineStr">
        <is>
          <t>FY2025-26</t>
        </is>
      </c>
      <c r="B126" s="2" t="n">
        <v>45820</v>
      </c>
      <c r="C126" t="inlineStr">
        <is>
          <t>MSFT(US5949181045) Cash Dividend USD 0.83 per Share - US Tax</t>
        </is>
      </c>
      <c r="D126" t="inlineStr">
        <is>
          <t>USD</t>
        </is>
      </c>
      <c r="E126" t="n">
        <v>-0.62</v>
      </c>
      <c r="F126" t="n">
        <v>-0.62</v>
      </c>
      <c r="G126" t="n">
        <v>85.09999999999999</v>
      </c>
      <c r="H126" t="n">
        <v>-53</v>
      </c>
    </row>
    <row r="127">
      <c r="A127" t="inlineStr">
        <is>
          <t>FY2025-26</t>
        </is>
      </c>
      <c r="B127" s="2" t="n">
        <v>45828</v>
      </c>
      <c r="C127" t="inlineStr">
        <is>
          <t>EMXC(US46434G7640) Cash Dividend USD 0.711404 per Share - US Tax</t>
        </is>
      </c>
      <c r="D127" t="inlineStr">
        <is>
          <t>USD</t>
        </is>
      </c>
      <c r="E127" t="n">
        <v>-13.34</v>
      </c>
      <c r="F127" t="n">
        <v>-13.34</v>
      </c>
      <c r="G127" t="n">
        <v>85.09999999999999</v>
      </c>
      <c r="H127" t="n">
        <v>-1135</v>
      </c>
    </row>
    <row r="128">
      <c r="A128" t="inlineStr">
        <is>
          <t>FY2025-26</t>
        </is>
      </c>
      <c r="B128" s="2" t="n">
        <v>45828</v>
      </c>
      <c r="C128" t="inlineStr">
        <is>
          <t>EMXC(US46434G7640) Cash Dividend USD 0.711404 per Share - US Tax</t>
        </is>
      </c>
      <c r="D128" t="inlineStr">
        <is>
          <t>USD</t>
        </is>
      </c>
      <c r="E128" t="n">
        <v>13.34</v>
      </c>
      <c r="F128" t="n">
        <v>13.34</v>
      </c>
      <c r="G128" t="n">
        <v>85.09999999999999</v>
      </c>
      <c r="H128" t="n">
        <v>1135</v>
      </c>
    </row>
    <row r="129">
      <c r="A129" t="inlineStr">
        <is>
          <t>FY2025-26</t>
        </is>
      </c>
      <c r="B129" s="2" t="n">
        <v>45828</v>
      </c>
      <c r="C129" t="inlineStr">
        <is>
          <t>EMXC(US46434G7640) Cash Dividend USD 0.711404 per Share - US Tax</t>
        </is>
      </c>
      <c r="D129" t="inlineStr">
        <is>
          <t>USD</t>
        </is>
      </c>
      <c r="E129" t="n">
        <v>-13.21</v>
      </c>
      <c r="F129" t="n">
        <v>-13.21</v>
      </c>
      <c r="G129" t="n">
        <v>85.09999999999999</v>
      </c>
      <c r="H129" t="n">
        <v>-1124</v>
      </c>
    </row>
    <row r="130">
      <c r="A130" t="inlineStr">
        <is>
          <t>FY2025-26</t>
        </is>
      </c>
      <c r="B130" s="2" t="n">
        <v>45835</v>
      </c>
      <c r="C130" t="inlineStr">
        <is>
          <t>BAC(US0605051046) Cash Dividend USD 0.26 per Share - US Tax</t>
        </is>
      </c>
      <c r="D130" t="inlineStr">
        <is>
          <t>USD</t>
        </is>
      </c>
      <c r="E130" t="n">
        <v>-10.53</v>
      </c>
      <c r="F130" t="n">
        <v>-10.53</v>
      </c>
      <c r="G130" t="n">
        <v>85.09999999999999</v>
      </c>
      <c r="H130" t="n">
        <v>-896</v>
      </c>
    </row>
    <row r="131">
      <c r="A131" t="inlineStr">
        <is>
          <t>FY2025-26</t>
        </is>
      </c>
      <c r="B131" s="2" t="n">
        <v>45835</v>
      </c>
      <c r="C131" t="inlineStr">
        <is>
          <t>DXJ(US97717W8516) Cash Dividend USD 1.34 per Share - US Tax</t>
        </is>
      </c>
      <c r="D131" t="inlineStr">
        <is>
          <t>USD</t>
        </is>
      </c>
      <c r="E131" t="n">
        <v>-8.039999999999999</v>
      </c>
      <c r="F131" t="n">
        <v>-8.039999999999999</v>
      </c>
      <c r="G131" t="n">
        <v>85.09999999999999</v>
      </c>
      <c r="H131" t="n">
        <v>-684</v>
      </c>
    </row>
    <row r="132">
      <c r="A132" t="inlineStr">
        <is>
          <t>FY2025-26</t>
        </is>
      </c>
      <c r="B132" s="2" t="n">
        <v>45838</v>
      </c>
      <c r="C132" t="inlineStr">
        <is>
          <t>AVGO(US11135F1012) Cash Dividend USD 0.59 per Share - US Tax</t>
        </is>
      </c>
      <c r="D132" t="inlineStr">
        <is>
          <t>USD</t>
        </is>
      </c>
      <c r="E132" t="n">
        <v>-1.33</v>
      </c>
      <c r="F132" t="n">
        <v>-1.33</v>
      </c>
      <c r="G132" t="n">
        <v>85.09999999999999</v>
      </c>
      <c r="H132" t="n">
        <v>-113</v>
      </c>
    </row>
    <row r="133">
      <c r="A133" t="inlineStr">
        <is>
          <t>FY2025-26</t>
        </is>
      </c>
      <c r="B133" s="2" t="n">
        <v>45845</v>
      </c>
      <c r="C133" t="inlineStr">
        <is>
          <t>TIP(US4642871762) Cash Dividend USD 0.379923 per Share - US Tax</t>
        </is>
      </c>
      <c r="D133" t="inlineStr">
        <is>
          <t>USD</t>
        </is>
      </c>
      <c r="E133" t="n">
        <v>-3.71</v>
      </c>
      <c r="F133" t="n">
        <v>-3.71</v>
      </c>
      <c r="G133" t="n">
        <v>85.09999999999999</v>
      </c>
      <c r="H133" t="n">
        <v>-316</v>
      </c>
    </row>
    <row r="134">
      <c r="A134" t="inlineStr">
        <is>
          <t>FY2025-26</t>
        </is>
      </c>
      <c r="B134" s="2" t="n">
        <v>45845</v>
      </c>
      <c r="C134" t="inlineStr">
        <is>
          <t>TIP(US4642871762) Cash Dividend USD 0.379923 per Share - US Tax</t>
        </is>
      </c>
      <c r="D134" t="inlineStr">
        <is>
          <t>USD</t>
        </is>
      </c>
      <c r="E134" t="n">
        <v>3.71</v>
      </c>
      <c r="F134" t="n">
        <v>3.71</v>
      </c>
      <c r="G134" t="n">
        <v>85.09999999999999</v>
      </c>
      <c r="H134" t="n">
        <v>316</v>
      </c>
    </row>
    <row r="135">
      <c r="A135" t="inlineStr">
        <is>
          <t>FY2025-26</t>
        </is>
      </c>
      <c r="B135" s="2" t="n">
        <v>45847</v>
      </c>
      <c r="C135" t="inlineStr">
        <is>
          <t>LRCX(US5128073062) Cash Dividend USD 0.23 per Share - US Tax</t>
        </is>
      </c>
      <c r="D135" t="inlineStr">
        <is>
          <t>USD</t>
        </is>
      </c>
      <c r="E135" t="n">
        <v>-1.73</v>
      </c>
      <c r="F135" t="n">
        <v>-1.73</v>
      </c>
      <c r="G135" t="n">
        <v>85.09999999999999</v>
      </c>
      <c r="H135" t="n">
        <v>-147</v>
      </c>
    </row>
    <row r="136">
      <c r="A136" t="inlineStr">
        <is>
          <t>FY2025-26</t>
        </is>
      </c>
      <c r="B136" s="2" t="n">
        <v>45848</v>
      </c>
      <c r="C136" t="inlineStr">
        <is>
          <t>TSM(US8740391003) Cash Dividend USD 0.780305 per Share - TW Tax</t>
        </is>
      </c>
      <c r="D136" t="inlineStr">
        <is>
          <t>USD</t>
        </is>
      </c>
      <c r="E136" t="n">
        <v>-7.37</v>
      </c>
      <c r="F136" t="n">
        <v>-7.37</v>
      </c>
      <c r="G136" t="n">
        <v>85.09999999999999</v>
      </c>
      <c r="H136" t="n">
        <v>-627</v>
      </c>
    </row>
    <row r="137">
      <c r="A137" t="inlineStr">
        <is>
          <t>FY2025-26</t>
        </is>
      </c>
      <c r="B137" s="2" t="n">
        <v>45863</v>
      </c>
      <c r="C137" t="inlineStr">
        <is>
          <t>GE(US3696043013) Cash Dividend USD 0.36 per Share - US Tax</t>
        </is>
      </c>
      <c r="D137" t="inlineStr">
        <is>
          <t>USD</t>
        </is>
      </c>
      <c r="E137" t="n">
        <v>-0.63</v>
      </c>
      <c r="F137" t="n">
        <v>-0.63</v>
      </c>
      <c r="G137" t="n">
        <v>85.09999999999999</v>
      </c>
      <c r="H137" t="n">
        <v>-54</v>
      </c>
    </row>
    <row r="138">
      <c r="A138" t="inlineStr">
        <is>
          <t>FY2025-26</t>
        </is>
      </c>
      <c r="B138" s="2" t="n">
        <v>45875</v>
      </c>
      <c r="C138" t="inlineStr">
        <is>
          <t>ASML(USN070592100) Cash Dividend USD 1.846784 per Share - NL Tax</t>
        </is>
      </c>
      <c r="D138" t="inlineStr">
        <is>
          <t>USD</t>
        </is>
      </c>
      <c r="E138" t="n">
        <v>-1.66</v>
      </c>
      <c r="F138" t="n">
        <v>-1.66</v>
      </c>
      <c r="G138" t="n">
        <v>87.15000000000001</v>
      </c>
      <c r="H138" t="n">
        <v>-145</v>
      </c>
    </row>
    <row r="139">
      <c r="A139" t="inlineStr">
        <is>
          <t>FY2025-26</t>
        </is>
      </c>
      <c r="B139" s="2" t="n">
        <v>45875</v>
      </c>
      <c r="C139" t="inlineStr">
        <is>
          <t>TIP(US4642871762) Cash Dividend USD 0.264488 per Share - US Tax</t>
        </is>
      </c>
      <c r="D139" t="inlineStr">
        <is>
          <t>USD</t>
        </is>
      </c>
      <c r="E139" t="n">
        <v>-2.58</v>
      </c>
      <c r="F139" t="n">
        <v>-2.58</v>
      </c>
      <c r="G139" t="n">
        <v>87.15000000000001</v>
      </c>
      <c r="H139" t="n">
        <v>-225</v>
      </c>
    </row>
    <row r="140">
      <c r="A140" t="inlineStr">
        <is>
          <t>FY2025-26</t>
        </is>
      </c>
      <c r="B140" s="2" t="n">
        <v>45875</v>
      </c>
      <c r="C140" t="inlineStr">
        <is>
          <t>TIP(US4642871762) Cash Dividend USD 0.264488 per Share - US Tax</t>
        </is>
      </c>
      <c r="D140" t="inlineStr">
        <is>
          <t>USD</t>
        </is>
      </c>
      <c r="E140" t="n">
        <v>2.58</v>
      </c>
      <c r="F140" t="n">
        <v>2.58</v>
      </c>
      <c r="G140" t="n">
        <v>87.15000000000001</v>
      </c>
      <c r="H140" t="n">
        <v>225</v>
      </c>
    </row>
    <row r="141">
      <c r="A141" t="inlineStr">
        <is>
          <t>FY2025-26</t>
        </is>
      </c>
      <c r="B141" s="2" t="n">
        <v>45877</v>
      </c>
      <c r="C141" t="inlineStr">
        <is>
          <t>AXP(US0258161092) Cash Dividend USD 0.82 per Share - US Tax</t>
        </is>
      </c>
      <c r="D141" t="inlineStr">
        <is>
          <t>USD</t>
        </is>
      </c>
      <c r="E141" t="n">
        <v>-0.62</v>
      </c>
      <c r="F141" t="n">
        <v>-0.62</v>
      </c>
      <c r="G141" t="n">
        <v>87.15000000000001</v>
      </c>
      <c r="H141" t="n">
        <v>-54</v>
      </c>
    </row>
    <row r="142">
      <c r="A142" t="inlineStr">
        <is>
          <t>FY2025-26</t>
        </is>
      </c>
      <c r="B142" s="2" t="n">
        <v>45880</v>
      </c>
      <c r="C142" t="inlineStr">
        <is>
          <t>BX(US09260D1072) Cash Dividend USD 1.03 per Share - US Tax</t>
        </is>
      </c>
      <c r="D142" t="inlineStr">
        <is>
          <t>USD</t>
        </is>
      </c>
      <c r="E142" t="n">
        <v>-10.82</v>
      </c>
      <c r="F142" t="n">
        <v>-10.82</v>
      </c>
      <c r="G142" t="n">
        <v>87.15000000000001</v>
      </c>
      <c r="H142" t="n">
        <v>-943</v>
      </c>
    </row>
    <row r="143">
      <c r="A143" t="inlineStr">
        <is>
          <t>FY2025-26</t>
        </is>
      </c>
      <c r="B143" s="2" t="n">
        <v>45880</v>
      </c>
      <c r="C143" t="inlineStr">
        <is>
          <t>BX(US09260D1072) Cash Dividend USD 1.03 per Share - US Tax</t>
        </is>
      </c>
      <c r="D143" t="inlineStr">
        <is>
          <t>USD</t>
        </is>
      </c>
      <c r="E143" t="n">
        <v>10.82</v>
      </c>
      <c r="F143" t="n">
        <v>10.82</v>
      </c>
      <c r="G143" t="n">
        <v>87.15000000000001</v>
      </c>
      <c r="H143" t="n">
        <v>943</v>
      </c>
    </row>
    <row r="144">
      <c r="A144" t="inlineStr">
        <is>
          <t>FY2025-26</t>
        </is>
      </c>
      <c r="B144" s="2" t="n">
        <v>45880</v>
      </c>
      <c r="C144" t="inlineStr">
        <is>
          <t>BX(US09260D1072) Cash Dividend USD 1.03 per Share - US Tax</t>
        </is>
      </c>
      <c r="D144" t="inlineStr">
        <is>
          <t>USD</t>
        </is>
      </c>
      <c r="E144" t="n">
        <v>-5.44</v>
      </c>
      <c r="F144" t="n">
        <v>-5.44</v>
      </c>
      <c r="G144" t="n">
        <v>87.15000000000001</v>
      </c>
      <c r="H144" t="n">
        <v>-474</v>
      </c>
    </row>
    <row r="145">
      <c r="A145" t="inlineStr">
        <is>
          <t>FY2025-26</t>
        </is>
      </c>
      <c r="B145" s="2" t="n">
        <v>45889</v>
      </c>
      <c r="C145" t="inlineStr">
        <is>
          <t>CAT(US1491231015) Cash Dividend USD 1.51 per Share - US Tax</t>
        </is>
      </c>
      <c r="D145" t="inlineStr">
        <is>
          <t>USD</t>
        </is>
      </c>
      <c r="E145" t="n">
        <v>-1.13</v>
      </c>
      <c r="F145" t="n">
        <v>-1.13</v>
      </c>
      <c r="G145" t="n">
        <v>87.15000000000001</v>
      </c>
      <c r="H145" t="n">
        <v>-98</v>
      </c>
    </row>
    <row r="146">
      <c r="A146" t="inlineStr">
        <is>
          <t>FY2025-26</t>
        </is>
      </c>
      <c r="B146" s="2" t="n">
        <v>45902</v>
      </c>
      <c r="C146" t="inlineStr">
        <is>
          <t>TGT(US87612E1064) Cash Dividend USD 1.14 per Share - US Tax</t>
        </is>
      </c>
      <c r="D146" t="inlineStr">
        <is>
          <t>USD</t>
        </is>
      </c>
      <c r="E146" t="n">
        <v>-2.57</v>
      </c>
      <c r="F146" t="n">
        <v>-2.57</v>
      </c>
      <c r="G146" t="n">
        <v>87.7</v>
      </c>
      <c r="H146" t="n">
        <v>-225</v>
      </c>
    </row>
    <row r="147">
      <c r="A147" t="inlineStr">
        <is>
          <t>FY2025-26</t>
        </is>
      </c>
      <c r="B147" s="2" t="n">
        <v>45905</v>
      </c>
      <c r="C147" t="inlineStr">
        <is>
          <t>TIP(US4642871762) Cash Dividend USD 0.417238 per Share - US Tax</t>
        </is>
      </c>
      <c r="D147" t="inlineStr">
        <is>
          <t>USD</t>
        </is>
      </c>
      <c r="E147" t="n">
        <v>-4.07</v>
      </c>
      <c r="F147" t="n">
        <v>-4.07</v>
      </c>
      <c r="G147" t="n">
        <v>87.7</v>
      </c>
      <c r="H147" t="n">
        <v>-357</v>
      </c>
    </row>
    <row r="148">
      <c r="A148" t="inlineStr">
        <is>
          <t>FY2025-26</t>
        </is>
      </c>
      <c r="B148" s="2" t="n">
        <v>45905</v>
      </c>
      <c r="C148" t="inlineStr">
        <is>
          <t>TIP(US4642871762) Cash Dividend USD 0.417238 per Share - US Tax</t>
        </is>
      </c>
      <c r="D148" t="inlineStr">
        <is>
          <t>USD</t>
        </is>
      </c>
      <c r="E148" t="n">
        <v>4.07</v>
      </c>
      <c r="F148" t="n">
        <v>4.07</v>
      </c>
      <c r="G148" t="n">
        <v>87.7</v>
      </c>
      <c r="H148" t="n">
        <v>357</v>
      </c>
    </row>
    <row r="149">
      <c r="A149" t="inlineStr">
        <is>
          <t>FY2025-26</t>
        </is>
      </c>
      <c r="B149" s="2" t="n">
        <v>45910</v>
      </c>
      <c r="C149" t="inlineStr">
        <is>
          <t>LLY(US5324571083) Cash Dividend USD 1.50 per Share - US Tax</t>
        </is>
      </c>
      <c r="D149" t="inlineStr">
        <is>
          <t>USD</t>
        </is>
      </c>
      <c r="E149" t="n">
        <v>-1.13</v>
      </c>
      <c r="F149" t="n">
        <v>-1.13</v>
      </c>
      <c r="G149" t="n">
        <v>87.7</v>
      </c>
      <c r="H149" t="n">
        <v>-99</v>
      </c>
    </row>
    <row r="150">
      <c r="A150" t="inlineStr">
        <is>
          <t>FY2025-26</t>
        </is>
      </c>
      <c r="B150" s="2" t="n">
        <v>45911</v>
      </c>
      <c r="C150" t="inlineStr">
        <is>
          <t>MSFT(US5949181045) Cash Dividend USD 0.83 per Share - US Tax</t>
        </is>
      </c>
      <c r="D150" t="inlineStr">
        <is>
          <t>USD</t>
        </is>
      </c>
      <c r="E150" t="n">
        <v>-0.62</v>
      </c>
      <c r="F150" t="n">
        <v>-0.62</v>
      </c>
      <c r="G150" t="n">
        <v>87.7</v>
      </c>
      <c r="H150" t="n">
        <v>-54</v>
      </c>
    </row>
    <row r="151">
      <c r="A151" t="inlineStr">
        <is>
          <t>FY2025-26</t>
        </is>
      </c>
      <c r="B151" s="2" t="n">
        <v>45926</v>
      </c>
      <c r="C151" t="inlineStr">
        <is>
          <t>BAC(US0605051046) Cash Dividend USD 0.28 per Share - US Tax</t>
        </is>
      </c>
      <c r="D151" t="inlineStr">
        <is>
          <t>USD</t>
        </is>
      </c>
      <c r="E151" t="n">
        <v>-11.34</v>
      </c>
      <c r="F151" t="n">
        <v>-11.34</v>
      </c>
      <c r="G151" t="n">
        <v>87.7</v>
      </c>
      <c r="H151" t="n">
        <v>-995</v>
      </c>
    </row>
    <row r="152">
      <c r="A152" t="inlineStr">
        <is>
          <t>FY2025-26</t>
        </is>
      </c>
      <c r="B152" s="2" t="n">
        <v>45929</v>
      </c>
      <c r="C152" t="inlineStr">
        <is>
          <t>DXJ(US97717W8516) Payment in Lieu of Dividend - US Tax</t>
        </is>
      </c>
      <c r="D152" t="inlineStr">
        <is>
          <t>USD</t>
        </is>
      </c>
      <c r="E152" t="n">
        <v>-0.84</v>
      </c>
      <c r="F152" t="n">
        <v>-0.84</v>
      </c>
      <c r="G152" t="n">
        <v>87.7</v>
      </c>
      <c r="H152" t="n">
        <v>-74</v>
      </c>
    </row>
    <row r="153">
      <c r="A153" t="inlineStr">
        <is>
          <t>FY2025-26</t>
        </is>
      </c>
      <c r="B153" s="2" t="n">
        <v>45930</v>
      </c>
      <c r="C153" t="inlineStr">
        <is>
          <t>AVGO(US11135F1012) Cash Dividend USD 0.59 per Share - US Tax</t>
        </is>
      </c>
      <c r="D153" t="inlineStr">
        <is>
          <t>USD</t>
        </is>
      </c>
      <c r="E153" t="n">
        <v>-1.33</v>
      </c>
      <c r="F153" t="n">
        <v>-1.33</v>
      </c>
      <c r="G153" t="n">
        <v>87.7</v>
      </c>
      <c r="H153" t="n">
        <v>-117</v>
      </c>
    </row>
    <row r="154">
      <c r="A154" t="inlineStr">
        <is>
          <t>FY2025-26</t>
        </is>
      </c>
      <c r="B154" s="2" t="n">
        <v>45936</v>
      </c>
      <c r="C154" t="inlineStr">
        <is>
          <t>TIP(US4642871762) Cash Dividend USD 0.198069 per Share - US Tax</t>
        </is>
      </c>
      <c r="D154" t="inlineStr">
        <is>
          <t>USD</t>
        </is>
      </c>
      <c r="E154" t="n">
        <v>-1.93</v>
      </c>
      <c r="F154" t="n">
        <v>-1.93</v>
      </c>
      <c r="G154" t="n">
        <v>88.34999999999999</v>
      </c>
      <c r="H154" t="n">
        <v>-171</v>
      </c>
    </row>
    <row r="155">
      <c r="A155" t="inlineStr">
        <is>
          <t>FY2025-26</t>
        </is>
      </c>
      <c r="B155" s="2" t="n">
        <v>45936</v>
      </c>
      <c r="C155" t="inlineStr">
        <is>
          <t>TIP(US4642871762) Cash Dividend USD 0.198069 per Share - US Tax</t>
        </is>
      </c>
      <c r="D155" t="inlineStr">
        <is>
          <t>USD</t>
        </is>
      </c>
      <c r="E155" t="n">
        <v>1.93</v>
      </c>
      <c r="F155" t="n">
        <v>1.93</v>
      </c>
      <c r="G155" t="n">
        <v>88.34999999999999</v>
      </c>
      <c r="H155" t="n">
        <v>171</v>
      </c>
    </row>
    <row r="156">
      <c r="A156" t="inlineStr">
        <is>
          <t>FY2025-26</t>
        </is>
      </c>
      <c r="B156" s="2" t="n">
        <v>45939</v>
      </c>
      <c r="C156" t="inlineStr">
        <is>
          <t>TSM(US8740391003) Cash Dividend USD 0.821965 per Share - TW Tax</t>
        </is>
      </c>
      <c r="D156" t="inlineStr">
        <is>
          <t>USD</t>
        </is>
      </c>
      <c r="E156" t="n">
        <v>-7.77</v>
      </c>
      <c r="F156" t="n">
        <v>-7.77</v>
      </c>
      <c r="G156" t="n">
        <v>88.34999999999999</v>
      </c>
      <c r="H156" t="n">
        <v>-686</v>
      </c>
    </row>
    <row r="157">
      <c r="A157" t="inlineStr">
        <is>
          <t>FY2025-26</t>
        </is>
      </c>
      <c r="B157" s="2" t="n">
        <v>45945</v>
      </c>
      <c r="C157" t="inlineStr">
        <is>
          <t>LRCX(US5128073062) Cash Dividend USD 0.26 per Share - US Tax</t>
        </is>
      </c>
      <c r="D157" t="inlineStr">
        <is>
          <t>USD</t>
        </is>
      </c>
      <c r="E157" t="n">
        <v>-1.95</v>
      </c>
      <c r="F157" t="n">
        <v>-1.95</v>
      </c>
      <c r="G157" t="n">
        <v>88.34999999999999</v>
      </c>
      <c r="H157" t="n">
        <v>-172</v>
      </c>
    </row>
    <row r="158">
      <c r="A158" t="inlineStr">
        <is>
          <t>FY2025-26</t>
        </is>
      </c>
      <c r="B158" s="2" t="n">
        <v>45952</v>
      </c>
      <c r="C158" t="inlineStr">
        <is>
          <t>CSCO(US17275R1023) Cash Dividend USD 0.41 per Share - US Tax</t>
        </is>
      </c>
      <c r="D158" t="inlineStr">
        <is>
          <t>USD</t>
        </is>
      </c>
      <c r="E158" t="n">
        <v>-2.05</v>
      </c>
      <c r="F158" t="n">
        <v>-2.05</v>
      </c>
      <c r="G158" t="n">
        <v>88.34999999999999</v>
      </c>
      <c r="H158" t="n">
        <v>-181</v>
      </c>
    </row>
    <row r="159">
      <c r="A159" t="inlineStr">
        <is>
          <t>FY2025-26</t>
        </is>
      </c>
      <c r="B159" s="2" t="n">
        <v>45953</v>
      </c>
      <c r="C159" t="inlineStr">
        <is>
          <t>ORCL(US68389X1054) Cash Dividend USD 0.50 per Share - US Tax</t>
        </is>
      </c>
      <c r="D159" t="inlineStr">
        <is>
          <t>USD</t>
        </is>
      </c>
      <c r="E159" t="n">
        <v>-0.63</v>
      </c>
      <c r="F159" t="n">
        <v>-0.63</v>
      </c>
      <c r="G159" t="n">
        <v>88.34999999999999</v>
      </c>
      <c r="H159" t="n">
        <v>-56</v>
      </c>
    </row>
    <row r="160">
      <c r="A160" t="inlineStr">
        <is>
          <t>FY2025-26</t>
        </is>
      </c>
      <c r="B160" s="2" t="n">
        <v>45957</v>
      </c>
      <c r="C160" t="inlineStr">
        <is>
          <t>GE(US3696043013) Cash Dividend USD 0.36 per Share - US Tax</t>
        </is>
      </c>
      <c r="D160" t="inlineStr">
        <is>
          <t>USD</t>
        </is>
      </c>
      <c r="E160" t="n">
        <v>-0.63</v>
      </c>
      <c r="F160" t="n">
        <v>-0.63</v>
      </c>
      <c r="G160" t="n">
        <v>88.34999999999999</v>
      </c>
      <c r="H160" t="n">
        <v>-56</v>
      </c>
    </row>
    <row r="161">
      <c r="A161" t="inlineStr">
        <is>
          <t>FY2025-26</t>
        </is>
      </c>
      <c r="B161" s="2" t="n">
        <v>45967</v>
      </c>
      <c r="C161" t="inlineStr">
        <is>
          <t>ASML(USN070592100) Cash Dividend USD 1.864032 per Share - NL Tax</t>
        </is>
      </c>
      <c r="D161" t="inlineStr">
        <is>
          <t>USD</t>
        </is>
      </c>
      <c r="E161" t="n">
        <v>-1.68</v>
      </c>
      <c r="F161" t="n">
        <v>-1.68</v>
      </c>
      <c r="G161" t="n">
        <v>88.2</v>
      </c>
      <c r="H161" t="n">
        <v>-148</v>
      </c>
    </row>
    <row r="162">
      <c r="A162" t="inlineStr">
        <is>
          <t>FY2025-26</t>
        </is>
      </c>
      <c r="B162" s="2" t="n">
        <v>45967</v>
      </c>
      <c r="C162" t="inlineStr">
        <is>
          <t>TIP(US4642871762) Cash Dividend USD 0.360933 per Share - US Tax</t>
        </is>
      </c>
      <c r="D162" t="inlineStr">
        <is>
          <t>USD</t>
        </is>
      </c>
      <c r="E162" t="n">
        <v>-0.27</v>
      </c>
      <c r="F162" t="n">
        <v>-0.27</v>
      </c>
      <c r="G162" t="n">
        <v>88.2</v>
      </c>
      <c r="H162" t="n">
        <v>-24</v>
      </c>
    </row>
    <row r="163">
      <c r="A163" t="inlineStr">
        <is>
          <t>FY2025-26</t>
        </is>
      </c>
      <c r="B163" s="2" t="n">
        <v>45967</v>
      </c>
      <c r="C163" t="inlineStr">
        <is>
          <t>TIP(US4642871762) Payment in Lieu of Dividend - US Tax</t>
        </is>
      </c>
      <c r="D163" t="inlineStr">
        <is>
          <t>USD</t>
        </is>
      </c>
      <c r="E163" t="n">
        <v>-3.25</v>
      </c>
      <c r="F163" t="n">
        <v>-3.25</v>
      </c>
      <c r="G163" t="n">
        <v>88.2</v>
      </c>
      <c r="H163" t="n">
        <v>-287</v>
      </c>
    </row>
    <row r="164">
      <c r="A164" t="inlineStr">
        <is>
          <t>FY2025-26</t>
        </is>
      </c>
      <c r="B164" s="2" t="n">
        <v>45967</v>
      </c>
      <c r="C164" t="inlineStr">
        <is>
          <t>TIP(US4642871762) Cash Dividend USD 0.360933 per Share - US Tax</t>
        </is>
      </c>
      <c r="D164" t="inlineStr">
        <is>
          <t>USD</t>
        </is>
      </c>
      <c r="E164" t="n">
        <v>0.27</v>
      </c>
      <c r="F164" t="n">
        <v>0.27</v>
      </c>
      <c r="G164" t="n">
        <v>88.2</v>
      </c>
      <c r="H164" t="n">
        <v>24</v>
      </c>
    </row>
    <row r="165">
      <c r="A165" t="inlineStr">
        <is>
          <t>FY2025-26</t>
        </is>
      </c>
      <c r="B165" s="2" t="n">
        <v>45967</v>
      </c>
      <c r="C165" t="inlineStr">
        <is>
          <t>TIP(US4642871762) Payment in Lieu of Dividend - US Tax</t>
        </is>
      </c>
      <c r="D165" t="inlineStr">
        <is>
          <t>USD</t>
        </is>
      </c>
      <c r="E165" t="n">
        <v>3.25</v>
      </c>
      <c r="F165" t="n">
        <v>3.25</v>
      </c>
      <c r="G165" t="n">
        <v>88.2</v>
      </c>
      <c r="H165" t="n">
        <v>287</v>
      </c>
    </row>
    <row r="166">
      <c r="A166" t="inlineStr">
        <is>
          <t>FY2025-26</t>
        </is>
      </c>
      <c r="B166" s="2" t="n">
        <v>45971</v>
      </c>
      <c r="C166" t="inlineStr">
        <is>
          <t>AXP(US0258161092) Cash Dividend USD 0.82 per Share - US Tax</t>
        </is>
      </c>
      <c r="D166" t="inlineStr">
        <is>
          <t>USD</t>
        </is>
      </c>
      <c r="E166" t="n">
        <v>-0.62</v>
      </c>
      <c r="F166" t="n">
        <v>-0.62</v>
      </c>
      <c r="G166" t="n">
        <v>88.2</v>
      </c>
      <c r="H166" t="n">
        <v>-55</v>
      </c>
    </row>
    <row r="167">
      <c r="A167" t="inlineStr">
        <is>
          <t>FY2025-26</t>
        </is>
      </c>
      <c r="B167" s="2" t="n">
        <v>45971</v>
      </c>
      <c r="C167" t="inlineStr">
        <is>
          <t>BX(US09260D1072) Cash Dividend USD 1.29 per Share - US Tax</t>
        </is>
      </c>
      <c r="D167" t="inlineStr">
        <is>
          <t>USD</t>
        </is>
      </c>
      <c r="E167" t="n">
        <v>-13.55</v>
      </c>
      <c r="F167" t="n">
        <v>-13.55</v>
      </c>
      <c r="G167" t="n">
        <v>88.2</v>
      </c>
      <c r="H167" t="n">
        <v>-1195</v>
      </c>
    </row>
    <row r="168">
      <c r="A168" t="inlineStr">
        <is>
          <t>FY2025-26</t>
        </is>
      </c>
      <c r="B168" s="2" t="n">
        <v>45971</v>
      </c>
      <c r="C168" t="inlineStr">
        <is>
          <t>BX(US09260D1072) Cash Dividend USD 1.29 per Share - US Tax</t>
        </is>
      </c>
      <c r="D168" t="inlineStr">
        <is>
          <t>USD</t>
        </is>
      </c>
      <c r="E168" t="n">
        <v>13.55</v>
      </c>
      <c r="F168" t="n">
        <v>13.55</v>
      </c>
      <c r="G168" t="n">
        <v>88.2</v>
      </c>
      <c r="H168" t="n">
        <v>1195</v>
      </c>
    </row>
    <row r="169">
      <c r="A169" t="inlineStr">
        <is>
          <t>FY2025-26</t>
        </is>
      </c>
      <c r="B169" s="2" t="n">
        <v>45971</v>
      </c>
      <c r="C169" t="inlineStr">
        <is>
          <t>BX(US09260D1072) Cash Dividend USD 1.29 per Share - US Tax</t>
        </is>
      </c>
      <c r="D169" t="inlineStr">
        <is>
          <t>USD</t>
        </is>
      </c>
      <c r="E169" t="n">
        <v>-6.81</v>
      </c>
      <c r="F169" t="n">
        <v>-6.81</v>
      </c>
      <c r="G169" t="n">
        <v>88.2</v>
      </c>
      <c r="H169" t="n">
        <v>-601</v>
      </c>
    </row>
    <row r="170">
      <c r="A170" t="inlineStr">
        <is>
          <t>FY2025-26</t>
        </is>
      </c>
      <c r="B170" s="2" t="n">
        <v>45981</v>
      </c>
      <c r="C170" t="inlineStr">
        <is>
          <t>CAT(US1491231015) Cash Dividend USD 1.51 per Share - US Tax</t>
        </is>
      </c>
      <c r="D170" t="inlineStr">
        <is>
          <t>USD</t>
        </is>
      </c>
      <c r="E170" t="n">
        <v>-1.13</v>
      </c>
      <c r="F170" t="n">
        <v>-1.13</v>
      </c>
      <c r="G170" t="n">
        <v>88.2</v>
      </c>
      <c r="H170" t="n">
        <v>-100</v>
      </c>
    </row>
    <row r="171">
      <c r="A171" t="inlineStr">
        <is>
          <t>FY2025-26</t>
        </is>
      </c>
      <c r="B171" s="2" t="n">
        <v>45992</v>
      </c>
      <c r="C171" t="inlineStr">
        <is>
          <t>TGT(US87612E1064) Cash Dividend USD 1.14 per Share - US Tax</t>
        </is>
      </c>
      <c r="D171" t="inlineStr">
        <is>
          <t>USD</t>
        </is>
      </c>
      <c r="E171" t="n">
        <v>-8.550000000000001</v>
      </c>
      <c r="F171" t="n">
        <v>-8.550000000000001</v>
      </c>
      <c r="G171" t="n">
        <v>88.95</v>
      </c>
      <c r="H171" t="n">
        <v>-761</v>
      </c>
    </row>
    <row r="172">
      <c r="A172" t="inlineStr">
        <is>
          <t>FY2025-26</t>
        </is>
      </c>
      <c r="B172" s="2" t="n">
        <v>45995</v>
      </c>
      <c r="C172" t="inlineStr">
        <is>
          <t>TIP(US4642871762) Cash Dividend USD 0.322417 per Share - US Tax</t>
        </is>
      </c>
      <c r="D172" t="inlineStr">
        <is>
          <t>USD</t>
        </is>
      </c>
      <c r="E172" t="n">
        <v>-3.14</v>
      </c>
      <c r="F172" t="n">
        <v>-3.14</v>
      </c>
      <c r="G172" t="n">
        <v>88.95</v>
      </c>
      <c r="H172" t="n">
        <v>-279</v>
      </c>
    </row>
    <row r="173">
      <c r="A173" t="inlineStr">
        <is>
          <t>FY2025-26</t>
        </is>
      </c>
      <c r="B173" s="2" t="n">
        <v>45995</v>
      </c>
      <c r="C173" t="inlineStr">
        <is>
          <t>TIP(US4642871762) Cash Dividend USD 0.322417 per Share - US Tax</t>
        </is>
      </c>
      <c r="D173" t="inlineStr">
        <is>
          <t>USD</t>
        </is>
      </c>
      <c r="E173" t="n">
        <v>3.14</v>
      </c>
      <c r="F173" t="n">
        <v>3.14</v>
      </c>
      <c r="G173" t="n">
        <v>88.95</v>
      </c>
      <c r="H173" t="n">
        <v>279</v>
      </c>
    </row>
    <row r="174">
      <c r="A174" t="inlineStr">
        <is>
          <t>FY2025-26</t>
        </is>
      </c>
      <c r="B174" s="2" t="n">
        <v>46001</v>
      </c>
      <c r="C174" t="inlineStr">
        <is>
          <t>IBM(US4592001014) Cash Dividend USD 1.68 per Share - US Tax</t>
        </is>
      </c>
      <c r="D174" t="inlineStr">
        <is>
          <t>USD</t>
        </is>
      </c>
      <c r="E174" t="n">
        <v>-2.1</v>
      </c>
      <c r="F174" t="n">
        <v>-2.1</v>
      </c>
      <c r="G174" t="n">
        <v>88.95</v>
      </c>
      <c r="H174" t="n">
        <v>-187</v>
      </c>
    </row>
    <row r="175">
      <c r="A175" t="inlineStr">
        <is>
          <t>FY2025-26</t>
        </is>
      </c>
      <c r="B175" s="2" t="n">
        <v>46001</v>
      </c>
      <c r="C175" t="inlineStr">
        <is>
          <t>LLY(US5324571083) Cash Dividend USD 1.50 per Share - US Tax</t>
        </is>
      </c>
      <c r="D175" t="inlineStr">
        <is>
          <t>USD</t>
        </is>
      </c>
      <c r="E175" t="n">
        <v>-1.13</v>
      </c>
      <c r="F175" t="n">
        <v>-1.13</v>
      </c>
      <c r="G175" t="n">
        <v>88.95</v>
      </c>
      <c r="H175" t="n">
        <v>-101</v>
      </c>
    </row>
    <row r="176">
      <c r="A176" t="inlineStr">
        <is>
          <t>FY2025-26</t>
        </is>
      </c>
      <c r="B176" s="2" t="n">
        <v>46002</v>
      </c>
      <c r="C176" t="inlineStr">
        <is>
          <t>MSFT(US5949181045) Cash Dividend USD 0.91 per Share - US Tax</t>
        </is>
      </c>
      <c r="D176" t="inlineStr">
        <is>
          <t>USD</t>
        </is>
      </c>
      <c r="E176" t="n">
        <v>-0.68</v>
      </c>
      <c r="F176" t="n">
        <v>-0.68</v>
      </c>
      <c r="G176" t="n">
        <v>88.95</v>
      </c>
      <c r="H176" t="n">
        <v>-60</v>
      </c>
    </row>
    <row r="177">
      <c r="A177" t="inlineStr">
        <is>
          <t>FY2025-26</t>
        </is>
      </c>
      <c r="B177" s="2" t="n">
        <v>46010</v>
      </c>
      <c r="C177" t="inlineStr">
        <is>
          <t>EMXC(US46434G7640) Cash Dividend USD 1.335744 per Share - US Tax</t>
        </is>
      </c>
      <c r="D177" t="inlineStr">
        <is>
          <t>USD</t>
        </is>
      </c>
      <c r="E177" t="n">
        <v>-25.05</v>
      </c>
      <c r="F177" t="n">
        <v>-25.05</v>
      </c>
      <c r="G177" t="n">
        <v>88.95</v>
      </c>
      <c r="H177" t="n">
        <v>-2228</v>
      </c>
    </row>
    <row r="178">
      <c r="A178" t="inlineStr">
        <is>
          <t>FY2025-26</t>
        </is>
      </c>
      <c r="B178" s="2" t="n">
        <v>46010</v>
      </c>
      <c r="C178" t="inlineStr">
        <is>
          <t>EMXC(US46434G7640) Cash Dividend USD 1.335744 per Share - US Tax</t>
        </is>
      </c>
      <c r="D178" t="inlineStr">
        <is>
          <t>USD</t>
        </is>
      </c>
      <c r="E178" t="n">
        <v>25.05</v>
      </c>
      <c r="F178" t="n">
        <v>25.05</v>
      </c>
      <c r="G178" t="n">
        <v>88.95</v>
      </c>
      <c r="H178" t="n">
        <v>2228</v>
      </c>
    </row>
    <row r="179">
      <c r="A179" t="inlineStr">
        <is>
          <t>FY2025-26</t>
        </is>
      </c>
      <c r="B179" s="2" t="n">
        <v>46010</v>
      </c>
      <c r="C179" t="inlineStr">
        <is>
          <t>EMXC(US46434G7640) Cash Dividend USD 1.335744 per Share - US Tax</t>
        </is>
      </c>
      <c r="D179" t="inlineStr">
        <is>
          <t>USD</t>
        </is>
      </c>
      <c r="E179" t="n">
        <v>-24.79</v>
      </c>
      <c r="F179" t="n">
        <v>-24.79</v>
      </c>
      <c r="G179" t="n">
        <v>88.95</v>
      </c>
      <c r="H179" t="n">
        <v>-2205</v>
      </c>
    </row>
    <row r="180">
      <c r="A180" t="inlineStr">
        <is>
          <t>FY2025-26</t>
        </is>
      </c>
      <c r="B180" s="2" t="n">
        <v>46015</v>
      </c>
      <c r="C180" t="inlineStr">
        <is>
          <t>TIP(US4642871762) Cash Dividend USD 0.341961 per Share - US Tax</t>
        </is>
      </c>
      <c r="D180" t="inlineStr">
        <is>
          <t>USD</t>
        </is>
      </c>
      <c r="E180" t="n">
        <v>-3.34</v>
      </c>
      <c r="F180" t="n">
        <v>-3.34</v>
      </c>
      <c r="G180" t="n">
        <v>88.95</v>
      </c>
      <c r="H180" t="n">
        <v>-297</v>
      </c>
    </row>
    <row r="181">
      <c r="A181" t="inlineStr">
        <is>
          <t>FY2025-26</t>
        </is>
      </c>
      <c r="B181" s="2" t="n">
        <v>46015</v>
      </c>
      <c r="C181" t="inlineStr">
        <is>
          <t>TIP(US4642871762) Cash Dividend USD 0.341961 per Share - US Tax</t>
        </is>
      </c>
      <c r="D181" t="inlineStr">
        <is>
          <t>USD</t>
        </is>
      </c>
      <c r="E181" t="n">
        <v>3.34</v>
      </c>
      <c r="F181" t="n">
        <v>3.34</v>
      </c>
      <c r="G181" t="n">
        <v>88.95</v>
      </c>
      <c r="H181" t="n">
        <v>297</v>
      </c>
    </row>
    <row r="182">
      <c r="A182" t="inlineStr">
        <is>
          <t>FY2025-26</t>
        </is>
      </c>
      <c r="B182" s="2" t="n">
        <v>46017</v>
      </c>
      <c r="C182" t="inlineStr">
        <is>
          <t>BAC(US0605051046) Cash Dividend USD 0.28 per Share - US Tax</t>
        </is>
      </c>
      <c r="D182" t="inlineStr">
        <is>
          <t>USD</t>
        </is>
      </c>
      <c r="E182" t="n">
        <v>-11.34</v>
      </c>
      <c r="F182" t="n">
        <v>-11.34</v>
      </c>
      <c r="G182" t="n">
        <v>88.95</v>
      </c>
      <c r="H182" t="n">
        <v>-1009</v>
      </c>
    </row>
    <row r="183">
      <c r="A183" t="inlineStr">
        <is>
          <t>FY2025-26</t>
        </is>
      </c>
      <c r="B183" s="2" t="n">
        <v>46021</v>
      </c>
      <c r="C183" t="inlineStr">
        <is>
          <t>DXJ(US97717W8516) Payment in Lieu of Dividend - US Tax</t>
        </is>
      </c>
      <c r="D183" t="inlineStr">
        <is>
          <t>USD</t>
        </is>
      </c>
      <c r="E183" t="n">
        <v>-1.35</v>
      </c>
      <c r="F183" t="n">
        <v>-1.35</v>
      </c>
      <c r="G183" t="n">
        <v>88.95</v>
      </c>
      <c r="H183" t="n">
        <v>-120</v>
      </c>
    </row>
    <row r="184">
      <c r="A184" t="inlineStr">
        <is>
          <t>FY2025-26</t>
        </is>
      </c>
      <c r="B184" s="2" t="n">
        <v>46021</v>
      </c>
      <c r="C184" t="inlineStr">
        <is>
          <t>DXJ(US97717W8516) Cash Dividend USD 0.38499 per Share - US Tax</t>
        </is>
      </c>
      <c r="D184" t="inlineStr">
        <is>
          <t>USD</t>
        </is>
      </c>
      <c r="E184" t="n">
        <v>-0.96</v>
      </c>
      <c r="F184" t="n">
        <v>-0.96</v>
      </c>
      <c r="G184" t="n">
        <v>88.95</v>
      </c>
      <c r="H184" t="n">
        <v>-85</v>
      </c>
    </row>
    <row r="185">
      <c r="A185" t="inlineStr">
        <is>
          <t>FY2025-26</t>
        </is>
      </c>
      <c r="B185" s="2" t="n">
        <v>46022</v>
      </c>
      <c r="C185" t="inlineStr">
        <is>
          <t>AVGO(US11135F1012) Cash Dividend USD 0.65 per Share - US Tax</t>
        </is>
      </c>
      <c r="D185" t="inlineStr">
        <is>
          <t>USD</t>
        </is>
      </c>
      <c r="E185" t="n">
        <v>-1.46</v>
      </c>
      <c r="F185" t="n">
        <v>-1.46</v>
      </c>
      <c r="G185" t="n">
        <v>88.95</v>
      </c>
      <c r="H185" t="n">
        <v>-130</v>
      </c>
    </row>
    <row r="186">
      <c r="A186" t="inlineStr">
        <is>
          <t>FY2025-26</t>
        </is>
      </c>
      <c r="B186" s="2" t="n">
        <v>46029</v>
      </c>
      <c r="C186" t="inlineStr">
        <is>
          <t>LRCX(US5128073062) Cash Dividend USD 0.26 per Share - US Tax</t>
        </is>
      </c>
      <c r="D186" t="inlineStr">
        <is>
          <t>USD</t>
        </is>
      </c>
      <c r="E186" t="n">
        <v>-1.95</v>
      </c>
      <c r="F186" t="n">
        <v>-1.95</v>
      </c>
      <c r="G186" t="n">
        <v>89.47</v>
      </c>
      <c r="H186" t="n">
        <v>-174</v>
      </c>
    </row>
    <row r="187">
      <c r="A187" t="inlineStr">
        <is>
          <t>FY2025-26</t>
        </is>
      </c>
      <c r="B187" s="2" t="n">
        <v>46029</v>
      </c>
      <c r="C187" t="inlineStr">
        <is>
          <t>URA(US37954Y8710) Cash Dividend USD 2.084331 per Share - US Tax</t>
        </is>
      </c>
      <c r="D187" t="inlineStr">
        <is>
          <t>USD</t>
        </is>
      </c>
      <c r="E187" t="n">
        <v>-12.51</v>
      </c>
      <c r="F187" t="n">
        <v>-12.51</v>
      </c>
      <c r="G187" t="n">
        <v>89.47</v>
      </c>
      <c r="H187" t="n">
        <v>-1119</v>
      </c>
    </row>
    <row r="188">
      <c r="A188" t="inlineStr">
        <is>
          <t>FY2025-26</t>
        </is>
      </c>
      <c r="B188" s="2" t="n">
        <v>46029</v>
      </c>
      <c r="C188" t="inlineStr">
        <is>
          <t>URA(US37954Y8710) Cash Dividend USD 2.084331 per Share - US Tax</t>
        </is>
      </c>
      <c r="D188" t="inlineStr">
        <is>
          <t>USD</t>
        </is>
      </c>
      <c r="E188" t="n">
        <v>12.51</v>
      </c>
      <c r="F188" t="n">
        <v>12.51</v>
      </c>
      <c r="G188" t="n">
        <v>89.47</v>
      </c>
      <c r="H188" t="n">
        <v>1119</v>
      </c>
    </row>
    <row r="189">
      <c r="A189" t="inlineStr">
        <is>
          <t>FY2025-26</t>
        </is>
      </c>
      <c r="B189" s="2" t="n">
        <v>46029</v>
      </c>
      <c r="C189" t="inlineStr">
        <is>
          <t>URA(US37954Y8710) Cash Dividend USD 2.084331 per Share - US Tax</t>
        </is>
      </c>
      <c r="D189" t="inlineStr">
        <is>
          <t>USD</t>
        </is>
      </c>
      <c r="E189" t="n">
        <v>-12.5</v>
      </c>
      <c r="F189" t="n">
        <v>-12.5</v>
      </c>
      <c r="G189" t="n">
        <v>89.47</v>
      </c>
      <c r="H189" t="n">
        <v>-1118</v>
      </c>
    </row>
    <row r="190">
      <c r="A190" t="inlineStr">
        <is>
          <t>FY2025-26</t>
        </is>
      </c>
      <c r="B190" s="2" t="n">
        <v>46030</v>
      </c>
      <c r="C190" t="inlineStr">
        <is>
          <t>TSM(US8740391003) Cash Dividend USD 0.79542 per Share - TW Tax</t>
        </is>
      </c>
      <c r="D190" t="inlineStr">
        <is>
          <t>USD</t>
        </is>
      </c>
      <c r="E190" t="n">
        <v>-7.52</v>
      </c>
      <c r="F190" t="n">
        <v>-7.52</v>
      </c>
      <c r="G190" t="n">
        <v>89.47</v>
      </c>
      <c r="H190" t="n">
        <v>-673</v>
      </c>
    </row>
    <row r="191">
      <c r="A191" t="inlineStr">
        <is>
          <t>FY2025-26</t>
        </is>
      </c>
      <c r="B191" s="2" t="n">
        <v>46043</v>
      </c>
      <c r="C191" t="inlineStr">
        <is>
          <t>CSCO(US17275R1023) Cash Dividend USD 0.41 per Share - US Tax</t>
        </is>
      </c>
      <c r="D191" t="inlineStr">
        <is>
          <t>USD</t>
        </is>
      </c>
      <c r="E191" t="n">
        <v>-2.05</v>
      </c>
      <c r="F191" t="n">
        <v>-2.05</v>
      </c>
      <c r="G191" t="n">
        <v>89.47</v>
      </c>
      <c r="H191" t="n">
        <v>-183</v>
      </c>
    </row>
    <row r="192">
      <c r="A192" t="inlineStr">
        <is>
          <t>FY2025-26</t>
        </is>
      </c>
      <c r="B192" s="2" t="n">
        <v>46048</v>
      </c>
      <c r="C192" t="inlineStr">
        <is>
          <t>GE(US3696043013) Cash Dividend USD 0.36 per Share - US Tax</t>
        </is>
      </c>
      <c r="D192" t="inlineStr">
        <is>
          <t>USD</t>
        </is>
      </c>
      <c r="E192" t="n">
        <v>-0.63</v>
      </c>
      <c r="F192" t="n">
        <v>-0.63</v>
      </c>
      <c r="G192" t="n">
        <v>89.47</v>
      </c>
      <c r="H192" t="n">
        <v>-56</v>
      </c>
    </row>
    <row r="193">
      <c r="A193" t="inlineStr">
        <is>
          <t>FY2025-26</t>
        </is>
      </c>
      <c r="B193" s="2" t="n">
        <v>46063</v>
      </c>
      <c r="C193" t="inlineStr">
        <is>
          <t>AXP(US0258161092) Cash Dividend USD 0.82 per Share - US Tax</t>
        </is>
      </c>
      <c r="D193" t="inlineStr">
        <is>
          <t>USD</t>
        </is>
      </c>
      <c r="E193" t="n">
        <v>-0.62</v>
      </c>
      <c r="F193" t="n">
        <v>-0.62</v>
      </c>
      <c r="G193" t="n">
        <v>91.34999999999999</v>
      </c>
      <c r="H193" t="n">
        <v>-57</v>
      </c>
    </row>
    <row r="194">
      <c r="A194" t="inlineStr">
        <is>
          <t>FY2025-26</t>
        </is>
      </c>
      <c r="B194" s="2" t="n">
        <v>46070</v>
      </c>
      <c r="C194" t="inlineStr">
        <is>
          <t>BX(US09260D1072) Cash Dividend USD 1.49 per Share - US Tax</t>
        </is>
      </c>
      <c r="D194" t="inlineStr">
        <is>
          <t>USD</t>
        </is>
      </c>
      <c r="E194" t="n">
        <v>-15.65</v>
      </c>
      <c r="F194" t="n">
        <v>-15.65</v>
      </c>
      <c r="G194" t="n">
        <v>91.34999999999999</v>
      </c>
      <c r="H194" t="n">
        <v>-1430</v>
      </c>
    </row>
    <row r="195">
      <c r="A195" t="inlineStr">
        <is>
          <t>FY2025-26</t>
        </is>
      </c>
      <c r="B195" s="2" t="n">
        <v>46071</v>
      </c>
      <c r="C195" t="inlineStr">
        <is>
          <t>ASML(USN070592100) Cash Dividend USD 1.9064 per Share - NL Tax</t>
        </is>
      </c>
      <c r="D195" t="inlineStr">
        <is>
          <t>USD</t>
        </is>
      </c>
      <c r="E195" t="n">
        <v>-1.72</v>
      </c>
      <c r="F195" t="n">
        <v>-1.72</v>
      </c>
      <c r="G195" t="n">
        <v>91.34999999999999</v>
      </c>
      <c r="H195" t="n">
        <v>-157</v>
      </c>
    </row>
    <row r="196">
      <c r="A196" t="inlineStr">
        <is>
          <t>FY2025-26</t>
        </is>
      </c>
      <c r="B196" s="2" t="n">
        <v>46072</v>
      </c>
      <c r="C196" t="inlineStr">
        <is>
          <t>CAT(US1491231015) Cash Dividend USD 1.51 per Share - US Tax</t>
        </is>
      </c>
      <c r="D196" t="inlineStr">
        <is>
          <t>USD</t>
        </is>
      </c>
      <c r="E196" t="n">
        <v>-1.13</v>
      </c>
      <c r="F196" t="n">
        <v>-1.13</v>
      </c>
      <c r="G196" t="n">
        <v>91.34999999999999</v>
      </c>
      <c r="H196" t="n">
        <v>-103</v>
      </c>
    </row>
    <row r="197">
      <c r="A197" t="inlineStr">
        <is>
          <t>FY2025-26</t>
        </is>
      </c>
      <c r="B197" s="2" t="n">
        <v>46082</v>
      </c>
      <c r="C197" t="inlineStr">
        <is>
          <t>TGT(US87612E1064) Cash Dividend USD 1.14 per Share - US Tax</t>
        </is>
      </c>
      <c r="D197" t="inlineStr">
        <is>
          <t>USD</t>
        </is>
      </c>
      <c r="E197" t="n">
        <v>-8.550000000000001</v>
      </c>
      <c r="F197" t="n">
        <v>-8.550000000000001</v>
      </c>
      <c r="G197" t="n">
        <v>90.56</v>
      </c>
      <c r="H197" t="n">
        <v>-774</v>
      </c>
    </row>
    <row r="198">
      <c r="A198" t="inlineStr">
        <is>
          <t>FY2025-26</t>
        </is>
      </c>
      <c r="B198" s="2" t="n">
        <v>46091</v>
      </c>
      <c r="C198" t="inlineStr">
        <is>
          <t>AEP(US0255371017) Cash Dividend USD 0.95 per Share - US Tax</t>
        </is>
      </c>
      <c r="D198" t="inlineStr">
        <is>
          <t>USD</t>
        </is>
      </c>
      <c r="E198" t="n">
        <v>-2.38</v>
      </c>
      <c r="F198" t="n">
        <v>-2.38</v>
      </c>
      <c r="G198" t="n">
        <v>90.56</v>
      </c>
      <c r="H198" t="n">
        <v>-216</v>
      </c>
    </row>
    <row r="199">
      <c r="A199" t="inlineStr">
        <is>
          <t>FY2025-26</t>
        </is>
      </c>
      <c r="B199" s="2" t="n">
        <v>46091</v>
      </c>
      <c r="C199" t="inlineStr">
        <is>
          <t>IBM(US4592001014) Cash Dividend USD 1.68 per Share - US Tax</t>
        </is>
      </c>
      <c r="D199" t="inlineStr">
        <is>
          <t>USD</t>
        </is>
      </c>
      <c r="E199" t="n">
        <v>-2.1</v>
      </c>
      <c r="F199" t="n">
        <v>-2.1</v>
      </c>
      <c r="G199" t="n">
        <v>90.56</v>
      </c>
      <c r="H199" t="n">
        <v>-190</v>
      </c>
    </row>
    <row r="200">
      <c r="A200" t="inlineStr">
        <is>
          <t>FY2025-26</t>
        </is>
      </c>
      <c r="B200" s="2" t="n">
        <v>46091</v>
      </c>
      <c r="C200" t="inlineStr">
        <is>
          <t>LLY(US5324571083) Cash Dividend USD 1.73 per Share - US Tax</t>
        </is>
      </c>
      <c r="D200" t="inlineStr">
        <is>
          <t>USD</t>
        </is>
      </c>
      <c r="E200" t="n">
        <v>-1.3</v>
      </c>
      <c r="F200" t="n">
        <v>-1.3</v>
      </c>
      <c r="G200" t="n">
        <v>90.56</v>
      </c>
      <c r="H200" t="n">
        <v>-118</v>
      </c>
    </row>
    <row r="201">
      <c r="A201" t="inlineStr">
        <is>
          <t>FY2025-26</t>
        </is>
      </c>
      <c r="B201" s="2" t="n">
        <v>46093</v>
      </c>
      <c r="C201" t="inlineStr">
        <is>
          <t>MSFT(US5949181045) Cash Dividend USD 0.91 per Share - US Tax</t>
        </is>
      </c>
      <c r="D201" t="inlineStr">
        <is>
          <t>USD</t>
        </is>
      </c>
      <c r="E201" t="n">
        <v>-0.68</v>
      </c>
      <c r="F201" t="n">
        <v>-0.68</v>
      </c>
      <c r="G201" t="n">
        <v>90.56</v>
      </c>
      <c r="H201" t="n">
        <v>-62</v>
      </c>
    </row>
    <row r="202">
      <c r="A202" t="inlineStr">
        <is>
          <t>FY2025-26</t>
        </is>
      </c>
      <c r="B202" s="2" t="n">
        <v>46108</v>
      </c>
      <c r="C202" t="inlineStr">
        <is>
          <t>BAC(US0605051046) Cash Dividend USD 0.28 per Share - US Tax</t>
        </is>
      </c>
      <c r="D202" t="inlineStr">
        <is>
          <t>USD</t>
        </is>
      </c>
      <c r="E202" t="n">
        <v>-11.34</v>
      </c>
      <c r="F202" t="n">
        <v>-11.34</v>
      </c>
      <c r="G202" t="n">
        <v>90.56</v>
      </c>
      <c r="H202" t="n">
        <v>-1027</v>
      </c>
    </row>
    <row r="203">
      <c r="A203" t="inlineStr">
        <is>
          <t>FY2025-26</t>
        </is>
      </c>
      <c r="B203" s="2" t="n">
        <v>46112</v>
      </c>
      <c r="C203" t="inlineStr">
        <is>
          <t>AVGO(US11135F1012) Cash Dividend USD 0.65 per Share - US Tax</t>
        </is>
      </c>
      <c r="D203" t="inlineStr">
        <is>
          <t>USD</t>
        </is>
      </c>
      <c r="E203" t="n">
        <v>-1.46</v>
      </c>
      <c r="F203" t="n">
        <v>-1.46</v>
      </c>
      <c r="G203" t="n">
        <v>90.56</v>
      </c>
      <c r="H203" t="n">
        <v>-132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8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30" customWidth="1" min="20" max="20"/>
    <col width="48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BLBD</t>
        </is>
      </c>
      <c r="B5" t="inlineStr">
        <is>
          <t>USD</t>
        </is>
      </c>
      <c r="C5" t="n">
        <v>24</v>
      </c>
      <c r="D5" s="2" t="n">
        <v>45568</v>
      </c>
      <c r="E5" s="2" t="n">
        <v>45880</v>
      </c>
      <c r="F5">
        <f>E5-D5</f>
        <v/>
      </c>
      <c r="G5">
        <f>IF(F5&gt;730,"LTCG","STCG")</f>
        <v/>
      </c>
      <c r="H5" s="3" t="n">
        <v>1320</v>
      </c>
      <c r="I5" s="3" t="n">
        <v>1071.16</v>
      </c>
      <c r="J5" s="3" t="n">
        <v>1</v>
      </c>
      <c r="K5" s="3" t="n">
        <v>1</v>
      </c>
      <c r="L5">
        <f>H5*K5</f>
        <v/>
      </c>
      <c r="M5">
        <f>I5*K5</f>
        <v/>
      </c>
      <c r="N5" s="3" t="n">
        <v>87.15000000000001</v>
      </c>
      <c r="O5" s="3" t="n">
        <v>83.3</v>
      </c>
      <c r="P5" s="3" t="n">
        <v>87.15000000000001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NOVd</t>
        </is>
      </c>
      <c r="B6" t="inlineStr">
        <is>
          <t>EUR</t>
        </is>
      </c>
      <c r="C6" t="n">
        <v>30</v>
      </c>
      <c r="D6" s="2" t="n">
        <v>45737</v>
      </c>
      <c r="E6" s="2" t="n">
        <v>45985</v>
      </c>
      <c r="F6">
        <f>E6-D6</f>
        <v/>
      </c>
      <c r="G6">
        <f>IF(F6&gt;730,"LTCG","STCG")</f>
        <v/>
      </c>
      <c r="H6" s="3" t="n">
        <v>1114.05</v>
      </c>
      <c r="I6" s="3" t="n">
        <v>1667.65</v>
      </c>
      <c r="J6" s="3" t="n">
        <v>0.5600000000000001</v>
      </c>
      <c r="K6" s="3" t="n">
        <v>1</v>
      </c>
      <c r="L6">
        <f>H6*K6</f>
        <v/>
      </c>
      <c r="M6">
        <f>I6*K6</f>
        <v/>
      </c>
      <c r="N6" s="3" t="n">
        <v>101.23</v>
      </c>
      <c r="O6" s="3" t="n">
        <v>89.55</v>
      </c>
      <c r="P6" s="3" t="n">
        <v>88.2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>
        <is>
          <t>EUR: FCY→USD=1; Sale/Cost FX = EUR/INR (Rule 115); Comm uses USD/INR</t>
        </is>
      </c>
    </row>
    <row r="7">
      <c r="A7" t="inlineStr">
        <is>
          <t>NOVd</t>
        </is>
      </c>
      <c r="B7" t="inlineStr">
        <is>
          <t>EUR</t>
        </is>
      </c>
      <c r="C7" t="n">
        <v>60</v>
      </c>
      <c r="D7" s="2" t="n">
        <v>45902</v>
      </c>
      <c r="E7" s="2" t="n">
        <v>45985</v>
      </c>
      <c r="F7">
        <f>E7-D7</f>
        <v/>
      </c>
      <c r="G7">
        <f>IF(F7&gt;730,"LTCG","STCG")</f>
        <v/>
      </c>
      <c r="H7" s="3" t="n">
        <v>2228.1</v>
      </c>
      <c r="I7" s="3" t="n">
        <v>3335.3</v>
      </c>
      <c r="J7" s="3" t="n">
        <v>1.11</v>
      </c>
      <c r="K7" s="3" t="n">
        <v>1</v>
      </c>
      <c r="L7">
        <f>H7*K7</f>
        <v/>
      </c>
      <c r="M7">
        <f>I7*K7</f>
        <v/>
      </c>
      <c r="N7" s="3" t="n">
        <v>101.23</v>
      </c>
      <c r="O7" s="3" t="n">
        <v>101.7</v>
      </c>
      <c r="P7" s="3" t="n">
        <v>88.2</v>
      </c>
      <c r="Q7">
        <f>L7*N7</f>
        <v/>
      </c>
      <c r="R7">
        <f>J7*P7</f>
        <v/>
      </c>
      <c r="S7">
        <f>M7*O7</f>
        <v/>
      </c>
      <c r="T7">
        <f>Q7-R7-S7</f>
        <v/>
      </c>
      <c r="U7" t="inlineStr">
        <is>
          <t>EUR: FCY→USD=1; Sale/Cost FX = EUR/INR (Rule 115); Comm uses USD/INR</t>
        </is>
      </c>
    </row>
    <row r="8">
      <c r="A8" t="inlineStr">
        <is>
          <t>ORCL</t>
        </is>
      </c>
      <c r="B8" t="inlineStr">
        <is>
          <t>USD</t>
        </is>
      </c>
      <c r="C8" t="n">
        <v>5</v>
      </c>
      <c r="D8" s="2" t="n">
        <v>45922</v>
      </c>
      <c r="E8" s="2" t="n">
        <v>45986</v>
      </c>
      <c r="F8">
        <f>E8-D8</f>
        <v/>
      </c>
      <c r="G8">
        <f>IF(F8&gt;730,"LTCG","STCG")</f>
        <v/>
      </c>
      <c r="H8" s="3" t="n">
        <v>932.0700000000001</v>
      </c>
      <c r="I8" s="3" t="n">
        <v>1563.12</v>
      </c>
      <c r="J8" s="3" t="n">
        <v>0.47</v>
      </c>
      <c r="K8" s="3" t="n">
        <v>1</v>
      </c>
      <c r="L8">
        <f>H8*K8</f>
        <v/>
      </c>
      <c r="M8">
        <f>I8*K8</f>
        <v/>
      </c>
      <c r="N8" s="3" t="n">
        <v>88.2</v>
      </c>
      <c r="O8" s="3" t="n">
        <v>87.7</v>
      </c>
      <c r="P8" s="3" t="n">
        <v>88.2</v>
      </c>
      <c r="Q8">
        <f>L8*N8</f>
        <v/>
      </c>
      <c r="R8">
        <f>J8*P8</f>
        <v/>
      </c>
      <c r="S8">
        <f>M8*O8</f>
        <v/>
      </c>
      <c r="T8">
        <f>Q8-R8-S8</f>
        <v/>
      </c>
      <c r="U8" t="inlineStr"/>
    </row>
    <row r="9">
      <c r="A9" t="inlineStr">
        <is>
          <t>1810</t>
        </is>
      </c>
      <c r="B9" t="inlineStr">
        <is>
          <t>HKD</t>
        </is>
      </c>
      <c r="C9" t="n">
        <v>200</v>
      </c>
      <c r="D9" s="2" t="n">
        <v>45847</v>
      </c>
      <c r="E9" s="2" t="n">
        <v>46012</v>
      </c>
      <c r="F9">
        <f>E9-D9</f>
        <v/>
      </c>
      <c r="G9">
        <f>IF(F9&gt;730,"LTCG","STCG")</f>
        <v/>
      </c>
      <c r="H9" s="3" t="n">
        <v>8040</v>
      </c>
      <c r="I9" s="3" t="n">
        <v>9524.940000000001</v>
      </c>
      <c r="J9" s="3" t="n">
        <v>14.78</v>
      </c>
      <c r="K9" s="3" t="n">
        <v>0.12849</v>
      </c>
      <c r="L9">
        <f>H9*K9</f>
        <v/>
      </c>
      <c r="M9">
        <f>I9*K9</f>
        <v/>
      </c>
      <c r="N9" s="3" t="n">
        <v>88.95</v>
      </c>
      <c r="O9" s="3" t="n">
        <v>85.09999999999999</v>
      </c>
      <c r="P9" s="3" t="n">
        <v>88.95</v>
      </c>
      <c r="Q9">
        <f>L9*N9</f>
        <v/>
      </c>
      <c r="R9">
        <f>J9*P9</f>
        <v/>
      </c>
      <c r="S9">
        <f>M9*O9</f>
        <v/>
      </c>
      <c r="T9">
        <f>Q9-R9-S9</f>
        <v/>
      </c>
      <c r="U9" t="inlineStr">
        <is>
          <t>HKD: FCY→USD editable; Sale/Cost FX = USD/INR (Rule 115)</t>
        </is>
      </c>
    </row>
    <row r="10">
      <c r="A10" t="inlineStr">
        <is>
          <t>1810</t>
        </is>
      </c>
      <c r="B10" t="inlineStr">
        <is>
          <t>HKD</t>
        </is>
      </c>
      <c r="C10" t="n">
        <v>400</v>
      </c>
      <c r="D10" s="2" t="n">
        <v>46002</v>
      </c>
      <c r="E10" s="2" t="n">
        <v>46012</v>
      </c>
      <c r="F10">
        <f>E10-D10</f>
        <v/>
      </c>
      <c r="G10">
        <f>IF(F10&gt;730,"LTCG","STCG")</f>
        <v/>
      </c>
      <c r="H10" s="3" t="n">
        <v>16080</v>
      </c>
      <c r="I10" s="3" t="n">
        <v>19049.87</v>
      </c>
      <c r="J10" s="3" t="n">
        <v>29.56</v>
      </c>
      <c r="K10" s="3" t="n">
        <v>0.12849</v>
      </c>
      <c r="L10">
        <f>H10*K10</f>
        <v/>
      </c>
      <c r="M10">
        <f>I10*K10</f>
        <v/>
      </c>
      <c r="N10" s="3" t="n">
        <v>88.95</v>
      </c>
      <c r="O10" s="3" t="n">
        <v>88.95</v>
      </c>
      <c r="P10" s="3" t="n">
        <v>88.95</v>
      </c>
      <c r="Q10">
        <f>L10*N10</f>
        <v/>
      </c>
      <c r="R10">
        <f>J10*P10</f>
        <v/>
      </c>
      <c r="S10">
        <f>M10*O10</f>
        <v/>
      </c>
      <c r="T10">
        <f>Q10-R10-S10</f>
        <v/>
      </c>
      <c r="U10" t="inlineStr">
        <is>
          <t>HKD: FCY→USD editable; Sale/Cost FX = USD/INR (Rule 115)</t>
        </is>
      </c>
    </row>
    <row r="11"/>
    <row r="12">
      <c r="G12" s="4" t="inlineStr">
        <is>
          <t>TOTAL STCG (INR)</t>
        </is>
      </c>
      <c r="T12" s="4">
        <f>SUMIF(G5:G10,"STCG",T5:T10)</f>
        <v/>
      </c>
    </row>
    <row r="13">
      <c r="G13" s="4" t="inlineStr">
        <is>
          <t>TOTAL LTCG (INR)</t>
        </is>
      </c>
      <c r="T13" s="4">
        <f>SUMIF(G5:G10,"LTCG",T5:T10)</f>
        <v/>
      </c>
    </row>
    <row r="14">
      <c r="G14" s="4" t="inlineStr">
        <is>
          <t>TOTAL CG (INR)</t>
        </is>
      </c>
      <c r="T14" s="4">
        <f>T12+T13</f>
        <v/>
      </c>
    </row>
    <row r="15"/>
    <row r="16">
      <c r="A16" t="inlineStr">
        <is>
          <t>How to reconcile before filing:</t>
        </is>
      </c>
    </row>
    <row r="17">
      <c r="A17" t="inlineStr">
        <is>
          <t>1. Check Sale Proceeds (FCY) / Cost Basis (FCY) vs IBKR trade Proceeds &amp; Basis.</t>
        </is>
      </c>
    </row>
    <row r="18">
      <c r="A18" t="inlineStr">
        <is>
          <t>2. Edit yellow FX cells (N Sale FX, O Cost FX, P Comm USD/INR) to exact SBI TT Buy card rates.</t>
        </is>
      </c>
    </row>
    <row r="19">
      <c r="A19" t="inlineStr">
        <is>
          <t>3. For HKD/JPY, edit FCY→USD (K) if using trade-date FX instead of 31-Dec-2025 IBKR close.</t>
        </is>
      </c>
    </row>
    <row r="20">
      <c r="A20" t="inlineStr">
        <is>
          <t>4. Gain/(Loss) cell formula: =Q-R-S i.e. Sale INR − Comm INR − Cost INR.</t>
        </is>
      </c>
    </row>
    <row r="21">
      <c r="A21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31-Dec-2024 (CY2025 open)</t>
        </is>
      </c>
      <c r="B3" t="inlineStr">
        <is>
          <t>ASML</t>
        </is>
      </c>
      <c r="C3" t="n">
        <v>6</v>
      </c>
      <c r="D3" s="2" t="n">
        <v>45587</v>
      </c>
      <c r="E3" t="n">
        <v>4337.5004</v>
      </c>
      <c r="F3" t="inlineStr">
        <is>
          <t>USD</t>
        </is>
      </c>
      <c r="G3" t="inlineStr">
        <is>
          <t>buy</t>
        </is>
      </c>
    </row>
    <row r="4">
      <c r="A4" t="inlineStr">
        <is>
          <t>31-Dec-2024 (CY2025 open)</t>
        </is>
      </c>
      <c r="B4" t="inlineStr">
        <is>
          <t>AVGO</t>
        </is>
      </c>
      <c r="C4" t="n">
        <v>9</v>
      </c>
      <c r="D4" s="2" t="n">
        <v>45541</v>
      </c>
      <c r="E4" t="n">
        <v>1268.9203</v>
      </c>
      <c r="F4" t="inlineStr">
        <is>
          <t>USD</t>
        </is>
      </c>
      <c r="G4" t="inlineStr">
        <is>
          <t>buy</t>
        </is>
      </c>
    </row>
    <row r="5">
      <c r="A5" t="inlineStr">
        <is>
          <t>31-Dec-2024 (CY2025 open)</t>
        </is>
      </c>
      <c r="B5" t="inlineStr">
        <is>
          <t>AXP</t>
        </is>
      </c>
      <c r="C5" t="n">
        <v>3</v>
      </c>
      <c r="D5" s="2" t="n">
        <v>45541</v>
      </c>
      <c r="E5" t="n">
        <v>761.6201</v>
      </c>
      <c r="F5" t="inlineStr">
        <is>
          <t>USD</t>
        </is>
      </c>
      <c r="G5" t="inlineStr">
        <is>
          <t>buy</t>
        </is>
      </c>
    </row>
    <row r="6">
      <c r="A6" t="inlineStr">
        <is>
          <t>31-Dec-2024 (CY2025 open)</t>
        </is>
      </c>
      <c r="B6" t="inlineStr">
        <is>
          <t>BAC</t>
        </is>
      </c>
      <c r="C6" t="n">
        <v>30</v>
      </c>
      <c r="D6" s="2" t="n">
        <v>45568</v>
      </c>
      <c r="E6" t="n">
        <v>1174.4522</v>
      </c>
      <c r="F6" t="inlineStr">
        <is>
          <t>USD</t>
        </is>
      </c>
      <c r="G6" t="inlineStr">
        <is>
          <t>buy</t>
        </is>
      </c>
    </row>
    <row r="7">
      <c r="A7" t="inlineStr">
        <is>
          <t>31-Dec-2024 (CY2025 open)</t>
        </is>
      </c>
      <c r="B7" t="inlineStr">
        <is>
          <t>BLBD</t>
        </is>
      </c>
      <c r="C7" t="n">
        <v>24</v>
      </c>
      <c r="D7" s="2" t="n">
        <v>45568</v>
      </c>
      <c r="E7" t="n">
        <v>1071.1617</v>
      </c>
      <c r="F7" t="inlineStr">
        <is>
          <t>USD</t>
        </is>
      </c>
      <c r="G7" t="inlineStr">
        <is>
          <t>buy</t>
        </is>
      </c>
    </row>
    <row r="8">
      <c r="A8" t="inlineStr">
        <is>
          <t>31-Dec-2024 (CY2025 open)</t>
        </is>
      </c>
      <c r="B8" t="inlineStr">
        <is>
          <t>BX</t>
        </is>
      </c>
      <c r="C8" t="n">
        <v>9</v>
      </c>
      <c r="D8" s="2" t="n">
        <v>45568</v>
      </c>
      <c r="E8" t="n">
        <v>1358.9656</v>
      </c>
      <c r="F8" t="inlineStr">
        <is>
          <t>USD</t>
        </is>
      </c>
      <c r="G8" t="inlineStr">
        <is>
          <t>buy</t>
        </is>
      </c>
    </row>
    <row r="9">
      <c r="A9" t="inlineStr">
        <is>
          <t>31-Dec-2024 (CY2025 open)</t>
        </is>
      </c>
      <c r="B9" t="inlineStr">
        <is>
          <t>CAT</t>
        </is>
      </c>
      <c r="C9" t="n">
        <v>3</v>
      </c>
      <c r="D9" s="2" t="n">
        <v>45541</v>
      </c>
      <c r="E9" t="n">
        <v>1011.7001</v>
      </c>
      <c r="F9" t="inlineStr">
        <is>
          <t>USD</t>
        </is>
      </c>
      <c r="G9" t="inlineStr">
        <is>
          <t>buy</t>
        </is>
      </c>
    </row>
    <row r="10">
      <c r="A10" t="inlineStr">
        <is>
          <t>31-Dec-2024 (CY2025 open)</t>
        </is>
      </c>
      <c r="B10" t="inlineStr">
        <is>
          <t>CNUA</t>
        </is>
      </c>
      <c r="C10" t="n">
        <v>9</v>
      </c>
      <c r="D10" s="2" t="n">
        <v>45566</v>
      </c>
      <c r="E10" t="n">
        <v>1062.15</v>
      </c>
      <c r="F10" t="inlineStr">
        <is>
          <t>EUR</t>
        </is>
      </c>
      <c r="G10" t="inlineStr">
        <is>
          <t>buy</t>
        </is>
      </c>
    </row>
    <row r="11">
      <c r="A11" t="inlineStr">
        <is>
          <t>31-Dec-2024 (CY2025 open)</t>
        </is>
      </c>
      <c r="B11" t="inlineStr">
        <is>
          <t>DXJ</t>
        </is>
      </c>
      <c r="C11" t="n">
        <v>24</v>
      </c>
      <c r="D11" s="2" t="n">
        <v>45541</v>
      </c>
      <c r="E11" t="n">
        <v>2446.3608</v>
      </c>
      <c r="F11" t="inlineStr">
        <is>
          <t>USD</t>
        </is>
      </c>
      <c r="G11" t="inlineStr">
        <is>
          <t>buy</t>
        </is>
      </c>
    </row>
    <row r="12">
      <c r="A12" t="inlineStr">
        <is>
          <t>31-Dec-2024 (CY2025 open)</t>
        </is>
      </c>
      <c r="B12" t="inlineStr">
        <is>
          <t>EMXC</t>
        </is>
      </c>
      <c r="C12" t="n">
        <v>75</v>
      </c>
      <c r="D12" s="2" t="n">
        <v>45541</v>
      </c>
      <c r="E12" t="n">
        <v>4452.2526</v>
      </c>
      <c r="F12" t="inlineStr">
        <is>
          <t>USD</t>
        </is>
      </c>
      <c r="G12" t="inlineStr">
        <is>
          <t>buy</t>
        </is>
      </c>
    </row>
    <row r="13">
      <c r="A13" t="inlineStr">
        <is>
          <t>31-Dec-2024 (CY2025 open)</t>
        </is>
      </c>
      <c r="B13" t="inlineStr">
        <is>
          <t>GE</t>
        </is>
      </c>
      <c r="C13" t="n">
        <v>7</v>
      </c>
      <c r="D13" s="2" t="n">
        <v>45541</v>
      </c>
      <c r="E13" t="n">
        <v>1158.1002</v>
      </c>
      <c r="F13" t="inlineStr">
        <is>
          <t>USD</t>
        </is>
      </c>
      <c r="G13" t="inlineStr">
        <is>
          <t>buy</t>
        </is>
      </c>
    </row>
    <row r="14">
      <c r="A14" t="inlineStr">
        <is>
          <t>31-Dec-2024 (CY2025 open)</t>
        </is>
      </c>
      <c r="B14" t="inlineStr">
        <is>
          <t>LLY</t>
        </is>
      </c>
      <c r="C14" t="n">
        <v>3</v>
      </c>
      <c r="D14" s="2" t="n">
        <v>45600</v>
      </c>
      <c r="E14" t="n">
        <v>2419.0001</v>
      </c>
      <c r="F14" t="inlineStr">
        <is>
          <t>USD</t>
        </is>
      </c>
      <c r="G14" t="inlineStr">
        <is>
          <t>buy</t>
        </is>
      </c>
    </row>
    <row r="15">
      <c r="A15" t="inlineStr">
        <is>
          <t>31-Dec-2024 (CY2025 open)</t>
        </is>
      </c>
      <c r="B15" t="inlineStr">
        <is>
          <t>LRCX</t>
        </is>
      </c>
      <c r="C15" t="n">
        <v>30</v>
      </c>
      <c r="D15" s="2" t="n">
        <v>45541</v>
      </c>
      <c r="E15" t="n">
        <v>2217.7001</v>
      </c>
      <c r="F15" t="inlineStr">
        <is>
          <t>USD</t>
        </is>
      </c>
      <c r="G15" t="inlineStr">
        <is>
          <t>buy</t>
        </is>
      </c>
    </row>
    <row r="16">
      <c r="A16" t="inlineStr">
        <is>
          <t>31-Dec-2024 (CY2025 open)</t>
        </is>
      </c>
      <c r="B16" t="inlineStr">
        <is>
          <t>LU0099574567</t>
        </is>
      </c>
      <c r="C16" t="n">
        <v>511.42</v>
      </c>
      <c r="D16" s="2" t="n">
        <v>45560</v>
      </c>
      <c r="E16" t="n">
        <v>34234.45</v>
      </c>
      <c r="F16" t="inlineStr">
        <is>
          <t>EUR</t>
        </is>
      </c>
      <c r="G16" t="inlineStr">
        <is>
          <t>buy</t>
        </is>
      </c>
    </row>
    <row r="17">
      <c r="A17" t="inlineStr">
        <is>
          <t>31-Dec-2024 (CY2025 open)</t>
        </is>
      </c>
      <c r="B17" t="inlineStr">
        <is>
          <t>LU0106831901</t>
        </is>
      </c>
      <c r="C17" t="n">
        <v>792.45</v>
      </c>
      <c r="D17" s="2" t="n">
        <v>45554</v>
      </c>
      <c r="E17" t="n">
        <v>38853.82</v>
      </c>
      <c r="F17" t="inlineStr">
        <is>
          <t>USD</t>
        </is>
      </c>
      <c r="G17" t="inlineStr">
        <is>
          <t>buy</t>
        </is>
      </c>
    </row>
    <row r="18">
      <c r="A18" t="inlineStr">
        <is>
          <t>31-Dec-2024 (CY2025 open)</t>
        </is>
      </c>
      <c r="B18" t="inlineStr">
        <is>
          <t>MSFT</t>
        </is>
      </c>
      <c r="C18" t="n">
        <v>3</v>
      </c>
      <c r="D18" s="2" t="n">
        <v>45568</v>
      </c>
      <c r="E18" t="n">
        <v>1254.0552</v>
      </c>
      <c r="F18" t="inlineStr">
        <is>
          <t>USD</t>
        </is>
      </c>
      <c r="G18" t="inlineStr">
        <is>
          <t>buy</t>
        </is>
      </c>
    </row>
    <row r="19">
      <c r="A19" t="inlineStr">
        <is>
          <t>31-Dec-2024 (CY2025 open)</t>
        </is>
      </c>
      <c r="B19" t="inlineStr">
        <is>
          <t>R6C0d</t>
        </is>
      </c>
      <c r="C19" t="n">
        <v>33</v>
      </c>
      <c r="D19" s="2" t="n">
        <v>45561</v>
      </c>
      <c r="E19" t="n">
        <v>963.3</v>
      </c>
      <c r="F19" t="inlineStr">
        <is>
          <t>EUR</t>
        </is>
      </c>
      <c r="G19" t="inlineStr">
        <is>
          <t>buy</t>
        </is>
      </c>
    </row>
    <row r="20">
      <c r="A20" t="inlineStr">
        <is>
          <t>31-Dec-2024 (CY2025 open)</t>
        </is>
      </c>
      <c r="B20" t="inlineStr">
        <is>
          <t>SHOP</t>
        </is>
      </c>
      <c r="C20" t="n">
        <v>84</v>
      </c>
      <c r="D20" s="2" t="n">
        <v>45554</v>
      </c>
      <c r="E20" t="n">
        <v>6318.48</v>
      </c>
      <c r="F20" t="inlineStr">
        <is>
          <t>USD</t>
        </is>
      </c>
      <c r="G20" t="inlineStr">
        <is>
          <t>buy</t>
        </is>
      </c>
    </row>
    <row r="21">
      <c r="A21" t="inlineStr">
        <is>
          <t>31-Dec-2024 (CY2025 open)</t>
        </is>
      </c>
      <c r="B21" t="inlineStr">
        <is>
          <t>SIEd</t>
        </is>
      </c>
      <c r="C21" t="n">
        <v>7</v>
      </c>
      <c r="D21" s="2" t="n">
        <v>45541</v>
      </c>
      <c r="E21" t="n">
        <v>1162.2</v>
      </c>
      <c r="F21" t="inlineStr">
        <is>
          <t>EUR</t>
        </is>
      </c>
      <c r="G21" t="inlineStr">
        <is>
          <t>buy</t>
        </is>
      </c>
    </row>
    <row r="22">
      <c r="A22" t="inlineStr">
        <is>
          <t>31-Dec-2024 (CY2025 open)</t>
        </is>
      </c>
      <c r="B22" t="inlineStr">
        <is>
          <t>TGT</t>
        </is>
      </c>
      <c r="C22" t="n">
        <v>9</v>
      </c>
      <c r="D22" s="2" t="n">
        <v>45541</v>
      </c>
      <c r="E22" t="n">
        <v>1373.5003</v>
      </c>
      <c r="F22" t="inlineStr">
        <is>
          <t>USD</t>
        </is>
      </c>
      <c r="G22" t="inlineStr">
        <is>
          <t>buy</t>
        </is>
      </c>
    </row>
    <row r="23">
      <c r="A23" t="inlineStr">
        <is>
          <t>31-Dec-2024 (CY2025 open)</t>
        </is>
      </c>
      <c r="B23" t="inlineStr">
        <is>
          <t>TIP</t>
        </is>
      </c>
      <c r="C23" t="n">
        <v>39</v>
      </c>
      <c r="D23" s="2" t="n">
        <v>45541</v>
      </c>
      <c r="E23" t="n">
        <v>4271.5014</v>
      </c>
      <c r="F23" t="inlineStr">
        <is>
          <t>USD</t>
        </is>
      </c>
      <c r="G23" t="inlineStr">
        <is>
          <t>buy</t>
        </is>
      </c>
    </row>
    <row r="24">
      <c r="A24" t="inlineStr">
        <is>
          <t>31-Dec-2024 (CY2025 open)</t>
        </is>
      </c>
      <c r="B24" t="inlineStr">
        <is>
          <t>TSM</t>
        </is>
      </c>
      <c r="C24" t="n">
        <v>14</v>
      </c>
      <c r="D24" s="2" t="n">
        <v>45541</v>
      </c>
      <c r="E24" t="n">
        <v>2267.6005</v>
      </c>
      <c r="F24" t="inlineStr">
        <is>
          <t>USD</t>
        </is>
      </c>
      <c r="G24" t="inlineStr">
        <is>
          <t>buy</t>
        </is>
      </c>
    </row>
    <row r="25">
      <c r="A25" t="inlineStr">
        <is>
          <t>31-Mar-2025 (FY2025-26 open)</t>
        </is>
      </c>
      <c r="B25" t="inlineStr">
        <is>
          <t>2914.T</t>
        </is>
      </c>
      <c r="C25" t="n">
        <v>100</v>
      </c>
      <c r="D25" s="2" t="n">
        <v>45725</v>
      </c>
      <c r="E25" t="n">
        <v>385908.48</v>
      </c>
      <c r="F25" t="inlineStr">
        <is>
          <t>JPY</t>
        </is>
      </c>
      <c r="G25" t="inlineStr">
        <is>
          <t>buy</t>
        </is>
      </c>
    </row>
    <row r="26">
      <c r="A26" t="inlineStr">
        <is>
          <t>31-Mar-2025 (FY2025-26 open)</t>
        </is>
      </c>
      <c r="B26" t="inlineStr">
        <is>
          <t>4568.T</t>
        </is>
      </c>
      <c r="C26" t="n">
        <v>100</v>
      </c>
      <c r="D26" s="2" t="n">
        <v>45736</v>
      </c>
      <c r="E26" t="n">
        <v>372297.6</v>
      </c>
      <c r="F26" t="inlineStr">
        <is>
          <t>JPY</t>
        </is>
      </c>
      <c r="G26" t="inlineStr">
        <is>
          <t>buy</t>
        </is>
      </c>
    </row>
    <row r="27">
      <c r="A27" t="inlineStr">
        <is>
          <t>31-Mar-2025 (FY2025-26 open)</t>
        </is>
      </c>
      <c r="B27" t="inlineStr">
        <is>
          <t>ASML</t>
        </is>
      </c>
      <c r="C27" t="n">
        <v>6</v>
      </c>
      <c r="D27" s="2" t="n">
        <v>45587</v>
      </c>
      <c r="E27" t="n">
        <v>4337.5004</v>
      </c>
      <c r="F27" t="inlineStr">
        <is>
          <t>USD</t>
        </is>
      </c>
      <c r="G27" t="inlineStr">
        <is>
          <t>buy</t>
        </is>
      </c>
    </row>
    <row r="28">
      <c r="A28" t="inlineStr">
        <is>
          <t>31-Mar-2025 (FY2025-26 open)</t>
        </is>
      </c>
      <c r="B28" t="inlineStr">
        <is>
          <t>AVGO</t>
        </is>
      </c>
      <c r="C28" t="n">
        <v>9</v>
      </c>
      <c r="D28" s="2" t="n">
        <v>45541</v>
      </c>
      <c r="E28" t="n">
        <v>1268.9203</v>
      </c>
      <c r="F28" t="inlineStr">
        <is>
          <t>USD</t>
        </is>
      </c>
      <c r="G28" t="inlineStr">
        <is>
          <t>buy</t>
        </is>
      </c>
    </row>
    <row r="29">
      <c r="A29" t="inlineStr">
        <is>
          <t>31-Mar-2025 (FY2025-26 open)</t>
        </is>
      </c>
      <c r="B29" t="inlineStr">
        <is>
          <t>AXP</t>
        </is>
      </c>
      <c r="C29" t="n">
        <v>3</v>
      </c>
      <c r="D29" s="2" t="n">
        <v>45541</v>
      </c>
      <c r="E29" t="n">
        <v>761.6201</v>
      </c>
      <c r="F29" t="inlineStr">
        <is>
          <t>USD</t>
        </is>
      </c>
      <c r="G29" t="inlineStr">
        <is>
          <t>buy</t>
        </is>
      </c>
    </row>
    <row r="30">
      <c r="A30" t="inlineStr">
        <is>
          <t>31-Mar-2025 (FY2025-26 open)</t>
        </is>
      </c>
      <c r="B30" t="inlineStr">
        <is>
          <t>BAC</t>
        </is>
      </c>
      <c r="C30" t="n">
        <v>30</v>
      </c>
      <c r="D30" s="2" t="n">
        <v>45568</v>
      </c>
      <c r="E30" t="n">
        <v>1174.4522</v>
      </c>
      <c r="F30" t="inlineStr">
        <is>
          <t>USD</t>
        </is>
      </c>
      <c r="G30" t="inlineStr">
        <is>
          <t>buy</t>
        </is>
      </c>
    </row>
    <row r="31">
      <c r="A31" t="inlineStr">
        <is>
          <t>31-Mar-2025 (FY2025-26 open)</t>
        </is>
      </c>
      <c r="B31" t="inlineStr">
        <is>
          <t>BLBD</t>
        </is>
      </c>
      <c r="C31" t="n">
        <v>24</v>
      </c>
      <c r="D31" s="2" t="n">
        <v>45568</v>
      </c>
      <c r="E31" t="n">
        <v>1071.1617</v>
      </c>
      <c r="F31" t="inlineStr">
        <is>
          <t>USD</t>
        </is>
      </c>
      <c r="G31" t="inlineStr">
        <is>
          <t>buy</t>
        </is>
      </c>
    </row>
    <row r="32">
      <c r="A32" t="inlineStr">
        <is>
          <t>31-Mar-2025 (FY2025-26 open)</t>
        </is>
      </c>
      <c r="B32" t="inlineStr">
        <is>
          <t>BX</t>
        </is>
      </c>
      <c r="C32" t="n">
        <v>9</v>
      </c>
      <c r="D32" s="2" t="n">
        <v>45568</v>
      </c>
      <c r="E32" t="n">
        <v>1358.9656</v>
      </c>
      <c r="F32" t="inlineStr">
        <is>
          <t>USD</t>
        </is>
      </c>
      <c r="G32" t="inlineStr">
        <is>
          <t>buy</t>
        </is>
      </c>
    </row>
    <row r="33">
      <c r="A33" t="inlineStr">
        <is>
          <t>31-Mar-2025 (FY2025-26 open)</t>
        </is>
      </c>
      <c r="B33" t="inlineStr">
        <is>
          <t>CAT</t>
        </is>
      </c>
      <c r="C33" t="n">
        <v>3</v>
      </c>
      <c r="D33" s="2" t="n">
        <v>45541</v>
      </c>
      <c r="E33" t="n">
        <v>1011.7001</v>
      </c>
      <c r="F33" t="inlineStr">
        <is>
          <t>USD</t>
        </is>
      </c>
      <c r="G33" t="inlineStr">
        <is>
          <t>buy</t>
        </is>
      </c>
    </row>
    <row r="34">
      <c r="A34" t="inlineStr">
        <is>
          <t>31-Mar-2025 (FY2025-26 open)</t>
        </is>
      </c>
      <c r="B34" t="inlineStr">
        <is>
          <t>CNUA</t>
        </is>
      </c>
      <c r="C34" t="n">
        <v>9</v>
      </c>
      <c r="D34" s="2" t="n">
        <v>45566</v>
      </c>
      <c r="E34" t="n">
        <v>1062.15</v>
      </c>
      <c r="F34" t="inlineStr">
        <is>
          <t>EUR</t>
        </is>
      </c>
      <c r="G34" t="inlineStr">
        <is>
          <t>buy</t>
        </is>
      </c>
    </row>
    <row r="35">
      <c r="A35" t="inlineStr">
        <is>
          <t>31-Mar-2025 (FY2025-26 open)</t>
        </is>
      </c>
      <c r="B35" t="inlineStr">
        <is>
          <t>DXJ</t>
        </is>
      </c>
      <c r="C35" t="n">
        <v>24</v>
      </c>
      <c r="D35" s="2" t="n">
        <v>45541</v>
      </c>
      <c r="E35" t="n">
        <v>2446.3608</v>
      </c>
      <c r="F35" t="inlineStr">
        <is>
          <t>USD</t>
        </is>
      </c>
      <c r="G35" t="inlineStr">
        <is>
          <t>buy</t>
        </is>
      </c>
    </row>
    <row r="36">
      <c r="A36" t="inlineStr">
        <is>
          <t>31-Mar-2025 (FY2025-26 open)</t>
        </is>
      </c>
      <c r="B36" t="inlineStr">
        <is>
          <t>EMXC</t>
        </is>
      </c>
      <c r="C36" t="n">
        <v>75</v>
      </c>
      <c r="D36" s="2" t="n">
        <v>45541</v>
      </c>
      <c r="E36" t="n">
        <v>4452.2526</v>
      </c>
      <c r="F36" t="inlineStr">
        <is>
          <t>USD</t>
        </is>
      </c>
      <c r="G36" t="inlineStr">
        <is>
          <t>buy</t>
        </is>
      </c>
    </row>
    <row r="37">
      <c r="A37" t="inlineStr">
        <is>
          <t>31-Mar-2025 (FY2025-26 open)</t>
        </is>
      </c>
      <c r="B37" t="inlineStr">
        <is>
          <t>GE</t>
        </is>
      </c>
      <c r="C37" t="n">
        <v>7</v>
      </c>
      <c r="D37" s="2" t="n">
        <v>45541</v>
      </c>
      <c r="E37" t="n">
        <v>1158.1002</v>
      </c>
      <c r="F37" t="inlineStr">
        <is>
          <t>USD</t>
        </is>
      </c>
      <c r="G37" t="inlineStr">
        <is>
          <t>buy</t>
        </is>
      </c>
    </row>
    <row r="38">
      <c r="A38" t="inlineStr">
        <is>
          <t>31-Mar-2025 (FY2025-26 open)</t>
        </is>
      </c>
      <c r="B38" t="inlineStr">
        <is>
          <t>LLY</t>
        </is>
      </c>
      <c r="C38" t="n">
        <v>3</v>
      </c>
      <c r="D38" s="2" t="n">
        <v>45600</v>
      </c>
      <c r="E38" t="n">
        <v>2419.0001</v>
      </c>
      <c r="F38" t="inlineStr">
        <is>
          <t>USD</t>
        </is>
      </c>
      <c r="G38" t="inlineStr">
        <is>
          <t>buy</t>
        </is>
      </c>
    </row>
    <row r="39">
      <c r="A39" t="inlineStr">
        <is>
          <t>31-Mar-2025 (FY2025-26 open)</t>
        </is>
      </c>
      <c r="B39" t="inlineStr">
        <is>
          <t>LRCX</t>
        </is>
      </c>
      <c r="C39" t="n">
        <v>30</v>
      </c>
      <c r="D39" s="2" t="n">
        <v>45541</v>
      </c>
      <c r="E39" t="n">
        <v>2217.7001</v>
      </c>
      <c r="F39" t="inlineStr">
        <is>
          <t>USD</t>
        </is>
      </c>
      <c r="G39" t="inlineStr">
        <is>
          <t>buy</t>
        </is>
      </c>
    </row>
    <row r="40">
      <c r="A40" t="inlineStr">
        <is>
          <t>31-Mar-2025 (FY2025-26 open)</t>
        </is>
      </c>
      <c r="B40" t="inlineStr">
        <is>
          <t>LU0099574567</t>
        </is>
      </c>
      <c r="C40" t="n">
        <v>511.42</v>
      </c>
      <c r="D40" s="2" t="n">
        <v>45560</v>
      </c>
      <c r="E40" t="n">
        <v>34234.45</v>
      </c>
      <c r="F40" t="inlineStr">
        <is>
          <t>EUR</t>
        </is>
      </c>
      <c r="G40" t="inlineStr">
        <is>
          <t>buy</t>
        </is>
      </c>
    </row>
    <row r="41">
      <c r="A41" t="inlineStr">
        <is>
          <t>31-Mar-2025 (FY2025-26 open)</t>
        </is>
      </c>
      <c r="B41" t="inlineStr">
        <is>
          <t>LU0106831901</t>
        </is>
      </c>
      <c r="C41" t="n">
        <v>792.45</v>
      </c>
      <c r="D41" s="2" t="n">
        <v>45554</v>
      </c>
      <c r="E41" t="n">
        <v>38853.82</v>
      </c>
      <c r="F41" t="inlineStr">
        <is>
          <t>USD</t>
        </is>
      </c>
      <c r="G41" t="inlineStr">
        <is>
          <t>buy</t>
        </is>
      </c>
    </row>
    <row r="42">
      <c r="A42" t="inlineStr">
        <is>
          <t>31-Mar-2025 (FY2025-26 open)</t>
        </is>
      </c>
      <c r="B42" t="inlineStr">
        <is>
          <t>MSFT</t>
        </is>
      </c>
      <c r="C42" t="n">
        <v>3</v>
      </c>
      <c r="D42" s="2" t="n">
        <v>45568</v>
      </c>
      <c r="E42" t="n">
        <v>1254.0552</v>
      </c>
      <c r="F42" t="inlineStr">
        <is>
          <t>USD</t>
        </is>
      </c>
      <c r="G42" t="inlineStr">
        <is>
          <t>buy</t>
        </is>
      </c>
    </row>
    <row r="43">
      <c r="A43" t="inlineStr">
        <is>
          <t>31-Mar-2025 (FY2025-26 open)</t>
        </is>
      </c>
      <c r="B43" t="inlineStr">
        <is>
          <t>NOVd</t>
        </is>
      </c>
      <c r="C43" t="n">
        <v>30</v>
      </c>
      <c r="D43" s="2" t="n">
        <v>45737</v>
      </c>
      <c r="E43" t="n">
        <v>2103</v>
      </c>
      <c r="F43" t="inlineStr">
        <is>
          <t>EUR</t>
        </is>
      </c>
      <c r="G43" t="inlineStr">
        <is>
          <t>buy</t>
        </is>
      </c>
    </row>
    <row r="44">
      <c r="A44" t="inlineStr">
        <is>
          <t>31-Mar-2025 (FY2025-26 open)</t>
        </is>
      </c>
      <c r="B44" t="inlineStr">
        <is>
          <t>R6C0d</t>
        </is>
      </c>
      <c r="C44" t="n">
        <v>33</v>
      </c>
      <c r="D44" s="2" t="n">
        <v>45561</v>
      </c>
      <c r="E44" t="n">
        <v>963.3</v>
      </c>
      <c r="F44" t="inlineStr">
        <is>
          <t>EUR</t>
        </is>
      </c>
      <c r="G44" t="inlineStr">
        <is>
          <t>buy</t>
        </is>
      </c>
    </row>
    <row r="45">
      <c r="A45" t="inlineStr">
        <is>
          <t>31-Mar-2025 (FY2025-26 open)</t>
        </is>
      </c>
      <c r="B45" t="inlineStr">
        <is>
          <t>SHOP</t>
        </is>
      </c>
      <c r="C45" t="n">
        <v>84</v>
      </c>
      <c r="D45" s="2" t="n">
        <v>45554</v>
      </c>
      <c r="E45" t="n">
        <v>6318.48</v>
      </c>
      <c r="F45" t="inlineStr">
        <is>
          <t>USD</t>
        </is>
      </c>
      <c r="G45" t="inlineStr">
        <is>
          <t>buy</t>
        </is>
      </c>
    </row>
    <row r="46">
      <c r="A46" t="inlineStr">
        <is>
          <t>31-Mar-2025 (FY2025-26 open)</t>
        </is>
      </c>
      <c r="B46" t="inlineStr">
        <is>
          <t>SIEd</t>
        </is>
      </c>
      <c r="C46" t="n">
        <v>7</v>
      </c>
      <c r="D46" s="2" t="n">
        <v>45541</v>
      </c>
      <c r="E46" t="n">
        <v>1162.2</v>
      </c>
      <c r="F46" t="inlineStr">
        <is>
          <t>EUR</t>
        </is>
      </c>
      <c r="G46" t="inlineStr">
        <is>
          <t>buy</t>
        </is>
      </c>
    </row>
    <row r="47">
      <c r="A47" t="inlineStr">
        <is>
          <t>31-Mar-2025 (FY2025-26 open)</t>
        </is>
      </c>
      <c r="B47" t="inlineStr">
        <is>
          <t>TGT</t>
        </is>
      </c>
      <c r="C47" t="n">
        <v>9</v>
      </c>
      <c r="D47" s="2" t="n">
        <v>45541</v>
      </c>
      <c r="E47" t="n">
        <v>1373.5003</v>
      </c>
      <c r="F47" t="inlineStr">
        <is>
          <t>USD</t>
        </is>
      </c>
      <c r="G47" t="inlineStr">
        <is>
          <t>buy</t>
        </is>
      </c>
    </row>
    <row r="48">
      <c r="A48" t="inlineStr">
        <is>
          <t>31-Mar-2025 (FY2025-26 open)</t>
        </is>
      </c>
      <c r="B48" t="inlineStr">
        <is>
          <t>TIP</t>
        </is>
      </c>
      <c r="C48" t="n">
        <v>39</v>
      </c>
      <c r="D48" s="2" t="n">
        <v>45541</v>
      </c>
      <c r="E48" t="n">
        <v>4271.5014</v>
      </c>
      <c r="F48" t="inlineStr">
        <is>
          <t>USD</t>
        </is>
      </c>
      <c r="G48" t="inlineStr">
        <is>
          <t>buy</t>
        </is>
      </c>
    </row>
    <row r="49">
      <c r="A49" t="inlineStr">
        <is>
          <t>31-Mar-2025 (FY2025-26 open)</t>
        </is>
      </c>
      <c r="B49" t="inlineStr">
        <is>
          <t>TSM</t>
        </is>
      </c>
      <c r="C49" t="n">
        <v>14</v>
      </c>
      <c r="D49" s="2" t="n">
        <v>45541</v>
      </c>
      <c r="E49" t="n">
        <v>2267.6005</v>
      </c>
      <c r="F49" t="inlineStr">
        <is>
          <t>USD</t>
        </is>
      </c>
      <c r="G49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>
      <c r="A2" t="inlineStr">
        <is>
          <t>1810</t>
        </is>
      </c>
      <c r="B2" t="n">
        <v>-50146</v>
      </c>
      <c r="C2" t="n">
        <v>0</v>
      </c>
      <c r="D2" t="n">
        <v>-50146</v>
      </c>
      <c r="E2" t="n">
        <v>3099.18</v>
      </c>
      <c r="F2" t="n">
        <v>3671.58</v>
      </c>
    </row>
    <row r="3">
      <c r="A3" t="inlineStr">
        <is>
          <t>BLBD</t>
        </is>
      </c>
      <c r="B3" t="n">
        <v>25723</v>
      </c>
      <c r="C3" t="n">
        <v>0</v>
      </c>
      <c r="D3" t="n">
        <v>25723</v>
      </c>
      <c r="E3" t="n">
        <v>1320</v>
      </c>
      <c r="F3" t="n">
        <v>1071.16</v>
      </c>
    </row>
    <row r="4">
      <c r="A4" t="inlineStr">
        <is>
          <t>NOVd</t>
        </is>
      </c>
      <c r="B4" t="n">
        <v>-150360</v>
      </c>
      <c r="C4" t="n">
        <v>0</v>
      </c>
      <c r="D4" t="n">
        <v>-150360</v>
      </c>
      <c r="E4" t="n">
        <v>3925.69</v>
      </c>
      <c r="F4" t="n">
        <v>5876.46</v>
      </c>
    </row>
    <row r="5">
      <c r="A5" t="inlineStr">
        <is>
          <t>ORCL</t>
        </is>
      </c>
      <c r="B5" t="n">
        <v>-54918</v>
      </c>
      <c r="C5" t="n">
        <v>0</v>
      </c>
      <c r="D5" t="n">
        <v>-54918</v>
      </c>
      <c r="E5" t="n">
        <v>932.0700000000001</v>
      </c>
      <c r="F5" t="n">
        <v>1563.12</v>
      </c>
    </row>
    <row r="6"/>
    <row r="7">
      <c r="A7" t="inlineStr">
        <is>
          <t>Note</t>
        </is>
      </c>
      <c r="B7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Yagyank Chadha (U15172057)</t>
        </is>
      </c>
    </row>
    <row r="2">
      <c r="A2" t="inlineStr">
        <is>
          <t>Assessee</t>
        </is>
      </c>
      <c r="B2" t="inlineStr">
        <is>
          <t>Yagyank Chadha — IBKR U15172057 (Individual) — Advisor: MATCAP WEALTH ADVISORS PRIVATE LIMITED</t>
        </is>
      </c>
    </row>
    <row r="3">
      <c r="A3" t="inlineStr">
        <is>
          <t>Account opening</t>
        </is>
      </c>
      <c r="B3" t="inlineStr">
        <is>
          <t>First funding Sep-2024 (EFTs). FOP In Sep-2024: SHOP × 84, Fidelity LU0099574567 × 511.42, BGF LU0106831901 × 792.45. Multi-currency equities/ETFs.</t>
        </is>
      </c>
    </row>
    <row r="4">
      <c r="A4" t="inlineStr">
        <is>
          <t>Related account</t>
        </is>
      </c>
      <c r="B4" t="inlineStr">
        <is>
          <t>Internal Out 23-May-2025 to U20291582: SHOP × 84 + both Lux UCITS — excluded from taxable CG (code I). See U20291582 workbook.</t>
        </is>
      </c>
    </row>
    <row r="5">
      <c r="A5" t="inlineStr">
        <is>
          <t>Capital gains FY2025-26</t>
        </is>
      </c>
      <c r="B5" t="inlineStr">
        <is>
          <t>Taxable sales: BLBD × 24 (11-Aug-2025), NOVd × 90 (24-Nov-2025), ORCL × 5 (25-Nov-2025), 1810 × 600 (21-Dec-2025). Internal Outs not taxable.</t>
        </is>
      </c>
    </row>
    <row r="6">
      <c r="A6" t="inlineStr">
        <is>
          <t>Annual CY2025 / YE marks</t>
        </is>
      </c>
      <c r="B6" t="inlineStr">
        <is>
          <t>No Calendar-Year Annual furnished. CY2025 synthesized from FY statements. YE2025 closes proxied from 31-Mar-2025 marks where still held, else cost — prefer IBKR Annual / PortfolioAnalyst for filing.</t>
        </is>
      </c>
    </row>
    <row r="7">
      <c r="A7" t="inlineStr">
        <is>
          <t>FX</t>
        </is>
      </c>
      <c r="B7" t="inlineStr">
        <is>
          <t>Non-USD holdings (EUR/HKD/JPY/DKK) converted via IBKR YE cross rates then Rule 115. Editable on FX Lookup / CG sheets.</t>
        </is>
      </c>
    </row>
    <row r="8">
      <c r="A8" t="inlineStr">
        <is>
          <t>Assessee</t>
        </is>
      </c>
      <c r="B8" t="inlineStr">
        <is>
          <t>Yagyank Chadha</t>
        </is>
      </c>
    </row>
    <row r="9">
      <c r="A9" t="inlineStr">
        <is>
          <t>Account</t>
        </is>
      </c>
      <c r="B9" t="inlineStr">
        <is>
          <t>U15172057 — Interactive Brokers LLC (Advisor Client; Advisor: MATCAP WEALTH ADVISORS PRIVATE LIMITED)</t>
        </is>
      </c>
    </row>
    <row r="10">
      <c r="A10" t="inlineStr">
        <is>
          <t>Customer type</t>
        </is>
      </c>
      <c r="B10" t="inlineStr">
        <is>
          <t>Individual</t>
        </is>
      </c>
    </row>
    <row r="11">
      <c r="A11" t="inlineStr">
        <is>
          <t>Base currency</t>
        </is>
      </c>
      <c r="B11" t="inlineStr">
        <is>
          <t>USD</t>
        </is>
      </c>
    </row>
    <row r="12">
      <c r="A12" t="inlineStr">
        <is>
          <t>Account funded</t>
        </is>
      </c>
      <c r="B12" t="inlineStr">
        <is>
          <t>First deposit 2024-09-03 (inception statement)</t>
        </is>
      </c>
    </row>
    <row r="13">
      <c r="A13" t="inlineStr">
        <is>
          <t>Schedule FA period</t>
        </is>
      </c>
      <c r="B13" t="inlineStr">
        <is>
          <t>Calendar Year 2025 (01-Jan-2025 to 31-Dec-2025) — for ITR AY 2026-27</t>
        </is>
      </c>
    </row>
    <row r="14">
      <c r="A14" t="inlineStr">
        <is>
          <t>Income / CG period</t>
        </is>
      </c>
      <c r="B14" t="inlineStr">
        <is>
          <t>FY 2025-26 (01-Apr-2025 to 31-Mar-2026); also FY 2024-25 sheet for prior year</t>
        </is>
      </c>
    </row>
    <row r="15">
      <c r="A15" t="inlineStr">
        <is>
          <t>Source data</t>
        </is>
      </c>
      <c r="B15" t="inlineStr">
        <is>
          <t>IBKR Activity Statements: Inception FY2024-25 + Annual CY2025 + Fiscal FY2025-26</t>
        </is>
      </c>
    </row>
    <row r="16">
      <c r="A16" t="inlineStr">
        <is>
          <t>FIFO method</t>
        </is>
      </c>
      <c r="B16" t="inlineStr">
        <is>
          <t>Actual buy dates &amp; IBKR Basis from inception replay; splits (LRCX 10:1, NFLX 10:1) applied</t>
        </is>
      </c>
    </row>
    <row r="17">
      <c r="A17" t="inlineStr">
        <is>
          <t>CG reconciliation</t>
        </is>
      </c>
      <c r="B17" t="inlineStr">
        <is>
          <t>Sheets 'Capital Gains FY2025-26' / 'FY2024-25' are formula-driven — yellow cells editable; Gain = Sale INR − Comm INR − Cost INR</t>
        </is>
      </c>
    </row>
    <row r="18">
      <c r="A18" t="inlineStr">
        <is>
          <t>FX Lookup</t>
        </is>
      </c>
      <c r="B18" t="inlineStr">
        <is>
          <t>Editable SBI TT USD/INR &amp; EUR/INR month-end rates + FCY→USD cross rates</t>
        </is>
      </c>
    </row>
    <row r="19">
      <c r="A19" t="inlineStr">
        <is>
          <t>Starting NAV CY2025</t>
        </is>
      </c>
      <c r="B19" t="inlineStr">
        <is>
          <t>USD 121,972.69</t>
        </is>
      </c>
    </row>
    <row r="20">
      <c r="A20" t="inlineStr">
        <is>
          <t>Ending NAV CY2025</t>
        </is>
      </c>
      <c r="B20" t="inlineStr">
        <is>
          <t>USD 82,610.66</t>
        </is>
      </c>
    </row>
    <row r="21">
      <c r="A21" t="inlineStr">
        <is>
          <t>Deposits CY2025</t>
        </is>
      </c>
      <c r="B21" t="inlineStr">
        <is>
          <t>USD 50,000.00</t>
        </is>
      </c>
    </row>
    <row r="22">
      <c r="A22" t="inlineStr">
        <is>
          <t>Deposits since inception (to 31-Mar-2025)</t>
        </is>
      </c>
      <c r="B22" t="inlineStr">
        <is>
          <t>USD 62,872.65</t>
        </is>
      </c>
    </row>
    <row r="23">
      <c r="A23" t="inlineStr">
        <is>
          <t>Dividends CY2025</t>
        </is>
      </c>
      <c r="B23" t="inlineStr">
        <is>
          <t>USD 1,617.42 / INR 140,901 (Rule 115)</t>
        </is>
      </c>
    </row>
    <row r="24">
      <c r="A24" t="inlineStr">
        <is>
          <t>Interest CY2025</t>
        </is>
      </c>
      <c r="B24" t="inlineStr">
        <is>
          <t>USD 142.47 / INR 12,327 (Rule 115)</t>
        </is>
      </c>
    </row>
    <row r="25">
      <c r="A25" t="inlineStr">
        <is>
          <t>Dividends FY2025-26</t>
        </is>
      </c>
      <c r="B25" t="inlineStr">
        <is>
          <t>USD 2,054.57 / INR 181,030</t>
        </is>
      </c>
    </row>
    <row r="26">
      <c r="A26" t="inlineStr">
        <is>
          <t>Interest FY2025-26</t>
        </is>
      </c>
      <c r="B26" t="inlineStr">
        <is>
          <t>USD 117.32 / INR 10,166</t>
        </is>
      </c>
    </row>
    <row r="27">
      <c r="A27" t="inlineStr">
        <is>
          <t>STCG FY2025-26 (INR)</t>
        </is>
      </c>
      <c r="B27" t="inlineStr">
        <is>
          <t>-229,701</t>
        </is>
      </c>
    </row>
    <row r="28">
      <c r="A28" t="inlineStr">
        <is>
          <t>LTCG FY2025-26 (INR)</t>
        </is>
      </c>
      <c r="B28" t="inlineStr">
        <is>
          <t>0</t>
        </is>
      </c>
    </row>
    <row r="29">
      <c r="A29" t="inlineStr">
        <is>
          <t>STCG FY2024-25 (INR)</t>
        </is>
      </c>
      <c r="B29" t="inlineStr">
        <is>
          <t>0</t>
        </is>
      </c>
    </row>
    <row r="30">
      <c r="A30" t="inlineStr">
        <is>
          <t>LTCG FY2024-25 (INR)</t>
        </is>
      </c>
      <c r="B30" t="inlineStr">
        <is>
          <t>0</t>
        </is>
      </c>
    </row>
    <row r="31">
      <c r="A31" t="inlineStr">
        <is>
          <t>A1 Foreign Bank/Depository</t>
        </is>
      </c>
      <c r="B31" t="inlineStr">
        <is>
          <t>Generally N/A separately — multi-currency cash sits inside IBKR custodial account (A2)</t>
        </is>
      </c>
    </row>
    <row r="32">
      <c r="A32" t="inlineStr">
        <is>
          <t>A2 Custodial Account</t>
        </is>
      </c>
      <c r="B32" t="inlineStr">
        <is>
          <t>Applicable — see sheet; opening: 2024-09-03 (first USD EFT funding)</t>
        </is>
      </c>
    </row>
    <row r="33">
      <c r="A33" t="inlineStr">
        <is>
          <t>A3 Equity &amp; Debt Interest</t>
        </is>
      </c>
      <c r="B33" t="inlineStr">
        <is>
          <t>Applicable — 46 FIFO lot lines (one row per acquisition lot; sold lots match Capital Gains)</t>
        </is>
      </c>
    </row>
    <row r="34">
      <c r="A34" t="inlineStr">
        <is>
          <t>A3 Col C (Name of entity)</t>
        </is>
      </c>
      <c r="B34" t="inlineStr">
        <is>
          <t>Symbol only (e.g. NOVd, AAPL). Legal name / address remain in Address &amp; Nature columns.</t>
        </is>
      </c>
    </row>
    <row r="35">
      <c r="A35" t="inlineStr">
        <is>
          <t>A3 vs CG</t>
        </is>
      </c>
      <c r="B35" t="inlineStr">
        <is>
          <t>Sold lots: A3 Initial = CG Cost (INR), A3 Sale = CG Sale (INR), same Rule 115/EUR FX. Multiple buys (e.g. NOVd 21-Mar &amp; 21-Aug) appear as separate A3 rows.</t>
        </is>
      </c>
    </row>
    <row r="36">
      <c r="A36" t="inlineStr">
        <is>
          <t>ADR country practice</t>
        </is>
      </c>
      <c r="B36" t="inlineStr">
        <is>
          <t>Underlying issuer country used for ADRs/GDRs (ASML NL, BTI UK, TSM TW, BYDDY CN, HYU KR, RIO UK)</t>
        </is>
      </c>
    </row>
    <row r="37">
      <c r="A37" t="inlineStr">
        <is>
          <t>CPNG</t>
        </is>
      </c>
      <c r="B37" t="inlineStr">
        <is>
          <t>USA (Delaware corporation, NYSE) despite Korea operations</t>
        </is>
      </c>
    </row>
    <row r="38">
      <c r="A38" t="inlineStr">
        <is>
          <t>NFLX split</t>
        </is>
      </c>
      <c r="B38" t="inlineStr">
        <is>
          <t>10-for-1 split on 14/17-Nov-2025 reflected in FIFO</t>
        </is>
      </c>
    </row>
    <row r="39">
      <c r="A39" t="inlineStr">
        <is>
          <t>LRCX split</t>
        </is>
      </c>
      <c r="B39" t="inlineStr">
        <is>
          <t>10-for-1 split on 02/03-Oct-2024 reflected in FIFO (bought 1 pre-split → 10)</t>
        </is>
      </c>
    </row>
    <row r="40">
      <c r="A40" t="inlineStr">
        <is>
          <t>HYU</t>
        </is>
      </c>
      <c r="B40" t="inlineStr">
        <is>
          <t>Cash merger acquisition Jul-2025 — sale proceeds USD 1,339.02 reported as redemption proceeds</t>
        </is>
      </c>
    </row>
    <row r="41">
      <c r="A41" t="inlineStr">
        <is>
          <t>Action required</t>
        </is>
      </c>
      <c r="B41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2026-08-27T05:31:30Z</dcterms:created>
  <dcterms:modified xsi:type="dcterms:W3CDTF">2026-08-27T05:31:30Z</dcterms:modified>
</cp:coreProperties>
</file>