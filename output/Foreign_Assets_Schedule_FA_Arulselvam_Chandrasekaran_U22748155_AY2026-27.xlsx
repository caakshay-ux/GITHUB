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SGD</t>
        </is>
      </c>
      <c r="B34" s="3" t="n">
        <v>0.7776049766718507</v>
      </c>
    </row>
    <row r="35">
      <c r="A35" t="inlineStr">
        <is>
          <t>USD</t>
        </is>
      </c>
      <c r="B35" s="3" t="n">
        <v>1</v>
      </c>
    </row>
    <row r="36"/>
    <row r="37">
      <c r="A37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6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GOOG</t>
        </is>
      </c>
      <c r="D5" t="inlineStr">
        <is>
          <t>1600 Amphitheatre Parkway, Mountain View, CA</t>
        </is>
      </c>
      <c r="E5" t="inlineStr">
        <is>
          <t>94043</t>
        </is>
      </c>
      <c r="F5" t="inlineStr">
        <is>
          <t>Listed Foreign Equity Share (Company)</t>
        </is>
      </c>
      <c r="G5" t="inlineStr">
        <is>
          <t>2025-11-05</t>
        </is>
      </c>
      <c r="H5" t="n">
        <v>2703891</v>
      </c>
      <c r="I5" t="n">
        <v>5658727</v>
      </c>
      <c r="J5" t="n">
        <v>0</v>
      </c>
      <c r="K5" t="n">
        <v>0</v>
      </c>
      <c r="L5" t="n">
        <v>5578403</v>
      </c>
    </row>
    <row r="6">
      <c r="A6" t="inlineStr">
        <is>
          <t>United States of America</t>
        </is>
      </c>
      <c r="B6" t="n">
        <v>2</v>
      </c>
      <c r="C6" t="inlineStr">
        <is>
          <t>GOOG</t>
        </is>
      </c>
      <c r="D6" t="inlineStr">
        <is>
          <t>1600 Amphitheatre Parkway, Mountain View, CA</t>
        </is>
      </c>
      <c r="E6" t="inlineStr">
        <is>
          <t>94043</t>
        </is>
      </c>
      <c r="F6" t="inlineStr">
        <is>
          <t>Listed Foreign Equity Share (Company)</t>
        </is>
      </c>
      <c r="G6" t="inlineStr">
        <is>
          <t>2025-11-05</t>
        </is>
      </c>
      <c r="H6" t="n">
        <v>1927203</v>
      </c>
      <c r="I6" t="n">
        <v>5898213</v>
      </c>
      <c r="J6" t="n">
        <v>0</v>
      </c>
      <c r="K6" t="n">
        <v>0</v>
      </c>
      <c r="L6" t="n">
        <v>5814490</v>
      </c>
    </row>
    <row r="7"/>
    <row r="8">
      <c r="G8" t="inlineStr">
        <is>
          <t>TOTAL (Rs.)</t>
        </is>
      </c>
      <c r="H8" s="4" t="n">
        <v>4631094</v>
      </c>
      <c r="I8" s="4" t="n">
        <v>11556940</v>
      </c>
      <c r="J8" s="4" t="n">
        <v>0</v>
      </c>
      <c r="K8" s="4" t="n">
        <v>0</v>
      </c>
      <c r="L8" s="4" t="n">
        <v>11392893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24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GOOG</t>
        </is>
      </c>
      <c r="E2" t="inlineStr">
        <is>
          <t>Alphabet Inc - Class C</t>
        </is>
      </c>
      <c r="F2" t="inlineStr">
        <is>
          <t>Listed Foreign Equity Share (Company)</t>
        </is>
      </c>
      <c r="G2" t="n">
        <v>219</v>
      </c>
      <c r="H2" t="inlineStr">
        <is>
          <t>2025-11-05</t>
        </is>
      </c>
      <c r="I2" t="n">
        <v>30656.36</v>
      </c>
      <c r="J2" t="n">
        <v>63247.2</v>
      </c>
      <c r="K2" t="n">
        <v>0</v>
      </c>
      <c r="L2" t="n">
        <v>0</v>
      </c>
      <c r="M2" t="n">
        <v>63247.2</v>
      </c>
    </row>
    <row r="3">
      <c r="A3" t="n">
        <v>2</v>
      </c>
      <c r="B3" t="inlineStr">
        <is>
          <t>United States of America</t>
        </is>
      </c>
      <c r="C3" t="n">
        <v>2</v>
      </c>
      <c r="D3" t="inlineStr">
        <is>
          <t>GOOG</t>
        </is>
      </c>
      <c r="E3" t="inlineStr">
        <is>
          <t>Alphabet Inc - Class C</t>
        </is>
      </c>
      <c r="F3" t="inlineStr">
        <is>
          <t>Listed Foreign Equity Share (Company)</t>
        </is>
      </c>
      <c r="G3" t="n">
        <v>228</v>
      </c>
      <c r="H3" t="inlineStr">
        <is>
          <t>2025-11-05</t>
        </is>
      </c>
      <c r="I3" t="n">
        <v>21850.37</v>
      </c>
      <c r="J3" t="n">
        <v>65923.92</v>
      </c>
      <c r="K3" t="n">
        <v>0</v>
      </c>
      <c r="L3" t="n">
        <v>0</v>
      </c>
      <c r="M3" t="n">
        <v>65923.92</v>
      </c>
    </row>
    <row r="4">
      <c r="H4" t="inlineStr">
        <is>
          <t>TOTAL (USD)</t>
        </is>
      </c>
      <c r="I4" t="n">
        <v>52506.73</v>
      </c>
      <c r="J4" t="n">
        <v>129171.12</v>
      </c>
      <c r="K4" t="n">
        <v>0</v>
      </c>
      <c r="L4" t="n">
        <v>0</v>
      </c>
      <c r="M4" t="n">
        <v>129171.12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4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U22748155</t>
        </is>
      </c>
      <c r="G3" t="inlineStr">
        <is>
          <t>Owner - Sole beneficial owner</t>
        </is>
      </c>
      <c r="H3" t="inlineStr">
        <is>
          <t>2025-11-05 (FOP In GOOG × 447)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831.49</v>
      </c>
      <c r="B6" t="n">
        <v>74393</v>
      </c>
      <c r="C6" t="n">
        <v>831.49</v>
      </c>
      <c r="D6" t="n">
        <v>74393</v>
      </c>
      <c r="E6" t="n">
        <v>73.05</v>
      </c>
      <c r="F6" t="n">
        <v>6498</v>
      </c>
      <c r="G6" t="n">
        <v>73.05</v>
      </c>
      <c r="H6" t="n">
        <v>6498</v>
      </c>
    </row>
    <row r="7"/>
    <row r="8">
      <c r="A8" t="inlineStr">
        <is>
          <t>NOTES:</t>
        </is>
      </c>
    </row>
    <row r="9">
      <c r="A9" t="inlineStr">
        <is>
          <t>Account: IBKR U22748155 — Arulselvam Chandrasekaran (Individual, SGD base, Cash).</t>
        </is>
      </c>
    </row>
    <row r="10">
      <c r="A10" t="inlineStr">
        <is>
          <t>Starting NAV 01-Jan-2025: USD 0.00; Ending NAV 31-Dec-2025: USD 831.49.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-128,410.36 (2025-11-12: -60000.0 USD, 2025-12-01: -69168.8 USD, 2025-12-08: 758.44 USD).</t>
        </is>
      </c>
    </row>
    <row r="13">
      <c r="A13" t="inlineStr">
        <is>
          <t>Base currency is SGD; A2 NAV converted to USD using IBKR YE cross-rate (FX Lookup FCY→USD). Prefer PortfolioAnalyst USD NAV for filing.</t>
        </is>
      </c>
    </row>
    <row r="14">
      <c r="A14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45994</v>
      </c>
      <c r="B4" t="inlineStr">
        <is>
          <t>USD Credit Interest for Nov-2025</t>
        </is>
      </c>
      <c r="C4" t="inlineStr">
        <is>
          <t>USD</t>
        </is>
      </c>
      <c r="D4" t="n">
        <v>73.05</v>
      </c>
      <c r="E4" t="n">
        <v>73.05</v>
      </c>
      <c r="F4" t="n">
        <v>88.95</v>
      </c>
      <c r="G4" t="n">
        <v>6498</v>
      </c>
    </row>
    <row r="5">
      <c r="B5" t="inlineStr">
        <is>
          <t>TOTAL INTEREST</t>
        </is>
      </c>
      <c r="E5" t="n">
        <v>73.05</v>
      </c>
      <c r="G5" t="n">
        <v>6498</v>
      </c>
    </row>
    <row r="6"/>
    <row r="7">
      <c r="A7" t="inlineStr">
        <is>
          <t>— DIVIDENDS —</t>
        </is>
      </c>
    </row>
    <row r="8">
      <c r="B8" t="inlineStr">
        <is>
          <t>TOTAL DIVIDENDS</t>
        </is>
      </c>
      <c r="E8" t="n">
        <v>0</v>
      </c>
      <c r="G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45994</v>
      </c>
      <c r="B4" t="inlineStr">
        <is>
          <t>USD Credit Interest for Nov-2025</t>
        </is>
      </c>
      <c r="C4" t="inlineStr">
        <is>
          <t>USD</t>
        </is>
      </c>
      <c r="D4" t="n">
        <v>73.05</v>
      </c>
      <c r="E4" t="n">
        <v>73.05</v>
      </c>
      <c r="F4" t="n">
        <v>88.95</v>
      </c>
      <c r="G4" t="n">
        <v>6498</v>
      </c>
    </row>
    <row r="5">
      <c r="B5" t="inlineStr">
        <is>
          <t>TOTAL INTEREST</t>
        </is>
      </c>
      <c r="E5" t="n">
        <v>73.05</v>
      </c>
      <c r="G5" t="n">
        <v>6498</v>
      </c>
    </row>
    <row r="6"/>
    <row r="7">
      <c r="A7" t="inlineStr">
        <is>
          <t>— DIVIDENDS —</t>
        </is>
      </c>
    </row>
    <row r="8">
      <c r="B8" t="inlineStr">
        <is>
          <t>TOTAL DIVIDENDS</t>
        </is>
      </c>
      <c r="E8" t="n">
        <v>0</v>
      </c>
      <c r="G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228</v>
      </c>
      <c r="D5" s="2" t="n">
        <v>45966</v>
      </c>
      <c r="E5" s="2" t="n">
        <v>45971</v>
      </c>
      <c r="F5">
        <f>E5-D5</f>
        <v/>
      </c>
      <c r="G5">
        <f>IF(F5&gt;730,"LTCG","STCG")</f>
        <v/>
      </c>
      <c r="H5" s="3" t="n">
        <v>65923.92</v>
      </c>
      <c r="I5" s="3" t="n">
        <v>21850.37</v>
      </c>
      <c r="J5" s="3" t="n">
        <v>1.18</v>
      </c>
      <c r="K5" s="3" t="n">
        <v>1</v>
      </c>
      <c r="L5">
        <f>H5*K5</f>
        <v/>
      </c>
      <c r="M5">
        <f>I5*K5</f>
        <v/>
      </c>
      <c r="N5" s="3" t="n">
        <v>88.2</v>
      </c>
      <c r="O5" s="3" t="n">
        <v>88.2</v>
      </c>
      <c r="P5" s="3" t="n">
        <v>88.2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GOOG</t>
        </is>
      </c>
      <c r="B6" t="inlineStr">
        <is>
          <t>USD</t>
        </is>
      </c>
      <c r="C6" t="n">
        <v>219</v>
      </c>
      <c r="D6" s="2" t="n">
        <v>45966</v>
      </c>
      <c r="E6" s="2" t="n">
        <v>45971</v>
      </c>
      <c r="F6">
        <f>E6-D6</f>
        <v/>
      </c>
      <c r="G6">
        <f>IF(F6&gt;730,"LTCG","STCG")</f>
        <v/>
      </c>
      <c r="H6" s="3" t="n">
        <v>63247.2</v>
      </c>
      <c r="I6" s="3" t="n">
        <v>30656.36</v>
      </c>
      <c r="J6" s="3" t="n">
        <v>1.14</v>
      </c>
      <c r="K6" s="3" t="n">
        <v>1</v>
      </c>
      <c r="L6">
        <f>H6*K6</f>
        <v/>
      </c>
      <c r="M6">
        <f>I6*K6</f>
        <v/>
      </c>
      <c r="N6" s="3" t="n">
        <v>88.2</v>
      </c>
      <c r="O6" s="3" t="n">
        <v>88.2</v>
      </c>
      <c r="P6" s="3" t="n">
        <v>88.2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/>
    <row r="8">
      <c r="G8" s="4" t="inlineStr">
        <is>
          <t>TOTAL STCG (INR)</t>
        </is>
      </c>
      <c r="T8" s="4">
        <f>SUMIF(G5:G6,"STCG",T5:T6)</f>
        <v/>
      </c>
    </row>
    <row r="9">
      <c r="G9" s="4" t="inlineStr">
        <is>
          <t>TOTAL LTCG (INR)</t>
        </is>
      </c>
      <c r="T9" s="4">
        <f>SUMIF(G5:G6,"LTCG",T5:T6)</f>
        <v/>
      </c>
    </row>
    <row r="10">
      <c r="G10" s="4" t="inlineStr">
        <is>
          <t>TOTAL CG (INR)</t>
        </is>
      </c>
      <c r="T10" s="4">
        <f>T8+T9</f>
        <v/>
      </c>
    </row>
    <row r="11"/>
    <row r="12">
      <c r="A12" t="inlineStr">
        <is>
          <t>How to reconcile before filing:</t>
        </is>
      </c>
    </row>
    <row r="13">
      <c r="A13" t="inlineStr">
        <is>
          <t>1. Check Sale Proceeds (FCY) / Cost Basis (FCY) vs IBKR trade Proceeds &amp; Basis.</t>
        </is>
      </c>
    </row>
    <row r="14">
      <c r="A14" t="inlineStr">
        <is>
          <t>2. Edit yellow FX cells (N Sale FX, O Cost FX, P Comm USD/INR) to exact SBI TT Buy card rates.</t>
        </is>
      </c>
    </row>
    <row r="15">
      <c r="A15" t="inlineStr">
        <is>
          <t>3. For HKD/JPY, edit FCY→USD (K) if using trade-date FX instead of 31-Dec-2025 IBKR close.</t>
        </is>
      </c>
    </row>
    <row r="16">
      <c r="A16" t="inlineStr">
        <is>
          <t>4. Gain/(Loss) cell formula: =Q-R-S i.e. Sale INR − Comm INR − Cost INR.</t>
        </is>
      </c>
    </row>
    <row r="17">
      <c r="A17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GOOG</t>
        </is>
      </c>
      <c r="B2" t="n">
        <v>6761595</v>
      </c>
      <c r="C2" t="n">
        <v>0</v>
      </c>
      <c r="D2" t="n">
        <v>6761595</v>
      </c>
      <c r="E2" t="n">
        <v>129171.12</v>
      </c>
      <c r="F2" t="n">
        <v>52506.73</v>
      </c>
    </row>
    <row r="3"/>
    <row r="4">
      <c r="A4" t="inlineStr">
        <is>
          <t>Note</t>
        </is>
      </c>
      <c r="B4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Arulselvam Chandrasekaran (U22748155)</t>
        </is>
      </c>
    </row>
    <row r="2">
      <c r="A2" t="inlineStr">
        <is>
          <t>Assessee</t>
        </is>
      </c>
      <c r="B2" t="inlineStr">
        <is>
          <t>Arulselvam Chandrasekaran — IBKR U22748155 (Individual) — Advisor: MATCAP WEALTH ADVISORS PRIVATE LIMITED</t>
        </is>
      </c>
    </row>
    <row r="3">
      <c r="A3" t="inlineStr">
        <is>
          <t>Account opening</t>
        </is>
      </c>
      <c r="B3" t="inlineStr">
        <is>
          <t>Funded via FOP In of GOOG × 447 on 05-Nov-2025 (external FOP). Base currency SGD. Cash Internal Transfer Out USD 60,000 to Joint U22929455 on 12-Nov-2025; disbursement USD 69,168.80 on 01-Dec-2025; EFT in USD 758.44 on 08-Dec-2025.</t>
        </is>
      </c>
    </row>
    <row r="4">
      <c r="A4" t="inlineStr">
        <is>
          <t>Related Joint account</t>
        </is>
      </c>
      <c r="B4" t="inlineStr">
        <is>
          <t>Cash USD 60,000 + same-day Internal GOOG × 219 wash Out/In with U22929455 (Dhanalakshmi S Joint) on 10-Nov-2025 — wash lines removed from working CSVs (net zero equity). See Joint workbook.</t>
        </is>
      </c>
    </row>
    <row r="5">
      <c r="A5" t="inlineStr">
        <is>
          <t>Capital gains</t>
        </is>
      </c>
      <c r="B5" t="inlineStr">
        <is>
          <t>Sold entire GOOG × 447 on 10-Nov-2025 in two tickets (228 @ 289.14; 219 @ 288.80). IBKR Realized ~USD 76,662 (codes C;HC — Highest Cost tax lot election). Workbook FIFO uses FOP date 05-Nov-2025 as acquisition → all STCG under India clock unless original buy dates at source are confirmed. IBKR tagged mostly Long Term in base-currency R&amp;U (ST ~SGD 1,714 / LT ~SGD 98,161) — confirm original GOOG acquisition dates and edit yellow Acquisition Date on CG before filing. Cost basis seeded to sell Basis total USD 52,506.73 (not FOP Market Value USD 124,292.82).</t>
        </is>
      </c>
    </row>
    <row r="6">
      <c r="A6" t="inlineStr">
        <is>
          <t>Holdings at 31-Dec-2025 / 31-Mar-2026</t>
        </is>
      </c>
      <c r="B6" t="inlineStr">
        <is>
          <t>No open stock positions. Ending cash ~USD 831.49 (SGD NAV ~1,069.30).</t>
        </is>
      </c>
    </row>
    <row r="7">
      <c r="A7" t="inlineStr">
        <is>
          <t>Dividends / Interest</t>
        </is>
      </c>
      <c r="B7" t="inlineStr">
        <is>
          <t>Nil dividends. CY/FY interest: USD Credit Interest Nov-2025 USD 73.05.</t>
        </is>
      </c>
    </row>
    <row r="8">
      <c r="A8" t="inlineStr">
        <is>
          <t>SGD base / A2 NAV</t>
        </is>
      </c>
      <c r="B8" t="inlineStr">
        <is>
          <t>Account base SGD. A2 USD NAV = SGD Ending Value ÷ 1.286 (IBKR YE USD.SGD). Prefer PortfolioAnalyst USD NAV for filing.</t>
        </is>
      </c>
    </row>
    <row r="9">
      <c r="A9" t="inlineStr">
        <is>
          <t>Assessee</t>
        </is>
      </c>
      <c r="B9" t="inlineStr">
        <is>
          <t>Arulselvam Chandrasekaran</t>
        </is>
      </c>
    </row>
    <row r="10">
      <c r="A10" t="inlineStr">
        <is>
          <t>Account</t>
        </is>
      </c>
      <c r="B10" t="inlineStr">
        <is>
          <t>U22748155 — Interactive Brokers LLC (Advisor Client; Advisor: MATCAP WEALTH ADVISORS PRIVATE LIMITED)</t>
        </is>
      </c>
    </row>
    <row r="11">
      <c r="A11" t="inlineStr">
        <is>
          <t>Customer type</t>
        </is>
      </c>
      <c r="B11" t="inlineStr">
        <is>
          <t>Individual</t>
        </is>
      </c>
    </row>
    <row r="12">
      <c r="A12" t="inlineStr">
        <is>
          <t>Base currency</t>
        </is>
      </c>
      <c r="B12" t="inlineStr">
        <is>
          <t>SGD</t>
        </is>
      </c>
    </row>
    <row r="13">
      <c r="A13" t="inlineStr">
        <is>
          <t>Account funded</t>
        </is>
      </c>
      <c r="B13" t="inlineStr">
        <is>
          <t>First deposit 2025-11-12 (inception statement)</t>
        </is>
      </c>
    </row>
    <row r="14">
      <c r="A14" t="inlineStr">
        <is>
          <t>Schedule FA period</t>
        </is>
      </c>
      <c r="B14" t="inlineStr">
        <is>
          <t>Calendar Year 2025 (01-Jan-2025 to 31-Dec-2025) — for ITR AY 2026-27</t>
        </is>
      </c>
    </row>
    <row r="15">
      <c r="A15" t="inlineStr">
        <is>
          <t>Income / CG period</t>
        </is>
      </c>
      <c r="B15" t="inlineStr">
        <is>
          <t>FY 2025-26 (01-Apr-2025 to 31-Mar-2026); also FY 2024-25 sheet for prior year</t>
        </is>
      </c>
    </row>
    <row r="16">
      <c r="A16" t="inlineStr">
        <is>
          <t>Source data</t>
        </is>
      </c>
      <c r="B16" t="inlineStr">
        <is>
          <t>IBKR Activity Statements: Inception FY2024-25 + Annual CY2025 + Fiscal FY2025-26</t>
        </is>
      </c>
    </row>
    <row r="17">
      <c r="A17" t="inlineStr">
        <is>
          <t>FIFO method</t>
        </is>
      </c>
      <c r="B17" t="inlineStr">
        <is>
          <t>Actual buy dates &amp; IBKR Basis from inception replay; splits (LRCX 10:1, NFLX 10:1) applied</t>
        </is>
      </c>
    </row>
    <row r="18">
      <c r="A18" t="inlineStr">
        <is>
          <t>CG reconciliation</t>
        </is>
      </c>
      <c r="B18" t="inlineStr">
        <is>
          <t>Sheets 'Capital Gains FY2025-26' / 'FY2024-25' are formula-driven — yellow cells editable; Gain = Sale INR − Comm INR − Cost INR</t>
        </is>
      </c>
    </row>
    <row r="19">
      <c r="A19" t="inlineStr">
        <is>
          <t>FX Lookup</t>
        </is>
      </c>
      <c r="B19" t="inlineStr">
        <is>
          <t>Editable SBI TT USD/INR &amp; EUR/INR month-end rates + FCY→USD cross rates</t>
        </is>
      </c>
    </row>
    <row r="20">
      <c r="A20" t="inlineStr">
        <is>
          <t>Starting NAV CY2025</t>
        </is>
      </c>
      <c r="B20" t="inlineStr">
        <is>
          <t>USD 0.00</t>
        </is>
      </c>
    </row>
    <row r="21">
      <c r="A21" t="inlineStr">
        <is>
          <t>Ending NAV CY2025</t>
        </is>
      </c>
      <c r="B21" t="inlineStr">
        <is>
          <t>USD 831.49</t>
        </is>
      </c>
    </row>
    <row r="22">
      <c r="A22" t="inlineStr">
        <is>
          <t>Deposits CY2025</t>
        </is>
      </c>
      <c r="B22" t="inlineStr">
        <is>
          <t>USD -128,410.36</t>
        </is>
      </c>
    </row>
    <row r="23">
      <c r="A23" t="inlineStr">
        <is>
          <t>Deposits since inception (to 31-Mar-2025)</t>
        </is>
      </c>
      <c r="B23" t="inlineStr">
        <is>
          <t>USD -128,410.36</t>
        </is>
      </c>
    </row>
    <row r="24">
      <c r="A24" t="inlineStr">
        <is>
          <t>Dividends CY2025</t>
        </is>
      </c>
      <c r="B24" t="inlineStr">
        <is>
          <t>USD 0.00 / INR 0 (Rule 115)</t>
        </is>
      </c>
    </row>
    <row r="25">
      <c r="A25" t="inlineStr">
        <is>
          <t>Interest CY2025</t>
        </is>
      </c>
      <c r="B25" t="inlineStr">
        <is>
          <t>USD 73.05 / INR 6,498 (Rule 115)</t>
        </is>
      </c>
    </row>
    <row r="26">
      <c r="A26" t="inlineStr">
        <is>
          <t>Dividends FY2025-26</t>
        </is>
      </c>
      <c r="B26" t="inlineStr">
        <is>
          <t>USD 0.00 / INR 0</t>
        </is>
      </c>
    </row>
    <row r="27">
      <c r="A27" t="inlineStr">
        <is>
          <t>Interest FY2025-26</t>
        </is>
      </c>
      <c r="B27" t="inlineStr">
        <is>
          <t>USD 73.05 / INR 6,498</t>
        </is>
      </c>
    </row>
    <row r="28">
      <c r="A28" t="inlineStr">
        <is>
          <t>STCG FY2025-26 (INR)</t>
        </is>
      </c>
      <c r="B28" t="inlineStr">
        <is>
          <t>6,761,595</t>
        </is>
      </c>
    </row>
    <row r="29">
      <c r="A29" t="inlineStr">
        <is>
          <t>LTCG FY2025-26 (INR)</t>
        </is>
      </c>
      <c r="B29" t="inlineStr">
        <is>
          <t>0</t>
        </is>
      </c>
    </row>
    <row r="30">
      <c r="A30" t="inlineStr">
        <is>
          <t>STCG FY2024-25 (INR)</t>
        </is>
      </c>
      <c r="B30" t="inlineStr">
        <is>
          <t>0</t>
        </is>
      </c>
    </row>
    <row r="31">
      <c r="A31" t="inlineStr">
        <is>
          <t>LTCG FY2024-25 (INR)</t>
        </is>
      </c>
      <c r="B31" t="inlineStr">
        <is>
          <t>0</t>
        </is>
      </c>
    </row>
    <row r="32">
      <c r="A32" t="inlineStr">
        <is>
          <t>A1 Foreign Bank/Depository</t>
        </is>
      </c>
      <c r="B32" t="inlineStr">
        <is>
          <t>Generally N/A separately — multi-currency cash sits inside IBKR custodial account (A2)</t>
        </is>
      </c>
    </row>
    <row r="33">
      <c r="A33" t="inlineStr">
        <is>
          <t>A2 Custodial Account</t>
        </is>
      </c>
      <c r="B33" t="inlineStr">
        <is>
          <t>Applicable — see sheet; opening: 2025-11-05 (FOP In GOOG × 447)</t>
        </is>
      </c>
    </row>
    <row r="34">
      <c r="A34" t="inlineStr">
        <is>
          <t>A3 Equity &amp; Debt Interest</t>
        </is>
      </c>
      <c r="B34" t="inlineStr">
        <is>
          <t>Applicable — 2 FIFO lot lines (one row per acquisition lot; sold lots match Capital Gains)</t>
        </is>
      </c>
    </row>
    <row r="35">
      <c r="A35" t="inlineStr">
        <is>
          <t>A3 Col C (Name of entity)</t>
        </is>
      </c>
      <c r="B35" t="inlineStr">
        <is>
          <t>Symbol only (e.g. NOVd, AAPL). Legal name / address remain in Address &amp; Nature columns.</t>
        </is>
      </c>
    </row>
    <row r="36">
      <c r="A36" t="inlineStr">
        <is>
          <t>A3 vs CG</t>
        </is>
      </c>
      <c r="B36" t="inlineStr">
        <is>
          <t>Sold lots: A3 Initial = CG Cost (INR), A3 Sale = CG Sale (INR), same Rule 115/EUR FX. Multiple buys (e.g. NOVd 21-Mar &amp; 21-Aug) appear as separate A3 rows.</t>
        </is>
      </c>
    </row>
    <row r="37">
      <c r="A37" t="inlineStr">
        <is>
          <t>ADR country practice</t>
        </is>
      </c>
      <c r="B37" t="inlineStr">
        <is>
          <t>Underlying issuer country used for ADRs/GDRs (ASML NL, BTI UK, TSM TW, BYDDY CN, HYU KR, RIO UK)</t>
        </is>
      </c>
    </row>
    <row r="38">
      <c r="A38" t="inlineStr">
        <is>
          <t>CPNG</t>
        </is>
      </c>
      <c r="B38" t="inlineStr">
        <is>
          <t>USA (Delaware corporation, NYSE) despite Korea operations</t>
        </is>
      </c>
    </row>
    <row r="39">
      <c r="A39" t="inlineStr">
        <is>
          <t>NFLX split</t>
        </is>
      </c>
      <c r="B39" t="inlineStr">
        <is>
          <t>10-for-1 split on 14/17-Nov-2025 reflected in FIFO</t>
        </is>
      </c>
    </row>
    <row r="40">
      <c r="A40" t="inlineStr">
        <is>
          <t>LRCX split</t>
        </is>
      </c>
      <c r="B40" t="inlineStr">
        <is>
          <t>10-for-1 split on 02/03-Oct-2024 reflected in FIFO (bought 1 pre-split → 10)</t>
        </is>
      </c>
    </row>
    <row r="41">
      <c r="A41" t="inlineStr">
        <is>
          <t>HYU</t>
        </is>
      </c>
      <c r="B41" t="inlineStr">
        <is>
          <t>Cash merger acquisition Jul-2025 — sale proceeds USD 1,339.02 reported as redemption proceeds</t>
        </is>
      </c>
    </row>
    <row r="42">
      <c r="A42" t="inlineStr">
        <is>
          <t>Action required</t>
        </is>
      </c>
      <c r="B42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2026-08-25T13:23:41Z</dcterms:created>
  <dcterms:modified xsi:type="dcterms:W3CDTF">2026-08-25T13:23:41Z</dcterms:modified>
</cp:coreProperties>
</file>