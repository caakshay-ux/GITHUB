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DKK</t>
        </is>
      </c>
      <c r="B38" s="3" t="n">
        <v>0.15726</v>
      </c>
    </row>
    <row r="39">
      <c r="A39" t="inlineStr">
        <is>
          <t>EUR</t>
        </is>
      </c>
      <c r="B39" s="3" t="n">
        <v>1.1746</v>
      </c>
    </row>
    <row r="40">
      <c r="A40" t="inlineStr">
        <is>
          <t>GBP</t>
        </is>
      </c>
      <c r="B40" s="3" t="n">
        <v>1.342</v>
      </c>
    </row>
    <row r="41">
      <c r="A41" t="inlineStr">
        <is>
          <t>HKD</t>
        </is>
      </c>
      <c r="B41" s="3" t="n">
        <v>0.12849</v>
      </c>
    </row>
    <row r="42">
      <c r="A42" t="inlineStr">
        <is>
          <t>JPY</t>
        </is>
      </c>
      <c r="B42" s="3" t="n">
        <v>0.0063827</v>
      </c>
    </row>
    <row r="43">
      <c r="A43" t="inlineStr">
        <is>
          <t>SGD</t>
        </is>
      </c>
      <c r="B43" s="3" t="n">
        <v>0.7776049766718507</v>
      </c>
    </row>
    <row r="44">
      <c r="A44" t="inlineStr">
        <is>
          <t>USD</t>
        </is>
      </c>
      <c r="B44" s="3" t="n">
        <v>1</v>
      </c>
    </row>
    <row r="46">
      <c r="A4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6" customWidth="1" min="4" max="4"/>
    <col width="10" customWidth="1" min="5" max="5"/>
    <col width="39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GOOG</t>
        </is>
      </c>
      <c r="D5" t="inlineStr">
        <is>
          <t>1600 Amphitheatre Parkway, Mountain View, CA</t>
        </is>
      </c>
      <c r="E5" t="inlineStr">
        <is>
          <t>94043</t>
        </is>
      </c>
      <c r="F5" t="inlineStr">
        <is>
          <t>Listed Foreign Equity Share (Company)</t>
        </is>
      </c>
      <c r="G5" t="inlineStr">
        <is>
          <t>2024-12-31</t>
        </is>
      </c>
      <c r="H5" t="n">
        <v>8419</v>
      </c>
      <c r="I5" t="n">
        <v>8841</v>
      </c>
      <c r="J5" t="n">
        <v>8841</v>
      </c>
      <c r="K5" t="n">
        <v>0</v>
      </c>
      <c r="L5" t="n">
        <v>0</v>
      </c>
    </row>
    <row r="7">
      <c r="G7" t="inlineStr">
        <is>
          <t>TOTAL (Rs.)</t>
        </is>
      </c>
      <c r="H7" s="4" t="n">
        <v>8419</v>
      </c>
      <c r="I7" s="4" t="n">
        <v>8841</v>
      </c>
      <c r="J7" s="4" t="n">
        <v>8841</v>
      </c>
      <c r="K7" s="4" t="n">
        <v>0</v>
      </c>
      <c r="L7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24" customWidth="1" min="5" max="5"/>
    <col width="39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GOOG</t>
        </is>
      </c>
      <c r="E2" t="inlineStr">
        <is>
          <t>Alphabet Inc - Class C</t>
        </is>
      </c>
      <c r="F2" t="inlineStr">
        <is>
          <t>Listed Foreign Equity Share (Company)</t>
        </is>
      </c>
      <c r="G2" t="n">
        <v>1</v>
      </c>
      <c r="H2" t="inlineStr">
        <is>
          <t>2024-12-31</t>
        </is>
      </c>
      <c r="I2" t="n">
        <v>98.81999999999999</v>
      </c>
      <c r="J2" t="n">
        <v>98.81999999999999</v>
      </c>
      <c r="K2" t="n">
        <v>98.81999999999999</v>
      </c>
      <c r="L2" t="n">
        <v>0</v>
      </c>
      <c r="M2" t="n">
        <v>0</v>
      </c>
    </row>
    <row r="3">
      <c r="H3" t="inlineStr">
        <is>
          <t>TOTAL (USD)</t>
        </is>
      </c>
      <c r="I3" t="n">
        <v>98.81999999999999</v>
      </c>
      <c r="J3" t="n">
        <v>98.81999999999999</v>
      </c>
      <c r="K3" t="n">
        <v>98.81999999999999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U25039405</t>
        </is>
      </c>
      <c r="G3" t="inlineStr">
        <is>
          <t>Owner - Sole beneficial owner</t>
        </is>
      </c>
      <c r="H3" t="inlineStr">
        <is>
          <t>on or before 2024-12-31 (GOOG × 1 held at FY2026-27 start); FOP 11-May-2026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98.81999999999999</v>
      </c>
      <c r="B6" t="n">
        <v>8841</v>
      </c>
      <c r="C6" t="n">
        <v>98.81999999999999</v>
      </c>
      <c r="D6" t="n">
        <v>8841</v>
      </c>
      <c r="E6" t="n">
        <v>0</v>
      </c>
      <c r="F6" t="n">
        <v>0</v>
      </c>
      <c r="G6" t="n">
        <v>0</v>
      </c>
      <c r="H6" t="n">
        <v>0</v>
      </c>
    </row>
    <row r="8">
      <c r="A8" t="inlineStr">
        <is>
          <t>NOTES:</t>
        </is>
      </c>
    </row>
    <row r="9">
      <c r="A9" t="inlineStr">
        <is>
          <t>Account: IBKR U25039405 — Mohammad Waseem (Individual, USD base, Cash).</t>
        </is>
      </c>
    </row>
    <row r="10">
      <c r="A10" t="inlineStr">
        <is>
          <t>Starting NAV 01-Jan-2025: USD 98.82; Ending NAV 31-Dec-2025: USD 98.82.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B7" t="inlineStr">
        <is>
          <t>TOTAL DIVIDENDS</t>
        </is>
      </c>
      <c r="E7" t="n">
        <v>0</v>
      </c>
      <c r="G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B7" t="inlineStr">
        <is>
          <t>TOTAL DIVIDENDS</t>
        </is>
      </c>
      <c r="E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FY2026-27 YTD</t>
        </is>
      </c>
      <c r="B3" s="2" t="n">
        <v>46188</v>
      </c>
      <c r="C3" t="inlineStr">
        <is>
          <t>GOOG(US02079K1079) Cash Dividend USD 0.22 per Share - US Tax</t>
        </is>
      </c>
      <c r="D3" t="inlineStr">
        <is>
          <t>USD</t>
        </is>
      </c>
      <c r="E3" t="n">
        <v>-5.94</v>
      </c>
      <c r="F3" t="n">
        <v>-5.94</v>
      </c>
      <c r="G3" t="n">
        <v>94.59999999999999</v>
      </c>
      <c r="H3" t="n">
        <v>-562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GOOG</t>
        </is>
      </c>
      <c r="C3" t="n">
        <v>1</v>
      </c>
      <c r="D3" s="2" t="n">
        <v>45657</v>
      </c>
      <c r="E3" t="n">
        <v>98.81999999999999</v>
      </c>
      <c r="F3" t="inlineStr">
        <is>
          <t>USD</t>
        </is>
      </c>
      <c r="G3" t="inlineStr">
        <is>
          <t>buy</t>
        </is>
      </c>
    </row>
    <row r="4">
      <c r="A4" t="inlineStr">
        <is>
          <t>31-Mar-2025 (FY2025-26 open)</t>
        </is>
      </c>
      <c r="B4" t="inlineStr">
        <is>
          <t>GOOG</t>
        </is>
      </c>
      <c r="C4" t="n">
        <v>1</v>
      </c>
      <c r="D4" s="2" t="n">
        <v>45657</v>
      </c>
      <c r="E4" t="n">
        <v>98.81999999999999</v>
      </c>
      <c r="F4" t="inlineStr">
        <is>
          <t>USD</t>
        </is>
      </c>
      <c r="G4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  <row r="5">
      <c r="A5" t="inlineStr">
        <is>
          <t>— FY 2026-27 YTD (to 03-Sep-2026) —</t>
        </is>
      </c>
    </row>
    <row r="6">
      <c r="A6" t="inlineStr">
        <is>
          <t>Symbol</t>
        </is>
      </c>
      <c r="B6" t="inlineStr">
        <is>
          <t>STCG INR</t>
        </is>
      </c>
      <c r="C6" t="inlineStr">
        <is>
          <t>LTCG INR</t>
        </is>
      </c>
      <c r="D6" t="inlineStr">
        <is>
          <t>Total Gain/(Loss) INR</t>
        </is>
      </c>
      <c r="E6" t="inlineStr">
        <is>
          <t>Sale Proceeds USD</t>
        </is>
      </c>
      <c r="F6" t="inlineStr">
        <is>
          <t>Cost USD</t>
        </is>
      </c>
    </row>
    <row r="7">
      <c r="A7" t="inlineStr">
        <is>
          <t>GOOG</t>
        </is>
      </c>
      <c r="B7" t="n">
        <v>599816</v>
      </c>
      <c r="C7" t="n">
        <v>0</v>
      </c>
      <c r="D7" t="n">
        <v>599816</v>
      </c>
      <c r="E7" t="n">
        <v>8888.299999999999</v>
      </c>
      <c r="F7" t="n">
        <v>2480.25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Mohammad Waseem</t>
        </is>
      </c>
    </row>
    <row r="2">
      <c r="A2" t="inlineStr">
        <is>
          <t>Assessee</t>
        </is>
      </c>
      <c r="B2" t="inlineStr">
        <is>
          <t>Mohammad Waseem — IBKR U25039405 (Individual) — Advisor: MATCAP WEALTH ADVISORS PRIVATE LIMITED</t>
        </is>
      </c>
    </row>
    <row r="3">
      <c r="A3" t="inlineStr">
        <is>
          <t>Statement coverage</t>
        </is>
      </c>
      <c r="B3" t="inlineStr">
        <is>
          <t>Only FY 2026-27 YTD Activity Statement furnished (01-Apr-2026–03-Sep-2026). FY2025-26 stub; CY2025 Annual synthesized (GOOG × 1 at YE). Full FY2026-27 needs statement to 31-Mar-2027.</t>
        </is>
      </c>
    </row>
    <row r="4">
      <c r="A4" t="inlineStr">
        <is>
          <t>GOOG opening</t>
        </is>
      </c>
      <c r="B4" t="inlineStr">
        <is>
          <t>Prior qty 1 at 01-Apr-2026 seeded 31-Dec-2024 @ USD 98.82. FOP In × 124 on 11-May-2026 @ USD 99.21/sh (backsolved from IBKR sell Basis). Confirm original buy dates at prior broker for LTCG.</t>
        </is>
      </c>
    </row>
    <row r="5">
      <c r="A5" t="inlineStr">
        <is>
          <t>Related Joint U24577010</t>
        </is>
      </c>
      <c r="B5" t="inlineStr">
        <is>
          <t>Internal Out/In GOOG with Mohammad Waseem &amp; Sofia Anjum Joint — excluded from taxable CG (code I).</t>
        </is>
      </c>
    </row>
    <row r="6">
      <c r="A6" t="inlineStr">
        <is>
          <t>Capital gains FY2026-27 YTD</t>
        </is>
      </c>
      <c r="B6" t="inlineStr">
        <is>
          <t>Taxable: GOOG × 25 sold 01-Jul-2026. Internal Outs not taxable. See Capital Gains FY2026-27 sheet.</t>
        </is>
      </c>
    </row>
    <row r="7">
      <c r="A7" t="inlineStr">
        <is>
          <t>Assessee</t>
        </is>
      </c>
      <c r="B7" t="inlineStr">
        <is>
          <t>Mohammad Waseem</t>
        </is>
      </c>
    </row>
    <row r="8">
      <c r="A8" t="inlineStr">
        <is>
          <t>Account</t>
        </is>
      </c>
      <c r="B8" t="inlineStr">
        <is>
          <t>U25039405 — Interactive Brokers LLC (Advisor Client; Advisor: MATCAP WEALTH ADVISORS PRIVATE LIMITED)</t>
        </is>
      </c>
    </row>
    <row r="9">
      <c r="A9" t="inlineStr">
        <is>
          <t>Customer type</t>
        </is>
      </c>
      <c r="B9" t="inlineStr">
        <is>
          <t>Individual</t>
        </is>
      </c>
    </row>
    <row r="10">
      <c r="A10" t="inlineStr">
        <is>
          <t>Base currency</t>
        </is>
      </c>
      <c r="B10" t="inlineStr">
        <is>
          <t>USD</t>
        </is>
      </c>
    </row>
    <row r="11">
      <c r="A11" t="inlineStr">
        <is>
          <t>Account funded</t>
        </is>
      </c>
      <c r="B11" t="inlineStr">
        <is>
          <t>First deposit n/a (inception statement)</t>
        </is>
      </c>
    </row>
    <row r="12">
      <c r="A12" t="inlineStr">
        <is>
          <t>Schedule FA period</t>
        </is>
      </c>
      <c r="B12" t="inlineStr">
        <is>
          <t>Calendar Year 2025 (01-Jan-2025 to 31-Dec-2025) — for ITR AY 2026-27</t>
        </is>
      </c>
    </row>
    <row r="13">
      <c r="A13" t="inlineStr">
        <is>
          <t>Income / CG period</t>
        </is>
      </c>
      <c r="B13" t="inlineStr">
        <is>
          <t>FY 2025-26 (01-Apr-2025 to 31-Mar-2026); also FY 2024-25 sheet for prior year</t>
        </is>
      </c>
    </row>
    <row r="14">
      <c r="A14" t="inlineStr">
        <is>
          <t>Source data</t>
        </is>
      </c>
      <c r="B14" t="inlineStr">
        <is>
          <t>IBKR Activity Statements: Inception FY2024-25 + Annual CY2025 + Fiscal FY2025-26</t>
        </is>
      </c>
    </row>
    <row r="15">
      <c r="A15" t="inlineStr">
        <is>
          <t>FIFO method</t>
        </is>
      </c>
      <c r="B15" t="inlineStr">
        <is>
          <t>Actual buy dates &amp; IBKR Basis from inception replay; splits (LRCX 10:1, NFLX 10:1) applied</t>
        </is>
      </c>
    </row>
    <row r="16">
      <c r="A16" t="inlineStr">
        <is>
          <t>CG reconciliation</t>
        </is>
      </c>
      <c r="B16" t="inlineStr">
        <is>
          <t>Sheets 'Capital Gains FY2025-26' / 'FY2024-25' are formula-driven — yellow cells editable; Gain = Sale INR − Comm INR − Cost INR</t>
        </is>
      </c>
    </row>
    <row r="17">
      <c r="A17" t="inlineStr">
        <is>
          <t>FX Lookup</t>
        </is>
      </c>
      <c r="B17" t="inlineStr">
        <is>
          <t>Editable SBI TT USD/INR &amp; EUR/INR month-end rates + FCY→USD cross rates</t>
        </is>
      </c>
    </row>
    <row r="18">
      <c r="A18" t="inlineStr">
        <is>
          <t>Starting NAV CY2025</t>
        </is>
      </c>
      <c r="B18" t="inlineStr">
        <is>
          <t>USD 98.82</t>
        </is>
      </c>
    </row>
    <row r="19">
      <c r="A19" t="inlineStr">
        <is>
          <t>Ending NAV CY2025</t>
        </is>
      </c>
      <c r="B19" t="inlineStr">
        <is>
          <t>USD 98.82</t>
        </is>
      </c>
    </row>
    <row r="20">
      <c r="A20" t="inlineStr">
        <is>
          <t>Deposits CY2025</t>
        </is>
      </c>
      <c r="B20" t="inlineStr">
        <is>
          <t>USD 0.00</t>
        </is>
      </c>
    </row>
    <row r="21">
      <c r="A21" t="inlineStr">
        <is>
          <t>Deposits since inception (to 31-Mar-2025)</t>
        </is>
      </c>
      <c r="B21" t="inlineStr">
        <is>
          <t>USD 0.00</t>
        </is>
      </c>
    </row>
    <row r="22">
      <c r="A22" t="inlineStr">
        <is>
          <t>Dividends CY2025</t>
        </is>
      </c>
      <c r="B22" t="inlineStr">
        <is>
          <t>USD 0.00 / INR 0 (Rule 115)</t>
        </is>
      </c>
    </row>
    <row r="23">
      <c r="A23" t="inlineStr">
        <is>
          <t>Interest CY2025</t>
        </is>
      </c>
      <c r="B23" t="inlineStr">
        <is>
          <t>USD 0.00 / INR 0 (Rule 115)</t>
        </is>
      </c>
    </row>
    <row r="24">
      <c r="A24" t="inlineStr">
        <is>
          <t>Dividends FY2025-26</t>
        </is>
      </c>
      <c r="B24" t="inlineStr">
        <is>
          <t>USD 0.00 / INR 0</t>
        </is>
      </c>
    </row>
    <row r="25">
      <c r="A25" t="inlineStr">
        <is>
          <t>Interest FY2025-26</t>
        </is>
      </c>
      <c r="B25" t="inlineStr">
        <is>
          <t>USD 0.00 / INR 0</t>
        </is>
      </c>
    </row>
    <row r="26">
      <c r="A26" t="inlineStr">
        <is>
          <t>STCG FY2025-26 (INR)</t>
        </is>
      </c>
      <c r="B26" t="inlineStr">
        <is>
          <t>0</t>
        </is>
      </c>
    </row>
    <row r="27">
      <c r="A27" t="inlineStr">
        <is>
          <t>LTCG FY2025-26 (INR)</t>
        </is>
      </c>
      <c r="B27" t="inlineStr">
        <is>
          <t>0</t>
        </is>
      </c>
    </row>
    <row r="28">
      <c r="A28" t="inlineStr">
        <is>
          <t>STCG FY2024-25 (INR)</t>
        </is>
      </c>
      <c r="B28" t="inlineStr">
        <is>
          <t>0</t>
        </is>
      </c>
    </row>
    <row r="29">
      <c r="A29" t="inlineStr">
        <is>
          <t>LTCG FY2024-25 (INR)</t>
        </is>
      </c>
      <c r="B29" t="inlineStr">
        <is>
          <t>0</t>
        </is>
      </c>
    </row>
    <row r="30">
      <c r="A30" t="inlineStr">
        <is>
          <t>A1 Foreign Bank/Depository</t>
        </is>
      </c>
      <c r="B30" t="inlineStr">
        <is>
          <t>Generally N/A separately — multi-currency cash sits inside IBKR custodial account (A2)</t>
        </is>
      </c>
    </row>
    <row r="31">
      <c r="A31" t="inlineStr">
        <is>
          <t>A2 Custodial Account</t>
        </is>
      </c>
      <c r="B31" t="inlineStr">
        <is>
          <t>Applicable — see sheet; opening: on or before 2024-12-31 (GOOG × 1 held at FY2026-27 start); FOP 11-May-2026</t>
        </is>
      </c>
    </row>
    <row r="32">
      <c r="A32" t="inlineStr">
        <is>
          <t>A3 Equity &amp; Debt Interest</t>
        </is>
      </c>
      <c r="B32" t="inlineStr">
        <is>
          <t>Applicable — 1 FIFO lot lines (one row per acquisition lot; sold lots match Capital Gains)</t>
        </is>
      </c>
    </row>
    <row r="33">
      <c r="A33" t="inlineStr">
        <is>
          <t>A3 Col C (Name of entity)</t>
        </is>
      </c>
      <c r="B33" t="inlineStr">
        <is>
          <t>Symbol only (e.g. NOVd, AAPL). Legal name / address remain in Address &amp; Nature columns.</t>
        </is>
      </c>
    </row>
    <row r="34">
      <c r="A34" t="inlineStr">
        <is>
          <t>A3 vs CG</t>
        </is>
      </c>
      <c r="B34" t="inlineStr">
        <is>
          <t>Sold lots: A3 Initial = CG Cost (INR), A3 Sale = CG Sale (INR), same Rule 115/EUR FX. Multiple buys (e.g. NOVd 21-Mar &amp; 21-Aug) appear as separate A3 rows.</t>
        </is>
      </c>
    </row>
    <row r="35">
      <c r="A35" t="inlineStr">
        <is>
          <t>ADR country practice</t>
        </is>
      </c>
      <c r="B35" t="inlineStr">
        <is>
          <t>Underlying issuer country used for ADRs/GDRs (ASML NL, BTI UK, TSM TW, BYDDY CN, HYU KR, RIO UK)</t>
        </is>
      </c>
    </row>
    <row r="36">
      <c r="A36" t="inlineStr">
        <is>
          <t>CPNG</t>
        </is>
      </c>
      <c r="B36" t="inlineStr">
        <is>
          <t>USA (Delaware corporation, NYSE) despite Korea operations</t>
        </is>
      </c>
    </row>
    <row r="37">
      <c r="A37" t="inlineStr">
        <is>
          <t>NFLX split</t>
        </is>
      </c>
      <c r="B37" t="inlineStr">
        <is>
          <t>10-for-1 split on 14/17-Nov-2025 reflected in FIFO</t>
        </is>
      </c>
    </row>
    <row r="38">
      <c r="A38" t="inlineStr">
        <is>
          <t>LRCX split</t>
        </is>
      </c>
      <c r="B38" t="inlineStr">
        <is>
          <t>10-for-1 split on 02/03-Oct-2024 reflected in FIFO (bought 1 pre-split → 10)</t>
        </is>
      </c>
    </row>
    <row r="39">
      <c r="A39" t="inlineStr">
        <is>
          <t>HYU</t>
        </is>
      </c>
      <c r="B39" t="inlineStr">
        <is>
          <t>Cash merger acquisition Jul-2025 — sale proceeds USD 1,339.02 reported as redemption proceeds</t>
        </is>
      </c>
    </row>
    <row r="40">
      <c r="A40" t="inlineStr">
        <is>
          <t>Action required</t>
        </is>
      </c>
      <c r="B40" t="inlineStr">
        <is>
          <t>1) Confirm exact SBI TT Buy card rates; 2) Obtain PortfolioAnalyst for true peak NAV; 3) Map withholding to Schedule FSI/TR under DTAA.</t>
        </is>
      </c>
    </row>
    <row r="42">
      <c r="A42" t="inlineStr">
        <is>
          <t>FY 2026-27 YTD (01-Apr-2026 to 03-Sep-2026) — partial statement</t>
        </is>
      </c>
    </row>
    <row r="43">
      <c r="A43" t="inlineStr">
        <is>
          <t>Dividends FY2026-27 YTD</t>
        </is>
      </c>
      <c r="B43" t="inlineStr">
        <is>
          <t>USD 23.76 / INR 2,248</t>
        </is>
      </c>
    </row>
    <row r="44">
      <c r="A44" t="inlineStr">
        <is>
          <t>Interest FY2026-27 YTD</t>
        </is>
      </c>
      <c r="B44" t="inlineStr">
        <is>
          <t>USD 0.00 / INR 0</t>
        </is>
      </c>
    </row>
    <row r="45">
      <c r="A45" t="inlineStr">
        <is>
          <t>STCG FY2026-27 YTD (INR)</t>
        </is>
      </c>
      <c r="B45" t="inlineStr">
        <is>
          <t>599,816</t>
        </is>
      </c>
    </row>
    <row r="46">
      <c r="A46" t="inlineStr">
        <is>
          <t>LTCG FY2026-27 YTD (INR)</t>
        </is>
      </c>
      <c r="B46" t="inlineStr">
        <is>
          <t>0</t>
        </is>
      </c>
    </row>
    <row r="47">
      <c r="A47" t="inlineStr">
        <is>
          <t>Related Joint</t>
        </is>
      </c>
      <c r="B47" t="inlineStr">
        <is>
          <t>Internal GOOG transfers with U24577010 (Sofia Anjum Joint) — not taxable CG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48" customWidth="1" min="21" max="21"/>
  </cols>
  <sheetData>
    <row r="1">
      <c r="A1" t="inlineStr">
        <is>
          <t>Capital gains — FY 2026-27 YTD (01-Apr-2026 to 03-Sep-2026). Partial year. Internal Outs excluded (code I).</t>
        </is>
      </c>
    </row>
    <row r="2">
      <c r="A2" t="inlineStr">
        <is>
          <t>RECONCILIATION SHEET (formula-driven). Gain/(Loss) INR = Sale INR − Comm INR − Cost INR. Holding &gt;730 → LTCG.</t>
        </is>
      </c>
    </row>
    <row r="3">
      <c r="A3" t="inlineStr">
        <is>
          <t>F=E-D | G=IF(F&gt;730,"LTCG","STCG") | L=H*K | M=I*K | Q=L*N | R=J*P | S=M*O | T=Q-R-S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GOOG</t>
        </is>
      </c>
      <c r="B5" t="inlineStr">
        <is>
          <t>USD</t>
        </is>
      </c>
      <c r="C5" t="n">
        <v>25</v>
      </c>
      <c r="D5" s="2" t="n">
        <v>46153</v>
      </c>
      <c r="E5" s="2" t="n">
        <v>46204</v>
      </c>
      <c r="F5">
        <f>E5-D5</f>
        <v/>
      </c>
      <c r="G5">
        <f>IF(F5&gt;730,"LTCG","STCG")</f>
        <v/>
      </c>
      <c r="H5" s="3" t="n">
        <v>8888.299999999999</v>
      </c>
      <c r="I5" s="3" t="n">
        <v>2480.25</v>
      </c>
      <c r="J5" s="3" t="n">
        <v>1.19</v>
      </c>
      <c r="K5" s="3" t="n">
        <v>1</v>
      </c>
      <c r="L5">
        <f>H5*K5</f>
        <v/>
      </c>
      <c r="M5">
        <f>I5*K5</f>
        <v/>
      </c>
      <c r="N5" s="3" t="n">
        <v>93.95</v>
      </c>
      <c r="O5" s="3" t="n">
        <v>94.8</v>
      </c>
      <c r="P5" s="3" t="n">
        <v>93.95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>
        <is>
          <t>Confirm original FOP/prior-broker buy dates for LTCG (IBKR Realized tagged LT; workbook uses transfer/seed dates)</t>
        </is>
      </c>
    </row>
    <row r="6"/>
    <row r="7">
      <c r="G7" s="4" t="inlineStr">
        <is>
          <t>TOTAL STCG (INR)</t>
        </is>
      </c>
      <c r="T7" s="4">
        <f>SUMIF(G5:G5,"STCG",T5:T5)</f>
        <v/>
      </c>
    </row>
    <row r="8">
      <c r="G8" s="4" t="inlineStr">
        <is>
          <t>TOTAL LTCG (INR)</t>
        </is>
      </c>
      <c r="T8" s="4">
        <f>SUMIF(G5:G5,"LTCG",T5:T5)</f>
        <v/>
      </c>
    </row>
    <row r="9">
      <c r="G9" s="4" t="inlineStr">
        <is>
          <t>TOTAL CG (INR)</t>
        </is>
      </c>
      <c r="T9" s="4">
        <f>T7+T8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— FY 2026-27 YTD (01-Apr-2026 to 03-Sep-2026). Partial — full year needs statement to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46188</v>
      </c>
      <c r="B7" t="inlineStr">
        <is>
          <t>GOOG(US02079K1079) Cash Dividend USD 0.22 per Share (Ordinary Dividend)</t>
        </is>
      </c>
      <c r="C7" t="inlineStr">
        <is>
          <t>USD</t>
        </is>
      </c>
      <c r="D7" t="n">
        <v>23.76</v>
      </c>
      <c r="E7" t="n">
        <v>23.76</v>
      </c>
      <c r="F7" t="n">
        <v>94.59999999999999</v>
      </c>
      <c r="G7" t="n">
        <v>2248</v>
      </c>
    </row>
    <row r="8">
      <c r="B8" t="inlineStr">
        <is>
          <t>TOTAL DIVIDENDS</t>
        </is>
      </c>
      <c r="E8" t="n">
        <v>23.76</v>
      </c>
      <c r="G8" t="n">
        <v>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2026-09-09T10:07:17Z</dcterms:created>
  <dcterms:modified xsi:type="dcterms:W3CDTF">2026-09-09T10:07:17Z</dcterms:modified>
</cp:coreProperties>
</file>