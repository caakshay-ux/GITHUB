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Japan</t>
        </is>
      </c>
      <c r="B5" t="n">
        <v>111</v>
      </c>
      <c r="C5" t="inlineStr">
        <is>
          <t>2914.T</t>
        </is>
      </c>
      <c r="D5" t="inlineStr">
        <is>
          <t>2-2-1 Toranomon, Minato-ku, Tokyo</t>
        </is>
      </c>
      <c r="E5" t="inlineStr">
        <is>
          <t>105-8422</t>
        </is>
      </c>
      <c r="F5" t="inlineStr">
        <is>
          <t>Listed Foreign Equity Share (Company)</t>
        </is>
      </c>
      <c r="G5" t="inlineStr">
        <is>
          <t>2025-03-10</t>
        </is>
      </c>
      <c r="H5" t="n">
        <v>214281</v>
      </c>
      <c r="I5" t="n">
        <v>234934</v>
      </c>
      <c r="J5" t="n">
        <v>234934</v>
      </c>
      <c r="K5" t="n">
        <v>5822</v>
      </c>
      <c r="L5" t="n">
        <v>0</v>
      </c>
    </row>
    <row r="6">
      <c r="A6" t="inlineStr">
        <is>
          <t>Japan</t>
        </is>
      </c>
      <c r="B6" t="n">
        <v>111</v>
      </c>
      <c r="C6" t="inlineStr">
        <is>
          <t>4568.T</t>
        </is>
      </c>
      <c r="D6" t="inlineStr">
        <is>
          <t>3-5-1 Nihonbashi Honcho, Chuo-ku, Tokyo</t>
        </is>
      </c>
      <c r="E6" t="inlineStr">
        <is>
          <t>103-8426</t>
        </is>
      </c>
      <c r="F6" t="inlineStr">
        <is>
          <t>Listed Foreign Equity Share (Company)</t>
        </is>
      </c>
      <c r="G6" t="inlineStr">
        <is>
          <t>2025-06-24</t>
        </is>
      </c>
      <c r="H6" t="n">
        <v>184553</v>
      </c>
      <c r="I6" t="n">
        <v>194030</v>
      </c>
      <c r="J6" t="n">
        <v>194030</v>
      </c>
      <c r="K6" t="n">
        <v>2214</v>
      </c>
      <c r="L6" t="n">
        <v>0</v>
      </c>
    </row>
    <row r="7">
      <c r="A7" t="inlineStr">
        <is>
          <t>Japan</t>
        </is>
      </c>
      <c r="B7" t="n">
        <v>111</v>
      </c>
      <c r="C7" t="inlineStr">
        <is>
          <t>7203.T</t>
        </is>
      </c>
      <c r="D7" t="inlineStr">
        <is>
          <t>1 Toyota-cho, Toyota City, Aichi</t>
        </is>
      </c>
      <c r="E7" t="inlineStr">
        <is>
          <t>471-8571</t>
        </is>
      </c>
      <c r="F7" t="inlineStr">
        <is>
          <t>Listed Foreign Equity Share (Company)</t>
        </is>
      </c>
      <c r="G7" t="inlineStr">
        <is>
          <t>2025-06-24</t>
        </is>
      </c>
      <c r="H7" t="n">
        <v>134052</v>
      </c>
      <c r="I7" t="n">
        <v>140936</v>
      </c>
      <c r="J7" t="n">
        <v>140936</v>
      </c>
      <c r="K7" t="n">
        <v>2533</v>
      </c>
      <c r="L7" t="n">
        <v>0</v>
      </c>
    </row>
    <row r="8">
      <c r="A8" t="inlineStr">
        <is>
          <t>Ireland</t>
        </is>
      </c>
      <c r="B8" t="n">
        <v>101</v>
      </c>
      <c r="C8" t="inlineStr">
        <is>
          <t>ACN</t>
        </is>
      </c>
      <c r="D8" t="inlineStr">
        <is>
          <t>1 Grand Canal Square, Grand Canal Harbour, Dublin</t>
        </is>
      </c>
      <c r="E8" t="inlineStr">
        <is>
          <t>D02 P820</t>
        </is>
      </c>
      <c r="F8" t="inlineStr">
        <is>
          <t>Listed Foreign Equity Share (Company)</t>
        </is>
      </c>
      <c r="G8" t="inlineStr">
        <is>
          <t>2024-08-20</t>
        </is>
      </c>
      <c r="H8" t="n">
        <v>1982065</v>
      </c>
      <c r="I8" t="n">
        <v>8096283</v>
      </c>
      <c r="J8" t="n">
        <v>8096283</v>
      </c>
      <c r="K8" t="n">
        <v>391135</v>
      </c>
      <c r="L8" t="n">
        <v>0</v>
      </c>
    </row>
    <row r="9">
      <c r="A9" t="inlineStr">
        <is>
          <t>Ireland</t>
        </is>
      </c>
      <c r="B9" t="n">
        <v>101</v>
      </c>
      <c r="C9" t="inlineStr">
        <is>
          <t>ACN</t>
        </is>
      </c>
      <c r="D9" t="inlineStr">
        <is>
          <t>1 Grand Canal Square, Grand Canal Harbour, Dublin</t>
        </is>
      </c>
      <c r="E9" t="inlineStr">
        <is>
          <t>D02 P820</t>
        </is>
      </c>
      <c r="F9" t="inlineStr">
        <is>
          <t>Listed Foreign Equity Share (Company)</t>
        </is>
      </c>
      <c r="G9" t="inlineStr">
        <is>
          <t>2024-08-26</t>
        </is>
      </c>
      <c r="H9" t="n">
        <v>3109792</v>
      </c>
      <c r="I9" t="n">
        <v>12702790</v>
      </c>
      <c r="J9" t="n">
        <v>12702790</v>
      </c>
      <c r="K9" t="n">
        <v>0</v>
      </c>
      <c r="L9" t="n">
        <v>0</v>
      </c>
    </row>
    <row r="10">
      <c r="A10" t="inlineStr">
        <is>
          <t>Netherlands</t>
        </is>
      </c>
      <c r="B10" t="n">
        <v>156</v>
      </c>
      <c r="C10" t="inlineStr">
        <is>
          <t>ASML</t>
        </is>
      </c>
      <c r="D10" t="inlineStr">
        <is>
          <t>De Run 6501, 5504 DR Veldhoven</t>
        </is>
      </c>
      <c r="E10" t="inlineStr">
        <is>
          <t>5504 DR</t>
        </is>
      </c>
      <c r="F10" t="inlineStr">
        <is>
          <t>American Depository Receipt of Listed Foreign Company</t>
        </is>
      </c>
      <c r="G10" t="inlineStr">
        <is>
          <t>2024-10-22</t>
        </is>
      </c>
      <c r="H10" t="n">
        <v>361579</v>
      </c>
      <c r="I10" t="n">
        <v>388361</v>
      </c>
      <c r="J10" t="n">
        <v>355713</v>
      </c>
      <c r="K10" t="n">
        <v>3821</v>
      </c>
      <c r="L10" t="n">
        <v>0</v>
      </c>
    </row>
    <row r="11">
      <c r="A11" t="inlineStr">
        <is>
          <t>United States of America</t>
        </is>
      </c>
      <c r="B11" t="n">
        <v>2</v>
      </c>
      <c r="C11" t="inlineStr">
        <is>
          <t>AVGO</t>
        </is>
      </c>
      <c r="D11" t="inlineStr">
        <is>
          <t>3421 Hillview Avenue, Palo Alto, CA</t>
        </is>
      </c>
      <c r="E11" t="inlineStr">
        <is>
          <t>94304</t>
        </is>
      </c>
      <c r="F11" t="inlineStr">
        <is>
          <t>Listed Foreign Equity Share (Company)</t>
        </is>
      </c>
      <c r="G11" t="inlineStr">
        <is>
          <t>2024-09-10</t>
        </is>
      </c>
      <c r="H11" t="n">
        <v>109021</v>
      </c>
      <c r="I11" t="n">
        <v>232695</v>
      </c>
      <c r="J11" t="n">
        <v>0</v>
      </c>
      <c r="K11" t="n">
        <v>914</v>
      </c>
      <c r="L11" t="n">
        <v>221330</v>
      </c>
    </row>
    <row r="12">
      <c r="A12" t="inlineStr">
        <is>
          <t>United States of America</t>
        </is>
      </c>
      <c r="B12" t="n">
        <v>2</v>
      </c>
      <c r="C12" t="inlineStr">
        <is>
          <t>AXP</t>
        </is>
      </c>
      <c r="D12" t="inlineStr">
        <is>
          <t>200 Vesey Street, New York, NY</t>
        </is>
      </c>
      <c r="E12" t="inlineStr">
        <is>
          <t>10285</t>
        </is>
      </c>
      <c r="F12" t="inlineStr">
        <is>
          <t>Listed Foreign Equity Share (Company)</t>
        </is>
      </c>
      <c r="G12" t="inlineStr">
        <is>
          <t>2024-09-10</t>
        </is>
      </c>
      <c r="H12" t="n">
        <v>183074</v>
      </c>
      <c r="I12" t="n">
        <v>249613</v>
      </c>
      <c r="J12" t="n">
        <v>0</v>
      </c>
      <c r="K12" t="n">
        <v>1808</v>
      </c>
      <c r="L12" t="n">
        <v>237421</v>
      </c>
    </row>
    <row r="13">
      <c r="A13" t="inlineStr">
        <is>
          <t>United States of America</t>
        </is>
      </c>
      <c r="B13" t="n">
        <v>2</v>
      </c>
      <c r="C13" t="inlineStr">
        <is>
          <t>BAC</t>
        </is>
      </c>
      <c r="D13" t="inlineStr">
        <is>
          <t>100 North Tryon Street, Charlotte, NC</t>
        </is>
      </c>
      <c r="E13" t="inlineStr">
        <is>
          <t>28255</t>
        </is>
      </c>
      <c r="F13" t="inlineStr">
        <is>
          <t>Listed Foreign Equity Share (Company)</t>
        </is>
      </c>
      <c r="G13" t="inlineStr">
        <is>
          <t>2024-09-10</t>
        </is>
      </c>
      <c r="H13" t="n">
        <v>194472</v>
      </c>
      <c r="I13" t="n">
        <v>258912</v>
      </c>
      <c r="J13" t="n">
        <v>0</v>
      </c>
      <c r="K13" t="n">
        <v>2684</v>
      </c>
      <c r="L13" t="n">
        <v>246266</v>
      </c>
    </row>
    <row r="14">
      <c r="A14" t="inlineStr">
        <is>
          <t>United States of America</t>
        </is>
      </c>
      <c r="B14" t="n">
        <v>2</v>
      </c>
      <c r="C14" t="inlineStr">
        <is>
          <t>BLBD</t>
        </is>
      </c>
      <c r="D14" t="inlineStr">
        <is>
          <t>3920 Arkwright Road, Macon, GA</t>
        </is>
      </c>
      <c r="E14" t="inlineStr">
        <is>
          <t>31210</t>
        </is>
      </c>
      <c r="F14" t="inlineStr">
        <is>
          <t>Listed Foreign Equity Share (Company)</t>
        </is>
      </c>
      <c r="G14" t="inlineStr">
        <is>
          <t>2024-10-03</t>
        </is>
      </c>
      <c r="H14" t="n">
        <v>88748</v>
      </c>
      <c r="I14" t="n">
        <v>97894</v>
      </c>
      <c r="J14" t="n">
        <v>0</v>
      </c>
      <c r="K14" t="n">
        <v>0</v>
      </c>
      <c r="L14" t="n">
        <v>93113</v>
      </c>
    </row>
    <row r="15">
      <c r="A15" t="inlineStr">
        <is>
          <t>United States of America</t>
        </is>
      </c>
      <c r="B15" t="n">
        <v>2</v>
      </c>
      <c r="C15" t="inlineStr">
        <is>
          <t>DXJ</t>
        </is>
      </c>
      <c r="D15" t="inlineStr">
        <is>
          <t>c/o WisdomTree Investments Inc, 250 West 34th Street, New York, NY</t>
        </is>
      </c>
      <c r="E15" t="inlineStr">
        <is>
          <t>10119</t>
        </is>
      </c>
      <c r="F15" t="inlineStr">
        <is>
          <t>Exchange Traded Fund (Investment Trust)</t>
        </is>
      </c>
      <c r="G15" t="inlineStr">
        <is>
          <t>2024-09-10</t>
        </is>
      </c>
      <c r="H15" t="n">
        <v>125250</v>
      </c>
      <c r="I15" t="n">
        <v>160710</v>
      </c>
      <c r="J15" t="n">
        <v>0</v>
      </c>
      <c r="K15" t="n">
        <v>1711</v>
      </c>
      <c r="L15" t="n">
        <v>152861</v>
      </c>
    </row>
    <row r="16">
      <c r="A16" t="inlineStr">
        <is>
          <t>United States of America</t>
        </is>
      </c>
      <c r="B16" t="n">
        <v>2</v>
      </c>
      <c r="C16" t="inlineStr">
        <is>
          <t>EMXC</t>
        </is>
      </c>
      <c r="D16" t="inlineStr">
        <is>
          <t>c/o BlackRock Fund Advisors, 400 Howard Street, San Francisco, CA</t>
        </is>
      </c>
      <c r="E16" t="inlineStr">
        <is>
          <t>94105</t>
        </is>
      </c>
      <c r="F16" t="inlineStr">
        <is>
          <t>Exchange Traded Fund (Investment Trust)</t>
        </is>
      </c>
      <c r="G16" t="inlineStr">
        <is>
          <t>2024-09-10</t>
        </is>
      </c>
      <c r="H16" t="n">
        <v>146877</v>
      </c>
      <c r="I16" t="n">
        <v>171017</v>
      </c>
      <c r="J16" t="n">
        <v>0</v>
      </c>
      <c r="K16" t="n">
        <v>1816</v>
      </c>
      <c r="L16" t="n">
        <v>162664</v>
      </c>
    </row>
    <row r="17">
      <c r="A17" t="inlineStr">
        <is>
          <t>United States of America</t>
        </is>
      </c>
      <c r="B17" t="n">
        <v>2</v>
      </c>
      <c r="C17" t="inlineStr">
        <is>
          <t>GE</t>
        </is>
      </c>
      <c r="D17" t="inlineStr">
        <is>
          <t>1 Neumann Way, Cincinnati, OH</t>
        </is>
      </c>
      <c r="E17" t="inlineStr">
        <is>
          <t>45215</t>
        </is>
      </c>
      <c r="F17" t="inlineStr">
        <is>
          <t>Listed Foreign Equity Share (Company)</t>
        </is>
      </c>
      <c r="G17" t="inlineStr">
        <is>
          <t>2024-09-10</t>
        </is>
      </c>
      <c r="H17" t="n">
        <v>123705</v>
      </c>
      <c r="I17" t="n">
        <v>218161</v>
      </c>
      <c r="J17" t="n">
        <v>0</v>
      </c>
      <c r="K17" t="n">
        <v>766</v>
      </c>
      <c r="L17" t="n">
        <v>207505</v>
      </c>
    </row>
    <row r="18">
      <c r="A18" t="inlineStr">
        <is>
          <t>United States of America</t>
        </is>
      </c>
      <c r="B18" t="n">
        <v>2</v>
      </c>
      <c r="C18" t="inlineStr">
        <is>
          <t>HON</t>
        </is>
      </c>
      <c r="D18" t="inlineStr">
        <is>
          <t>855 S Mint Street, Charlotte, NC</t>
        </is>
      </c>
      <c r="E18" t="inlineStr">
        <is>
          <t>28202</t>
        </is>
      </c>
      <c r="F18" t="inlineStr">
        <is>
          <t>Listed Foreign Equity Share (Company)</t>
        </is>
      </c>
      <c r="G18" t="inlineStr">
        <is>
          <t>2024-09-10</t>
        </is>
      </c>
      <c r="H18" t="n">
        <v>199482</v>
      </c>
      <c r="I18" t="n">
        <v>238743</v>
      </c>
      <c r="J18" t="n">
        <v>0</v>
      </c>
      <c r="K18" t="n">
        <v>2333</v>
      </c>
      <c r="L18" t="n">
        <v>227082</v>
      </c>
    </row>
    <row r="19">
      <c r="A19" t="inlineStr">
        <is>
          <t>United States of America</t>
        </is>
      </c>
      <c r="B19" t="n">
        <v>2</v>
      </c>
      <c r="C19" t="inlineStr">
        <is>
          <t>LLY</t>
        </is>
      </c>
      <c r="D19" t="inlineStr">
        <is>
          <t>Lilly Corporate Center, Indianapolis, IN</t>
        </is>
      </c>
      <c r="E19" t="inlineStr">
        <is>
          <t>46285</t>
        </is>
      </c>
      <c r="F19" t="inlineStr">
        <is>
          <t>Listed Foreign Equity Share (Company)</t>
        </is>
      </c>
      <c r="G19" t="inlineStr">
        <is>
          <t>2024-11-04</t>
        </is>
      </c>
      <c r="H19" t="n">
        <v>202422</v>
      </c>
      <c r="I19" t="n">
        <v>216878</v>
      </c>
      <c r="J19" t="n">
        <v>0</v>
      </c>
      <c r="K19" t="n">
        <v>774</v>
      </c>
      <c r="L19" t="n">
        <v>206285</v>
      </c>
    </row>
    <row r="20">
      <c r="A20" t="inlineStr">
        <is>
          <t>United States of America</t>
        </is>
      </c>
      <c r="B20" t="n">
        <v>2</v>
      </c>
      <c r="C20" t="inlineStr">
        <is>
          <t>LRCX</t>
        </is>
      </c>
      <c r="D20" t="inlineStr">
        <is>
          <t>4650 Cushing Parkway, Fremont, CA</t>
        </is>
      </c>
      <c r="E20" t="inlineStr">
        <is>
          <t>94538</t>
        </is>
      </c>
      <c r="F20" t="inlineStr">
        <is>
          <t>Listed Foreign Equity Share (Company)</t>
        </is>
      </c>
      <c r="G20" t="inlineStr">
        <is>
          <t>2024-09-10</t>
        </is>
      </c>
      <c r="H20" t="n">
        <v>181446</v>
      </c>
      <c r="I20" t="n">
        <v>194418</v>
      </c>
      <c r="J20" t="n">
        <v>0</v>
      </c>
      <c r="K20" t="n">
        <v>0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LRCX</t>
        </is>
      </c>
      <c r="D21" t="inlineStr">
        <is>
          <t>4650 Cushing Parkway, Fremont, CA</t>
        </is>
      </c>
      <c r="E21" t="inlineStr">
        <is>
          <t>94538</t>
        </is>
      </c>
      <c r="F21" t="inlineStr">
        <is>
          <t>Listed Foreign Equity Share (Company)</t>
        </is>
      </c>
      <c r="G21" t="inlineStr">
        <is>
          <t>2024-09-10</t>
        </is>
      </c>
      <c r="H21" t="n">
        <v>181446</v>
      </c>
      <c r="I21" t="n">
        <v>259740</v>
      </c>
      <c r="J21" t="n">
        <v>0</v>
      </c>
      <c r="K21" t="n">
        <v>1762</v>
      </c>
      <c r="L21" t="n">
        <v>247054</v>
      </c>
    </row>
    <row r="22">
      <c r="A22" t="inlineStr">
        <is>
          <t>United States of America</t>
        </is>
      </c>
      <c r="B22" t="n">
        <v>2</v>
      </c>
      <c r="C22" t="inlineStr">
        <is>
          <t>MSFT</t>
        </is>
      </c>
      <c r="D22" t="inlineStr">
        <is>
          <t>One Microsoft Way, Redmond, WA</t>
        </is>
      </c>
      <c r="E22" t="inlineStr">
        <is>
          <t>98052</t>
        </is>
      </c>
      <c r="F22" t="inlineStr">
        <is>
          <t>Listed Foreign Equity Share (Company)</t>
        </is>
      </c>
      <c r="G22" t="inlineStr">
        <is>
          <t>2024-10-31</t>
        </is>
      </c>
      <c r="H22" t="n">
        <v>205106</v>
      </c>
      <c r="I22" t="n">
        <v>275240</v>
      </c>
      <c r="J22" t="n">
        <v>0</v>
      </c>
      <c r="K22" t="n">
        <v>857</v>
      </c>
      <c r="L22" t="n">
        <v>261796</v>
      </c>
    </row>
    <row r="23">
      <c r="A23" t="inlineStr">
        <is>
          <t>United Kingdom</t>
        </is>
      </c>
      <c r="B23" t="n">
        <v>234</v>
      </c>
      <c r="C23" t="inlineStr">
        <is>
          <t>R6C0d</t>
        </is>
      </c>
      <c r="D23" t="inlineStr">
        <is>
          <t>Shell Centre, 2 York Road, London</t>
        </is>
      </c>
      <c r="E23" t="inlineStr">
        <is>
          <t>SE1 7NA</t>
        </is>
      </c>
      <c r="F23" t="inlineStr">
        <is>
          <t>Listed Foreign Equity Share (Company)</t>
        </is>
      </c>
      <c r="G23" t="inlineStr">
        <is>
          <t>2024-09-26</t>
        </is>
      </c>
      <c r="H23" t="n">
        <v>88354</v>
      </c>
      <c r="I23" t="n">
        <v>106347</v>
      </c>
      <c r="J23" t="n">
        <v>0</v>
      </c>
      <c r="K23" t="n">
        <v>0</v>
      </c>
      <c r="L23" t="n">
        <v>100102</v>
      </c>
    </row>
    <row r="24">
      <c r="A24" t="inlineStr">
        <is>
          <t>United States of America</t>
        </is>
      </c>
      <c r="B24" t="n">
        <v>2</v>
      </c>
      <c r="C24" t="inlineStr">
        <is>
          <t>SLV</t>
        </is>
      </c>
      <c r="D24" t="inlineStr">
        <is>
          <t>c/o iShares Delaware Trust Sponsor LLC / BlackRock, San Francisco, CA</t>
        </is>
      </c>
      <c r="E24" t="inlineStr">
        <is>
          <t>94105</t>
        </is>
      </c>
      <c r="F24" t="inlineStr">
        <is>
          <t>Exchange Traded Fund (Investment Trust)</t>
        </is>
      </c>
      <c r="G24" t="inlineStr">
        <is>
          <t>2024-12-18</t>
        </is>
      </c>
      <c r="H24" t="n">
        <v>76555</v>
      </c>
      <c r="I24" t="n">
        <v>102998</v>
      </c>
      <c r="J24" t="n">
        <v>0</v>
      </c>
      <c r="K24" t="n">
        <v>0</v>
      </c>
      <c r="L24" t="n">
        <v>97968</v>
      </c>
    </row>
    <row r="25">
      <c r="A25" t="inlineStr">
        <is>
          <t>United States of America</t>
        </is>
      </c>
      <c r="B25" t="n">
        <v>2</v>
      </c>
      <c r="C25" t="inlineStr">
        <is>
          <t>TGT</t>
        </is>
      </c>
      <c r="D25" t="inlineStr">
        <is>
          <t>1000 Nicollet Mall, Minneapolis, MN</t>
        </is>
      </c>
      <c r="E25" t="inlineStr">
        <is>
          <t>55403</t>
        </is>
      </c>
      <c r="F25" t="inlineStr">
        <is>
          <t>Listed Foreign Equity Share (Company)</t>
        </is>
      </c>
      <c r="G25" t="inlineStr">
        <is>
          <t>2024-09-10</t>
        </is>
      </c>
      <c r="H25" t="n">
        <v>186706</v>
      </c>
      <c r="I25" t="n">
        <v>200055</v>
      </c>
      <c r="J25" t="n">
        <v>0</v>
      </c>
      <c r="K25" t="n">
        <v>2890</v>
      </c>
      <c r="L25" t="n">
        <v>134403</v>
      </c>
    </row>
    <row r="26">
      <c r="A26" t="inlineStr">
        <is>
          <t>United States of America</t>
        </is>
      </c>
      <c r="B26" t="n">
        <v>2</v>
      </c>
      <c r="C26" t="inlineStr">
        <is>
          <t>TSLA</t>
        </is>
      </c>
      <c r="D26" t="inlineStr">
        <is>
          <t>1 Tesla Road, Austin, TX</t>
        </is>
      </c>
      <c r="E26" t="inlineStr">
        <is>
          <t>78725</t>
        </is>
      </c>
      <c r="F26" t="inlineStr">
        <is>
          <t>Listed Foreign Equity Share (Company)</t>
        </is>
      </c>
      <c r="G26" t="inlineStr">
        <is>
          <t>2024-12-18</t>
        </is>
      </c>
      <c r="H26" t="n">
        <v>119656</v>
      </c>
      <c r="I26" t="n">
        <v>127221</v>
      </c>
      <c r="J26" t="n">
        <v>0</v>
      </c>
      <c r="K26" t="n">
        <v>0</v>
      </c>
      <c r="L26" t="n">
        <v>80427</v>
      </c>
    </row>
    <row r="27">
      <c r="A27" t="inlineStr">
        <is>
          <t>Taiwan</t>
        </is>
      </c>
      <c r="B27" t="n">
        <v>212</v>
      </c>
      <c r="C27" t="inlineStr">
        <is>
          <t>TSM</t>
        </is>
      </c>
      <c r="D27" t="inlineStr">
        <is>
          <t>8 Li-Hsin Road 6, Hsinchu Science Park, Hsinchu</t>
        </is>
      </c>
      <c r="E27" t="inlineStr">
        <is>
          <t>30078</t>
        </is>
      </c>
      <c r="F27" t="inlineStr">
        <is>
          <t>American Depository Receipt of Listed Foreign Company</t>
        </is>
      </c>
      <c r="G27" t="inlineStr">
        <is>
          <t>2024-09-10</t>
        </is>
      </c>
      <c r="H27" t="n">
        <v>119271</v>
      </c>
      <c r="I27" t="n">
        <v>196549</v>
      </c>
      <c r="J27" t="n">
        <v>0</v>
      </c>
      <c r="K27" t="n">
        <v>1583</v>
      </c>
      <c r="L27" t="n">
        <v>186949</v>
      </c>
    </row>
    <row r="28">
      <c r="A28" t="inlineStr">
        <is>
          <t>United States of America</t>
        </is>
      </c>
      <c r="B28" t="n">
        <v>2</v>
      </c>
      <c r="C28" t="inlineStr">
        <is>
          <t>XOM</t>
        </is>
      </c>
      <c r="D28" t="inlineStr">
        <is>
          <t>22777 Springwoods Village Parkway, Spring, TX</t>
        </is>
      </c>
      <c r="E28" t="inlineStr">
        <is>
          <t>77389</t>
        </is>
      </c>
      <c r="F28" t="inlineStr">
        <is>
          <t>Listed Foreign Equity Share (Company)</t>
        </is>
      </c>
      <c r="G28" t="inlineStr">
        <is>
          <t>2024-09-10</t>
        </is>
      </c>
      <c r="H28" t="n">
        <v>111606</v>
      </c>
      <c r="I28" t="n">
        <v>127688</v>
      </c>
      <c r="J28" t="n">
        <v>127688</v>
      </c>
      <c r="K28" t="n">
        <v>4185</v>
      </c>
      <c r="L28" t="n">
        <v>0</v>
      </c>
    </row>
    <row r="29"/>
    <row r="30">
      <c r="G30" t="inlineStr">
        <is>
          <t>TOTAL (Rs.)</t>
        </is>
      </c>
      <c r="H30" s="4" t="n">
        <v>8629519</v>
      </c>
      <c r="I30" s="4" t="n">
        <v>25192213</v>
      </c>
      <c r="J30" s="4" t="n">
        <v>21852374</v>
      </c>
      <c r="K30" s="4" t="n">
        <v>429608</v>
      </c>
      <c r="L30" s="4" t="n">
        <v>2863226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Japan</t>
        </is>
      </c>
      <c r="C2" t="n">
        <v>111</v>
      </c>
      <c r="D2" t="inlineStr">
        <is>
          <t>2914.T</t>
        </is>
      </c>
      <c r="E2" t="inlineStr">
        <is>
          <t>Japan Tobacco Inc</t>
        </is>
      </c>
      <c r="F2" t="inlineStr">
        <is>
          <t>Listed Foreign Equity Share (Company)</t>
        </is>
      </c>
      <c r="G2" t="n">
        <v>100</v>
      </c>
      <c r="H2" t="inlineStr">
        <is>
          <t>2025-03-10</t>
        </is>
      </c>
      <c r="I2" t="n">
        <v>2464.42</v>
      </c>
      <c r="J2" t="n">
        <v>2625.84</v>
      </c>
      <c r="K2" t="n">
        <v>2625.84</v>
      </c>
      <c r="L2" t="n">
        <v>66.38</v>
      </c>
      <c r="M2" t="n">
        <v>0</v>
      </c>
    </row>
    <row r="3">
      <c r="A3" t="n">
        <v>2</v>
      </c>
      <c r="B3" t="inlineStr">
        <is>
          <t>Japan</t>
        </is>
      </c>
      <c r="C3" t="n">
        <v>111</v>
      </c>
      <c r="D3" t="inlineStr">
        <is>
          <t>4568.T</t>
        </is>
      </c>
      <c r="E3" t="inlineStr">
        <is>
          <t>Daiichi Sankyo Co Ltd</t>
        </is>
      </c>
      <c r="F3" t="inlineStr">
        <is>
          <t>Listed Foreign Equity Share (Company)</t>
        </is>
      </c>
      <c r="G3" t="n">
        <v>100</v>
      </c>
      <c r="H3" t="inlineStr">
        <is>
          <t>2025-06-24</t>
        </is>
      </c>
      <c r="I3" t="n">
        <v>2168.66</v>
      </c>
      <c r="J3" t="n">
        <v>2168.66</v>
      </c>
      <c r="K3" t="n">
        <v>2168.66</v>
      </c>
      <c r="L3" t="n">
        <v>24.89</v>
      </c>
      <c r="M3" t="n">
        <v>0</v>
      </c>
    </row>
    <row r="4">
      <c r="A4" t="n">
        <v>3</v>
      </c>
      <c r="B4" t="inlineStr">
        <is>
          <t>Japan</t>
        </is>
      </c>
      <c r="C4" t="n">
        <v>111</v>
      </c>
      <c r="D4" t="inlineStr">
        <is>
          <t>7203.T</t>
        </is>
      </c>
      <c r="E4" t="inlineStr">
        <is>
          <t>Toyota Motor Corp</t>
        </is>
      </c>
      <c r="F4" t="inlineStr">
        <is>
          <t>Listed Foreign Equity Share (Company)</t>
        </is>
      </c>
      <c r="G4" t="n">
        <v>100</v>
      </c>
      <c r="H4" t="inlineStr">
        <is>
          <t>2025-06-24</t>
        </is>
      </c>
      <c r="I4" t="n">
        <v>1575.23</v>
      </c>
      <c r="J4" t="n">
        <v>1575.23</v>
      </c>
      <c r="K4" t="n">
        <v>1575.23</v>
      </c>
      <c r="L4" t="n">
        <v>28.72</v>
      </c>
      <c r="M4" t="n">
        <v>0</v>
      </c>
    </row>
    <row r="5">
      <c r="A5" t="n">
        <v>4</v>
      </c>
      <c r="B5" t="inlineStr">
        <is>
          <t>Ireland</t>
        </is>
      </c>
      <c r="C5" t="n">
        <v>101</v>
      </c>
      <c r="D5" t="inlineStr">
        <is>
          <t>ACN</t>
        </is>
      </c>
      <c r="E5" t="inlineStr">
        <is>
          <t>Accenture plc - Class A</t>
        </is>
      </c>
      <c r="F5" t="inlineStr">
        <is>
          <t>Listed Foreign Equity Share (Company)</t>
        </is>
      </c>
      <c r="G5" t="n">
        <v>290</v>
      </c>
      <c r="H5" t="inlineStr">
        <is>
          <t>2024-08-20</t>
        </is>
      </c>
      <c r="I5" t="n">
        <v>23737.31</v>
      </c>
      <c r="J5" t="n">
        <v>90491.60000000001</v>
      </c>
      <c r="K5" t="n">
        <v>90491.60000000001</v>
      </c>
      <c r="L5" t="n">
        <v>4522.15</v>
      </c>
      <c r="M5" t="n">
        <v>0</v>
      </c>
    </row>
    <row r="6">
      <c r="A6" t="n">
        <v>5</v>
      </c>
      <c r="B6" t="inlineStr">
        <is>
          <t>Ireland</t>
        </is>
      </c>
      <c r="C6" t="n">
        <v>101</v>
      </c>
      <c r="D6" t="inlineStr">
        <is>
          <t>ACN</t>
        </is>
      </c>
      <c r="E6" t="inlineStr">
        <is>
          <t>Accenture plc - Class A</t>
        </is>
      </c>
      <c r="F6" t="inlineStr">
        <is>
          <t>Listed Foreign Equity Share (Company)</t>
        </is>
      </c>
      <c r="G6" t="n">
        <v>455</v>
      </c>
      <c r="H6" t="inlineStr">
        <is>
          <t>2024-08-26</t>
        </is>
      </c>
      <c r="I6" t="n">
        <v>37243.01</v>
      </c>
      <c r="J6" t="n">
        <v>141978.2</v>
      </c>
      <c r="K6" t="n">
        <v>141978.2</v>
      </c>
      <c r="L6" t="n">
        <v>0</v>
      </c>
      <c r="M6" t="n">
        <v>0</v>
      </c>
    </row>
    <row r="7">
      <c r="A7" t="n">
        <v>6</v>
      </c>
      <c r="B7" t="inlineStr">
        <is>
          <t>Netherlands</t>
        </is>
      </c>
      <c r="C7" t="n">
        <v>156</v>
      </c>
      <c r="D7" t="inlineStr">
        <is>
          <t>ASML</t>
        </is>
      </c>
      <c r="E7" t="inlineStr">
        <is>
          <t>ASML Holding NV - NY Registered Shares</t>
        </is>
      </c>
      <c r="F7" t="inlineStr">
        <is>
          <t>American Depository Receipt of Listed Foreign Company</t>
        </is>
      </c>
      <c r="G7" t="n">
        <v>6</v>
      </c>
      <c r="H7" t="inlineStr">
        <is>
          <t>2024-10-22</t>
        </is>
      </c>
      <c r="I7" t="n">
        <v>4340.68</v>
      </c>
      <c r="J7" t="n">
        <v>4340.68</v>
      </c>
      <c r="K7" t="n">
        <v>3975.78</v>
      </c>
      <c r="L7" t="n">
        <v>44.23</v>
      </c>
      <c r="M7" t="n">
        <v>0</v>
      </c>
    </row>
    <row r="8">
      <c r="A8" t="n">
        <v>7</v>
      </c>
      <c r="B8" t="inlineStr">
        <is>
          <t>United States of America</t>
        </is>
      </c>
      <c r="C8" t="n">
        <v>2</v>
      </c>
      <c r="D8" t="inlineStr">
        <is>
          <t>AVGO</t>
        </is>
      </c>
      <c r="E8" t="inlineStr">
        <is>
          <t>Broadcom Inc</t>
        </is>
      </c>
      <c r="F8" t="inlineStr">
        <is>
          <t>Listed Foreign Equity Share (Company)</t>
        </is>
      </c>
      <c r="G8" t="n">
        <v>9</v>
      </c>
      <c r="H8" t="inlineStr">
        <is>
          <t>2024-09-10</t>
        </is>
      </c>
      <c r="I8" t="n">
        <v>1305.64</v>
      </c>
      <c r="J8" t="n">
        <v>2600.82</v>
      </c>
      <c r="K8" t="n">
        <v>0</v>
      </c>
      <c r="L8" t="n">
        <v>10.62</v>
      </c>
      <c r="M8" t="n">
        <v>2600.82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AXP</t>
        </is>
      </c>
      <c r="E9" t="inlineStr">
        <is>
          <t>American Express Co</t>
        </is>
      </c>
      <c r="F9" t="inlineStr">
        <is>
          <t>Listed Foreign Equity Share (Company)</t>
        </is>
      </c>
      <c r="G9" t="n">
        <v>9</v>
      </c>
      <c r="H9" t="inlineStr">
        <is>
          <t>2024-09-10</t>
        </is>
      </c>
      <c r="I9" t="n">
        <v>2192.5</v>
      </c>
      <c r="J9" t="n">
        <v>2789.91</v>
      </c>
      <c r="K9" t="n">
        <v>0</v>
      </c>
      <c r="L9" t="n">
        <v>21.06</v>
      </c>
      <c r="M9" t="n">
        <v>2789.91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BAC</t>
        </is>
      </c>
      <c r="E10" t="inlineStr">
        <is>
          <t>Bank of America Corp</t>
        </is>
      </c>
      <c r="F10" t="inlineStr">
        <is>
          <t>Listed Foreign Equity Share (Company)</t>
        </is>
      </c>
      <c r="G10" t="n">
        <v>60</v>
      </c>
      <c r="H10" t="inlineStr">
        <is>
          <t>2024-09-10</t>
        </is>
      </c>
      <c r="I10" t="n">
        <v>2329</v>
      </c>
      <c r="J10" t="n">
        <v>2893.84</v>
      </c>
      <c r="K10" t="n">
        <v>0</v>
      </c>
      <c r="L10" t="n">
        <v>31.2</v>
      </c>
      <c r="M10" t="n">
        <v>2893.84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BLBD</t>
        </is>
      </c>
      <c r="E11" t="inlineStr">
        <is>
          <t>Blue Bird Corp</t>
        </is>
      </c>
      <c r="F11" t="inlineStr">
        <is>
          <t>Listed Foreign Equity Share (Company)</t>
        </is>
      </c>
      <c r="G11" t="n">
        <v>24</v>
      </c>
      <c r="H11" t="inlineStr">
        <is>
          <t>2024-10-03</t>
        </is>
      </c>
      <c r="I11" t="n">
        <v>1065.4</v>
      </c>
      <c r="J11" t="n">
        <v>1094.16</v>
      </c>
      <c r="K11" t="n">
        <v>0</v>
      </c>
      <c r="L11" t="n">
        <v>0</v>
      </c>
      <c r="M11" t="n">
        <v>1094.16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DXJ</t>
        </is>
      </c>
      <c r="E12" t="inlineStr">
        <is>
          <t>WisdomTree Japan Hedged Equity Fund</t>
        </is>
      </c>
      <c r="F12" t="inlineStr">
        <is>
          <t>Exchange Traded Fund (Investment Trust)</t>
        </is>
      </c>
      <c r="G12" t="n">
        <v>15</v>
      </c>
      <c r="H12" t="inlineStr">
        <is>
          <t>2024-09-10</t>
        </is>
      </c>
      <c r="I12" t="n">
        <v>1500</v>
      </c>
      <c r="J12" t="n">
        <v>1796.25</v>
      </c>
      <c r="K12" t="n">
        <v>0</v>
      </c>
      <c r="L12" t="n">
        <v>20.1</v>
      </c>
      <c r="M12" t="n">
        <v>1796.25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EMXC</t>
        </is>
      </c>
      <c r="E13" t="inlineStr">
        <is>
          <t>iShares MSCI Emerging Markets ex China ETF</t>
        </is>
      </c>
      <c r="F13" t="inlineStr">
        <is>
          <t>Exchange Traded Fund (Investment Trust)</t>
        </is>
      </c>
      <c r="G13" t="n">
        <v>30</v>
      </c>
      <c r="H13" t="inlineStr">
        <is>
          <t>2024-09-10</t>
        </is>
      </c>
      <c r="I13" t="n">
        <v>1759</v>
      </c>
      <c r="J13" t="n">
        <v>1911.45</v>
      </c>
      <c r="K13" t="n">
        <v>0</v>
      </c>
      <c r="L13" t="n">
        <v>21.34</v>
      </c>
      <c r="M13" t="n">
        <v>1911.45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GE</t>
        </is>
      </c>
      <c r="E14" t="inlineStr">
        <is>
          <t>GE Aerospace / General Electric</t>
        </is>
      </c>
      <c r="F14" t="inlineStr">
        <is>
          <t>Listed Foreign Equity Share (Company)</t>
        </is>
      </c>
      <c r="G14" t="n">
        <v>9</v>
      </c>
      <c r="H14" t="inlineStr">
        <is>
          <t>2024-09-10</t>
        </is>
      </c>
      <c r="I14" t="n">
        <v>1481.5</v>
      </c>
      <c r="J14" t="n">
        <v>2438.37</v>
      </c>
      <c r="K14" t="n">
        <v>0</v>
      </c>
      <c r="L14" t="n">
        <v>9</v>
      </c>
      <c r="M14" t="n">
        <v>2438.37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HON</t>
        </is>
      </c>
      <c r="E15" t="inlineStr">
        <is>
          <t>Honeywell International Inc</t>
        </is>
      </c>
      <c r="F15" t="inlineStr">
        <is>
          <t>Listed Foreign Equity Share (Company)</t>
        </is>
      </c>
      <c r="G15" t="n">
        <v>12</v>
      </c>
      <c r="H15" t="inlineStr">
        <is>
          <t>2024-09-10</t>
        </is>
      </c>
      <c r="I15" t="n">
        <v>2389</v>
      </c>
      <c r="J15" t="n">
        <v>2668.42</v>
      </c>
      <c r="K15" t="n">
        <v>0</v>
      </c>
      <c r="L15" t="n">
        <v>27.12</v>
      </c>
      <c r="M15" t="n">
        <v>2668.42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LLY</t>
        </is>
      </c>
      <c r="E16" t="inlineStr">
        <is>
          <t>Eli Lilly &amp; Company</t>
        </is>
      </c>
      <c r="F16" t="inlineStr">
        <is>
          <t>Listed Foreign Equity Share (Company)</t>
        </is>
      </c>
      <c r="G16" t="n">
        <v>3</v>
      </c>
      <c r="H16" t="inlineStr">
        <is>
          <t>2024-11-04</t>
        </is>
      </c>
      <c r="I16" t="n">
        <v>2419</v>
      </c>
      <c r="J16" t="n">
        <v>2424.03</v>
      </c>
      <c r="K16" t="n">
        <v>0</v>
      </c>
      <c r="L16" t="n">
        <v>9</v>
      </c>
      <c r="M16" t="n">
        <v>2424.03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LRCX</t>
        </is>
      </c>
      <c r="E17" t="inlineStr">
        <is>
          <t>Lam Research Corp</t>
        </is>
      </c>
      <c r="F17" t="inlineStr">
        <is>
          <t>Listed Foreign Equity Share (Company)</t>
        </is>
      </c>
      <c r="G17" t="n">
        <v>270</v>
      </c>
      <c r="H17" t="inlineStr">
        <is>
          <t>2024-09-10</t>
        </is>
      </c>
      <c r="I17" t="n">
        <v>2173</v>
      </c>
      <c r="J17" t="n">
        <v>2173</v>
      </c>
      <c r="K17" t="n">
        <v>0</v>
      </c>
      <c r="L17" t="n">
        <v>0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LRCX</t>
        </is>
      </c>
      <c r="E18" t="inlineStr">
        <is>
          <t>Lam Research Corp</t>
        </is>
      </c>
      <c r="F18" t="inlineStr">
        <is>
          <t>Listed Foreign Equity Share (Company)</t>
        </is>
      </c>
      <c r="G18" t="n">
        <v>30</v>
      </c>
      <c r="H18" t="inlineStr">
        <is>
          <t>2024-09-10</t>
        </is>
      </c>
      <c r="I18" t="n">
        <v>2173</v>
      </c>
      <c r="J18" t="n">
        <v>2903.1</v>
      </c>
      <c r="K18" t="n">
        <v>0</v>
      </c>
      <c r="L18" t="n">
        <v>20.7</v>
      </c>
      <c r="M18" t="n">
        <v>2903.1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MSFT</t>
        </is>
      </c>
      <c r="E19" t="inlineStr">
        <is>
          <t>Microsoft Corp</t>
        </is>
      </c>
      <c r="F19" t="inlineStr">
        <is>
          <t>Listed Foreign Equity Share (Company)</t>
        </is>
      </c>
      <c r="G19" t="n">
        <v>6</v>
      </c>
      <c r="H19" t="inlineStr">
        <is>
          <t>2024-10-31</t>
        </is>
      </c>
      <c r="I19" t="n">
        <v>2462.26</v>
      </c>
      <c r="J19" t="n">
        <v>3076.33</v>
      </c>
      <c r="K19" t="n">
        <v>0</v>
      </c>
      <c r="L19" t="n">
        <v>9.960000000000001</v>
      </c>
      <c r="M19" t="n">
        <v>3076.33</v>
      </c>
    </row>
    <row r="20">
      <c r="A20" t="n">
        <v>19</v>
      </c>
      <c r="B20" t="inlineStr">
        <is>
          <t>United Kingdom</t>
        </is>
      </c>
      <c r="C20" t="n">
        <v>234</v>
      </c>
      <c r="D20" t="inlineStr">
        <is>
          <t>R6C0d</t>
        </is>
      </c>
      <c r="E20" t="inlineStr">
        <is>
          <t>Shell plc</t>
        </is>
      </c>
      <c r="F20" t="inlineStr">
        <is>
          <t>Listed Foreign Equity Share (Company)</t>
        </is>
      </c>
      <c r="G20" t="n">
        <v>33</v>
      </c>
      <c r="H20" t="inlineStr">
        <is>
          <t>2024-09-26</t>
        </is>
      </c>
      <c r="I20" t="n">
        <v>1131.49</v>
      </c>
      <c r="J20" t="n">
        <v>1188.63</v>
      </c>
      <c r="K20" t="n">
        <v>0</v>
      </c>
      <c r="L20" t="n">
        <v>0</v>
      </c>
      <c r="M20" t="n">
        <v>1188.63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SLV</t>
        </is>
      </c>
      <c r="E21" t="inlineStr">
        <is>
          <t>iShares Silver Trust</t>
        </is>
      </c>
      <c r="F21" t="inlineStr">
        <is>
          <t>Exchange Traded Fund (Investment Trust)</t>
        </is>
      </c>
      <c r="G21" t="n">
        <v>33</v>
      </c>
      <c r="H21" t="inlineStr">
        <is>
          <t>2024-12-18</t>
        </is>
      </c>
      <c r="I21" t="n">
        <v>909.75</v>
      </c>
      <c r="J21" t="n">
        <v>1151.2</v>
      </c>
      <c r="K21" t="n">
        <v>0</v>
      </c>
      <c r="L21" t="n">
        <v>0</v>
      </c>
      <c r="M21" t="n">
        <v>1151.2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TGT</t>
        </is>
      </c>
      <c r="E22" t="inlineStr">
        <is>
          <t>Target Corp</t>
        </is>
      </c>
      <c r="F22" t="inlineStr">
        <is>
          <t>Listed Foreign Equity Share (Company)</t>
        </is>
      </c>
      <c r="G22" t="n">
        <v>15</v>
      </c>
      <c r="H22" t="inlineStr">
        <is>
          <t>2024-09-10</t>
        </is>
      </c>
      <c r="I22" t="n">
        <v>2236</v>
      </c>
      <c r="J22" t="n">
        <v>2236</v>
      </c>
      <c r="K22" t="n">
        <v>0</v>
      </c>
      <c r="L22" t="n">
        <v>33.6</v>
      </c>
      <c r="M22" t="n">
        <v>1579.35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TSLA</t>
        </is>
      </c>
      <c r="E23" t="inlineStr">
        <is>
          <t>Tesla Inc</t>
        </is>
      </c>
      <c r="F23" t="inlineStr">
        <is>
          <t>Listed Foreign Equity Share (Company)</t>
        </is>
      </c>
      <c r="G23" t="n">
        <v>3</v>
      </c>
      <c r="H23" t="inlineStr">
        <is>
          <t>2024-12-18</t>
        </is>
      </c>
      <c r="I23" t="n">
        <v>1421.94</v>
      </c>
      <c r="J23" t="n">
        <v>1421.94</v>
      </c>
      <c r="K23" t="n">
        <v>0</v>
      </c>
      <c r="L23" t="n">
        <v>0</v>
      </c>
      <c r="M23" t="n">
        <v>945.09</v>
      </c>
    </row>
    <row r="24">
      <c r="A24" t="n">
        <v>23</v>
      </c>
      <c r="B24" t="inlineStr">
        <is>
          <t>Taiwan</t>
        </is>
      </c>
      <c r="C24" t="n">
        <v>212</v>
      </c>
      <c r="D24" t="inlineStr">
        <is>
          <t>TSM</t>
        </is>
      </c>
      <c r="E24" t="inlineStr">
        <is>
          <t>Taiwan Semiconductor Manufacturing Co - Sponsored ADR</t>
        </is>
      </c>
      <c r="F24" t="inlineStr">
        <is>
          <t>American Depository Receipt of Listed Foreign Company</t>
        </is>
      </c>
      <c r="G24" t="n">
        <v>9</v>
      </c>
      <c r="H24" t="inlineStr">
        <is>
          <t>2024-09-10</t>
        </is>
      </c>
      <c r="I24" t="n">
        <v>1428.4</v>
      </c>
      <c r="J24" t="n">
        <v>2196.81</v>
      </c>
      <c r="K24" t="n">
        <v>0</v>
      </c>
      <c r="L24" t="n">
        <v>18.59</v>
      </c>
      <c r="M24" t="n">
        <v>2196.81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XOM</t>
        </is>
      </c>
      <c r="E25" t="inlineStr">
        <is>
          <t>Exxon Mobil Corp</t>
        </is>
      </c>
      <c r="F25" t="inlineStr">
        <is>
          <t>Listed Foreign Equity Share (Company)</t>
        </is>
      </c>
      <c r="G25" t="n">
        <v>12</v>
      </c>
      <c r="H25" t="inlineStr">
        <is>
          <t>2024-09-10</t>
        </is>
      </c>
      <c r="I25" t="n">
        <v>1336.6</v>
      </c>
      <c r="J25" t="n">
        <v>1427.16</v>
      </c>
      <c r="K25" t="n">
        <v>1427.16</v>
      </c>
      <c r="L25" t="n">
        <v>48</v>
      </c>
      <c r="M25" t="n">
        <v>0</v>
      </c>
    </row>
    <row r="26">
      <c r="H26" t="inlineStr">
        <is>
          <t>TOTAL (USD)</t>
        </is>
      </c>
      <c r="I26" t="n">
        <v>103242.79</v>
      </c>
      <c r="J26" t="n">
        <v>281571.63</v>
      </c>
      <c r="K26" t="n">
        <v>244242.47</v>
      </c>
      <c r="L26" t="n">
        <v>4966.66</v>
      </c>
      <c r="M26" t="n">
        <v>33657.76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7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U15181144</t>
        </is>
      </c>
      <c r="G3" t="inlineStr">
        <is>
          <t>Owner - Sole beneficial owner</t>
        </is>
      </c>
      <c r="H3" t="inlineStr">
        <is>
          <t>2024-08-20 (first inbound FOP transfer — ACN)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244242.48</v>
      </c>
      <c r="B6" t="n">
        <v>21852375</v>
      </c>
      <c r="C6" t="n">
        <v>244242.48</v>
      </c>
      <c r="D6" t="n">
        <v>21852375</v>
      </c>
      <c r="E6" t="n">
        <v>220.01</v>
      </c>
      <c r="F6" t="n">
        <v>19393</v>
      </c>
      <c r="G6" t="n">
        <v>5211.68</v>
      </c>
      <c r="H6" t="n">
        <v>451153</v>
      </c>
    </row>
    <row r="7"/>
    <row r="8">
      <c r="A8" t="inlineStr">
        <is>
          <t>NOTES:</t>
        </is>
      </c>
    </row>
    <row r="9">
      <c r="A9" t="inlineStr">
        <is>
          <t>Account: IBKR U15181144 — Aditya Malik (Individual, USD base, Cash).</t>
        </is>
      </c>
    </row>
    <row r="10">
      <c r="A10" t="inlineStr">
        <is>
          <t>Starting NAV 01-Jan-2025: USD 0.00; Ending NAV 31-Dec-2025: USD 244,242.48.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-11,000.00 (2025-09-16: -11000.0).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45874</v>
      </c>
      <c r="B4" t="inlineStr">
        <is>
          <t>USD Credit Interest for Jul-2025</t>
        </is>
      </c>
      <c r="C4" t="inlineStr">
        <is>
          <t>USD</t>
        </is>
      </c>
      <c r="D4" t="n">
        <v>9.68</v>
      </c>
      <c r="E4" t="n">
        <v>9.68</v>
      </c>
      <c r="F4" t="n">
        <v>87.15000000000001</v>
      </c>
      <c r="G4" t="n">
        <v>844</v>
      </c>
    </row>
    <row r="5">
      <c r="A5" s="2" t="n">
        <v>45904</v>
      </c>
      <c r="B5" t="inlineStr">
        <is>
          <t>USD Credit Interest for Aug-2025</t>
        </is>
      </c>
      <c r="C5" t="inlineStr">
        <is>
          <t>USD</t>
        </is>
      </c>
      <c r="D5" t="n">
        <v>76.55</v>
      </c>
      <c r="E5" t="n">
        <v>76.55</v>
      </c>
      <c r="F5" t="n">
        <v>87.7</v>
      </c>
      <c r="G5" t="n">
        <v>6713</v>
      </c>
    </row>
    <row r="6">
      <c r="A6" s="2" t="n">
        <v>45933</v>
      </c>
      <c r="B6" t="inlineStr">
        <is>
          <t>USD Credit Interest for Sep-2025</t>
        </is>
      </c>
      <c r="C6" t="inlineStr">
        <is>
          <t>USD</t>
        </is>
      </c>
      <c r="D6" t="n">
        <v>56.94</v>
      </c>
      <c r="E6" t="n">
        <v>56.94</v>
      </c>
      <c r="F6" t="n">
        <v>88.34999999999999</v>
      </c>
      <c r="G6" t="n">
        <v>5031</v>
      </c>
    </row>
    <row r="7">
      <c r="A7" s="2" t="n">
        <v>45966</v>
      </c>
      <c r="B7" t="inlineStr">
        <is>
          <t>USD Credit Interest for Oct-2025</t>
        </is>
      </c>
      <c r="C7" t="inlineStr">
        <is>
          <t>USD</t>
        </is>
      </c>
      <c r="D7" t="n">
        <v>39.35</v>
      </c>
      <c r="E7" t="n">
        <v>39.35</v>
      </c>
      <c r="F7" t="n">
        <v>88.2</v>
      </c>
      <c r="G7" t="n">
        <v>3471</v>
      </c>
    </row>
    <row r="8">
      <c r="A8" s="2" t="n">
        <v>45994</v>
      </c>
      <c r="B8" t="inlineStr">
        <is>
          <t>USD Credit Interest for Nov-2025</t>
        </is>
      </c>
      <c r="C8" t="inlineStr">
        <is>
          <t>USD</t>
        </is>
      </c>
      <c r="D8" t="n">
        <v>37.49</v>
      </c>
      <c r="E8" t="n">
        <v>37.49</v>
      </c>
      <c r="F8" t="n">
        <v>88.95</v>
      </c>
      <c r="G8" t="n">
        <v>3335</v>
      </c>
    </row>
    <row r="9">
      <c r="B9" t="inlineStr">
        <is>
          <t>TOTAL INTEREST</t>
        </is>
      </c>
      <c r="E9" t="n">
        <v>220.01</v>
      </c>
      <c r="G9" t="n">
        <v>19393</v>
      </c>
    </row>
    <row r="10"/>
    <row r="11">
      <c r="A11" t="inlineStr">
        <is>
          <t>— DIVIDENDS —</t>
        </is>
      </c>
    </row>
    <row r="12">
      <c r="A12" s="2" t="n">
        <v>45665</v>
      </c>
      <c r="B12" t="inlineStr">
        <is>
          <t>LRCX(US5128073062) Cash Dividend USD 0.23 per Share (Ordinary Dividend)</t>
        </is>
      </c>
      <c r="C12" t="inlineStr">
        <is>
          <t>USD</t>
        </is>
      </c>
      <c r="D12" t="n">
        <v>6.9</v>
      </c>
      <c r="E12" t="n">
        <v>6.9</v>
      </c>
      <c r="F12" t="n">
        <v>85.2</v>
      </c>
      <c r="G12" t="n">
        <v>588</v>
      </c>
    </row>
    <row r="13">
      <c r="A13" s="2" t="n">
        <v>45666</v>
      </c>
      <c r="B13" t="inlineStr">
        <is>
          <t>TSM(US8740391003) Cash Dividend USD 0.608106 per Share (Ordinary Div - NRA Withholding Exempt)</t>
        </is>
      </c>
      <c r="C13" t="inlineStr">
        <is>
          <t>USD</t>
        </is>
      </c>
      <c r="D13" t="n">
        <v>5.47</v>
      </c>
      <c r="E13" t="n">
        <v>5.47</v>
      </c>
      <c r="F13" t="n">
        <v>85.2</v>
      </c>
      <c r="G13" t="n">
        <v>466</v>
      </c>
    </row>
    <row r="14">
      <c r="A14" s="2" t="n">
        <v>45684</v>
      </c>
      <c r="B14" t="inlineStr">
        <is>
          <t>GE(US3696043013) Cash Dividend USD 0.28 per Share (Ordinary Dividend)</t>
        </is>
      </c>
      <c r="C14" t="inlineStr">
        <is>
          <t>USD</t>
        </is>
      </c>
      <c r="D14" t="n">
        <v>2.52</v>
      </c>
      <c r="E14" t="n">
        <v>2.52</v>
      </c>
      <c r="F14" t="n">
        <v>85.2</v>
      </c>
      <c r="G14" t="n">
        <v>215</v>
      </c>
    </row>
    <row r="15">
      <c r="A15" s="2" t="n">
        <v>45698</v>
      </c>
      <c r="B15" t="inlineStr">
        <is>
          <t>AXP(US0258161092) Cash Dividend USD 0.70 per Share (Ordinary Dividend)</t>
        </is>
      </c>
      <c r="C15" t="inlineStr">
        <is>
          <t>USD</t>
        </is>
      </c>
      <c r="D15" t="n">
        <v>6.3</v>
      </c>
      <c r="E15" t="n">
        <v>6.3</v>
      </c>
      <c r="F15" t="n">
        <v>86.2</v>
      </c>
      <c r="G15" t="n">
        <v>543</v>
      </c>
    </row>
    <row r="16">
      <c r="A16" s="2" t="n">
        <v>45702</v>
      </c>
      <c r="B16" t="inlineStr">
        <is>
          <t>ACN(IE00B4BNMY34) Cash Dividend USD 1.48 per Share (Ordinary Dividend)</t>
        </is>
      </c>
      <c r="C16" t="inlineStr">
        <is>
          <t>USD</t>
        </is>
      </c>
      <c r="D16" t="n">
        <v>1102.6</v>
      </c>
      <c r="E16" t="n">
        <v>1102.6</v>
      </c>
      <c r="F16" t="n">
        <v>86.2</v>
      </c>
      <c r="G16" t="n">
        <v>95044</v>
      </c>
    </row>
    <row r="17">
      <c r="A17" s="2" t="n">
        <v>45707</v>
      </c>
      <c r="B17" t="inlineStr">
        <is>
          <t>ASML(USN070592100) Cash Dividend USD 1.570464 per Share (Ordinary Dividend)</t>
        </is>
      </c>
      <c r="C17" t="inlineStr">
        <is>
          <t>USD</t>
        </is>
      </c>
      <c r="D17" t="n">
        <v>9.42</v>
      </c>
      <c r="E17" t="n">
        <v>9.42</v>
      </c>
      <c r="F17" t="n">
        <v>86.2</v>
      </c>
      <c r="G17" t="n">
        <v>812</v>
      </c>
    </row>
    <row r="18">
      <c r="A18" s="2" t="n">
        <v>45719</v>
      </c>
      <c r="B18" t="inlineStr">
        <is>
          <t>TGT(US87612E1064) Cash Dividend USD 1.12 per Share (Ordinary Dividend)</t>
        </is>
      </c>
      <c r="C18" t="inlineStr">
        <is>
          <t>USD</t>
        </is>
      </c>
      <c r="D18" t="n">
        <v>16.8</v>
      </c>
      <c r="E18" t="n">
        <v>16.8</v>
      </c>
      <c r="F18" t="n">
        <v>86.95</v>
      </c>
      <c r="G18" t="n">
        <v>1461</v>
      </c>
    </row>
    <row r="19">
      <c r="A19" s="2" t="n">
        <v>45726</v>
      </c>
      <c r="B19" t="inlineStr">
        <is>
          <t>LLY(US5324571083) Cash Dividend USD 1.50 per Share (Ordinary Dividend)</t>
        </is>
      </c>
      <c r="C19" t="inlineStr">
        <is>
          <t>USD</t>
        </is>
      </c>
      <c r="D19" t="n">
        <v>4.5</v>
      </c>
      <c r="E19" t="n">
        <v>4.5</v>
      </c>
      <c r="F19" t="n">
        <v>86.95</v>
      </c>
      <c r="G19" t="n">
        <v>391</v>
      </c>
    </row>
    <row r="20">
      <c r="A20" s="2" t="n">
        <v>45726</v>
      </c>
      <c r="B20" t="inlineStr">
        <is>
          <t>XOM(US30231G1022) Cash Dividend USD 0.99 per Share (Ordinary Dividend)</t>
        </is>
      </c>
      <c r="C20" t="inlineStr">
        <is>
          <t>USD</t>
        </is>
      </c>
      <c r="D20" t="n">
        <v>11.88</v>
      </c>
      <c r="E20" t="n">
        <v>11.88</v>
      </c>
      <c r="F20" t="n">
        <v>86.95</v>
      </c>
      <c r="G20" t="n">
        <v>1033</v>
      </c>
    </row>
    <row r="21">
      <c r="A21" s="2" t="n">
        <v>45729</v>
      </c>
      <c r="B21" t="inlineStr">
        <is>
          <t>MSFT(US5949181045) Cash Dividend USD 0.83 per Share (Ordinary Dividend)</t>
        </is>
      </c>
      <c r="C21" t="inlineStr">
        <is>
          <t>USD</t>
        </is>
      </c>
      <c r="D21" t="n">
        <v>4.98</v>
      </c>
      <c r="E21" t="n">
        <v>4.98</v>
      </c>
      <c r="F21" t="n">
        <v>86.95</v>
      </c>
      <c r="G21" t="n">
        <v>433</v>
      </c>
    </row>
    <row r="22">
      <c r="A22" s="2" t="n">
        <v>45730</v>
      </c>
      <c r="B22" t="inlineStr">
        <is>
          <t>HON(US4385161066) Cash Dividend USD 1.13 per Share (Ordinary Dividend)</t>
        </is>
      </c>
      <c r="C22" t="inlineStr">
        <is>
          <t>USD</t>
        </is>
      </c>
      <c r="D22" t="n">
        <v>13.56</v>
      </c>
      <c r="E22" t="n">
        <v>13.56</v>
      </c>
      <c r="F22" t="n">
        <v>86.95</v>
      </c>
      <c r="G22" t="n">
        <v>1179</v>
      </c>
    </row>
    <row r="23">
      <c r="A23" s="2" t="n">
        <v>45740</v>
      </c>
      <c r="B23" t="inlineStr">
        <is>
          <t>SHELL.DRS(NL0015002E16) Expire Dividend Right (Ordinary Dividend)</t>
        </is>
      </c>
      <c r="C23" t="inlineStr">
        <is>
          <t>EUR</t>
        </is>
      </c>
      <c r="D23" t="n">
        <v>10.94</v>
      </c>
      <c r="E23" t="n">
        <v>12.8501</v>
      </c>
      <c r="F23" t="n">
        <v>86.95</v>
      </c>
      <c r="G23" t="n">
        <v>1117</v>
      </c>
    </row>
    <row r="24">
      <c r="A24" s="2" t="n">
        <v>45740</v>
      </c>
      <c r="B24" t="inlineStr">
        <is>
          <t>SHELL.DRS(NL0015002E16) Expire Dividend Right - REVERSAL (Ordinary Dividend)</t>
        </is>
      </c>
      <c r="C24" t="inlineStr">
        <is>
          <t>EUR</t>
        </is>
      </c>
      <c r="D24" t="n">
        <v>-10.94</v>
      </c>
      <c r="E24" t="n">
        <v>-12.8501</v>
      </c>
      <c r="F24" t="n">
        <v>86.95</v>
      </c>
      <c r="G24" t="n">
        <v>-1117</v>
      </c>
    </row>
    <row r="25">
      <c r="A25" s="2" t="n">
        <v>45740</v>
      </c>
      <c r="B25" t="inlineStr">
        <is>
          <t>SHELL.DRS(NL0015002E16) Expire Dividend Right (Ordinary Dividend)</t>
        </is>
      </c>
      <c r="C25" t="inlineStr">
        <is>
          <t>EUR</t>
        </is>
      </c>
      <c r="D25" t="n">
        <v>10.94</v>
      </c>
      <c r="E25" t="n">
        <v>12.8501</v>
      </c>
      <c r="F25" t="n">
        <v>86.95</v>
      </c>
      <c r="G25" t="n">
        <v>1117</v>
      </c>
    </row>
    <row r="26">
      <c r="A26" s="2" t="n">
        <v>45744</v>
      </c>
      <c r="B26" t="inlineStr">
        <is>
          <t>BAC(US0605051046) Cash Dividend USD 0.26 per Share (Ordinary Dividend)</t>
        </is>
      </c>
      <c r="C26" t="inlineStr">
        <is>
          <t>USD</t>
        </is>
      </c>
      <c r="D26" t="n">
        <v>15.6</v>
      </c>
      <c r="E26" t="n">
        <v>15.6</v>
      </c>
      <c r="F26" t="n">
        <v>86.95</v>
      </c>
      <c r="G26" t="n">
        <v>1356</v>
      </c>
    </row>
    <row r="27">
      <c r="A27" s="2" t="n">
        <v>45747</v>
      </c>
      <c r="B27" t="inlineStr">
        <is>
          <t>AVGO(US11135F1012) Cash Dividend USD 0.59 per Share (Ordinary Dividend)</t>
        </is>
      </c>
      <c r="C27" t="inlineStr">
        <is>
          <t>USD</t>
        </is>
      </c>
      <c r="D27" t="n">
        <v>5.31</v>
      </c>
      <c r="E27" t="n">
        <v>5.31</v>
      </c>
      <c r="F27" t="n">
        <v>86.95</v>
      </c>
      <c r="G27" t="n">
        <v>462</v>
      </c>
    </row>
    <row r="28">
      <c r="A28" s="2" t="n">
        <v>45756</v>
      </c>
      <c r="B28" t="inlineStr">
        <is>
          <t>LRCX(US5128073062) Cash Dividend USD 0.23 per Share (Ordinary Dividend)</t>
        </is>
      </c>
      <c r="C28" t="inlineStr">
        <is>
          <t>USD</t>
        </is>
      </c>
      <c r="D28" t="n">
        <v>6.9</v>
      </c>
      <c r="E28" t="n">
        <v>6.9</v>
      </c>
      <c r="F28" t="n">
        <v>85.09999999999999</v>
      </c>
      <c r="G28" t="n">
        <v>587</v>
      </c>
    </row>
    <row r="29">
      <c r="A29" s="2" t="n">
        <v>45757</v>
      </c>
      <c r="B29" t="inlineStr">
        <is>
          <t>TSM(US8740391003) Cash Dividend USD 0.677693 per Share (Ordinary Div - NRA Withholding Exempt)</t>
        </is>
      </c>
      <c r="C29" t="inlineStr">
        <is>
          <t>USD</t>
        </is>
      </c>
      <c r="D29" t="n">
        <v>6.1</v>
      </c>
      <c r="E29" t="n">
        <v>6.1</v>
      </c>
      <c r="F29" t="n">
        <v>85.09999999999999</v>
      </c>
      <c r="G29" t="n">
        <v>519</v>
      </c>
    </row>
    <row r="30">
      <c r="A30" s="2" t="n">
        <v>45772</v>
      </c>
      <c r="B30" t="inlineStr">
        <is>
          <t>GE(US3696043013) Cash Dividend USD 0.36 per Share (Ordinary Dividend)</t>
        </is>
      </c>
      <c r="C30" t="inlineStr">
        <is>
          <t>USD</t>
        </is>
      </c>
      <c r="D30" t="n">
        <v>3.24</v>
      </c>
      <c r="E30" t="n">
        <v>3.24</v>
      </c>
      <c r="F30" t="n">
        <v>85.09999999999999</v>
      </c>
      <c r="G30" t="n">
        <v>276</v>
      </c>
    </row>
    <row r="31">
      <c r="A31" s="2" t="n">
        <v>45783</v>
      </c>
      <c r="B31" t="inlineStr">
        <is>
          <t>ASML(USN070592100) Cash Dividend USD 2.090608 per Share (Ordinary Dividend)</t>
        </is>
      </c>
      <c r="C31" t="inlineStr">
        <is>
          <t>USD</t>
        </is>
      </c>
      <c r="D31" t="n">
        <v>12.54</v>
      </c>
      <c r="E31" t="n">
        <v>12.54</v>
      </c>
      <c r="F31" t="n">
        <v>84.25</v>
      </c>
      <c r="G31" t="n">
        <v>1056</v>
      </c>
    </row>
    <row r="32">
      <c r="A32" s="2" t="n">
        <v>45786</v>
      </c>
      <c r="B32" t="inlineStr">
        <is>
          <t>AXP(US0258161092) Cash Dividend USD 0.82 per Share (Ordinary Dividend)</t>
        </is>
      </c>
      <c r="C32" t="inlineStr">
        <is>
          <t>USD</t>
        </is>
      </c>
      <c r="D32" t="n">
        <v>7.38</v>
      </c>
      <c r="E32" t="n">
        <v>7.38</v>
      </c>
      <c r="F32" t="n">
        <v>84.25</v>
      </c>
      <c r="G32" t="n">
        <v>622</v>
      </c>
    </row>
    <row r="33">
      <c r="A33" s="2" t="n">
        <v>45792</v>
      </c>
      <c r="B33" t="inlineStr">
        <is>
          <t>ACN(IE00B4BNMY34) Cash Dividend USD 1.48 per Share (Ordinary Dividend)</t>
        </is>
      </c>
      <c r="C33" t="inlineStr">
        <is>
          <t>USD</t>
        </is>
      </c>
      <c r="D33" t="n">
        <v>1102.6</v>
      </c>
      <c r="E33" t="n">
        <v>1102.6</v>
      </c>
      <c r="F33" t="n">
        <v>84.25</v>
      </c>
      <c r="G33" t="n">
        <v>92894</v>
      </c>
    </row>
    <row r="34">
      <c r="A34" s="2" t="n">
        <v>45810</v>
      </c>
      <c r="B34" t="inlineStr">
        <is>
          <t>TGT(US87612E1064) Cash Dividend USD 1.12 per Share (Ordinary Dividend)</t>
        </is>
      </c>
      <c r="C34" t="inlineStr">
        <is>
          <t>USD</t>
        </is>
      </c>
      <c r="D34" t="n">
        <v>16.8</v>
      </c>
      <c r="E34" t="n">
        <v>16.8</v>
      </c>
      <c r="F34" t="n">
        <v>85.09999999999999</v>
      </c>
      <c r="G34" t="n">
        <v>1430</v>
      </c>
    </row>
    <row r="35">
      <c r="A35" s="2" t="n">
        <v>45814</v>
      </c>
      <c r="B35" t="inlineStr">
        <is>
          <t>HON(US4385161066) Cash Dividend USD 1.13 per Share (Ordinary Dividend)</t>
        </is>
      </c>
      <c r="C35" t="inlineStr">
        <is>
          <t>USD</t>
        </is>
      </c>
      <c r="D35" t="n">
        <v>13.56</v>
      </c>
      <c r="E35" t="n">
        <v>13.56</v>
      </c>
      <c r="F35" t="n">
        <v>85.09999999999999</v>
      </c>
      <c r="G35" t="n">
        <v>1154</v>
      </c>
    </row>
    <row r="36">
      <c r="A36" s="2" t="n">
        <v>45818</v>
      </c>
      <c r="B36" t="inlineStr">
        <is>
          <t>LLY(US5324571083) Cash Dividend USD 1.50 per Share (Ordinary Dividend)</t>
        </is>
      </c>
      <c r="C36" t="inlineStr">
        <is>
          <t>USD</t>
        </is>
      </c>
      <c r="D36" t="n">
        <v>4.5</v>
      </c>
      <c r="E36" t="n">
        <v>4.5</v>
      </c>
      <c r="F36" t="n">
        <v>85.09999999999999</v>
      </c>
      <c r="G36" t="n">
        <v>383</v>
      </c>
    </row>
    <row r="37">
      <c r="A37" s="2" t="n">
        <v>45818</v>
      </c>
      <c r="B37" t="inlineStr">
        <is>
          <t>XOM(US30231G1022) Cash Dividend USD 0.99 per Share (Ordinary Dividend)</t>
        </is>
      </c>
      <c r="C37" t="inlineStr">
        <is>
          <t>USD</t>
        </is>
      </c>
      <c r="D37" t="n">
        <v>11.88</v>
      </c>
      <c r="E37" t="n">
        <v>11.88</v>
      </c>
      <c r="F37" t="n">
        <v>85.09999999999999</v>
      </c>
      <c r="G37" t="n">
        <v>1011</v>
      </c>
    </row>
    <row r="38">
      <c r="A38" s="2" t="n">
        <v>45820</v>
      </c>
      <c r="B38" t="inlineStr">
        <is>
          <t>MSFT(US5949181045) Cash Dividend USD 0.83 per Share (Ordinary Dividend)</t>
        </is>
      </c>
      <c r="C38" t="inlineStr">
        <is>
          <t>USD</t>
        </is>
      </c>
      <c r="D38" t="n">
        <v>4.98</v>
      </c>
      <c r="E38" t="n">
        <v>4.98</v>
      </c>
      <c r="F38" t="n">
        <v>85.09999999999999</v>
      </c>
      <c r="G38" t="n">
        <v>424</v>
      </c>
    </row>
    <row r="39">
      <c r="A39" s="2" t="n">
        <v>45828</v>
      </c>
      <c r="B39" t="inlineStr">
        <is>
          <t>EMXC(US46434G7640) Cash Dividend USD 0.711404 per Share (Ordinary Dividend)</t>
        </is>
      </c>
      <c r="C39" t="inlineStr">
        <is>
          <t>USD</t>
        </is>
      </c>
      <c r="D39" t="n">
        <v>21.34</v>
      </c>
      <c r="E39" t="n">
        <v>21.34</v>
      </c>
      <c r="F39" t="n">
        <v>85.09999999999999</v>
      </c>
      <c r="G39" t="n">
        <v>1816</v>
      </c>
    </row>
    <row r="40">
      <c r="A40" s="2" t="n">
        <v>45831</v>
      </c>
      <c r="B40" t="inlineStr">
        <is>
          <t>SHELL.DVD(NL0015002HW4) Expire Dividend Right (Ordinary Dividend)</t>
        </is>
      </c>
      <c r="C40" t="inlineStr">
        <is>
          <t>EUR</t>
        </is>
      </c>
      <c r="D40" t="n">
        <v>10.35</v>
      </c>
      <c r="E40" t="n">
        <v>12.1571</v>
      </c>
      <c r="F40" t="n">
        <v>85.09999999999999</v>
      </c>
      <c r="G40" t="n">
        <v>1035</v>
      </c>
    </row>
    <row r="41">
      <c r="A41" s="2" t="n">
        <v>45835</v>
      </c>
      <c r="B41" t="inlineStr">
        <is>
          <t>BAC(US0605051046) Cash Dividend USD 0.26 per Share (Ordinary Dividend)</t>
        </is>
      </c>
      <c r="C41" t="inlineStr">
        <is>
          <t>USD</t>
        </is>
      </c>
      <c r="D41" t="n">
        <v>15.6</v>
      </c>
      <c r="E41" t="n">
        <v>15.6</v>
      </c>
      <c r="F41" t="n">
        <v>85.09999999999999</v>
      </c>
      <c r="G41" t="n">
        <v>1328</v>
      </c>
    </row>
    <row r="42">
      <c r="A42" s="2" t="n">
        <v>45835</v>
      </c>
      <c r="B42" t="inlineStr">
        <is>
          <t>DXJ(US97717W8516) Cash Dividend USD 1.34 per Share (Ordinary Dividend)</t>
        </is>
      </c>
      <c r="C42" t="inlineStr">
        <is>
          <t>USD</t>
        </is>
      </c>
      <c r="D42" t="n">
        <v>20.1</v>
      </c>
      <c r="E42" t="n">
        <v>20.1</v>
      </c>
      <c r="F42" t="n">
        <v>85.09999999999999</v>
      </c>
      <c r="G42" t="n">
        <v>1711</v>
      </c>
    </row>
    <row r="43">
      <c r="A43" s="2" t="n">
        <v>45838</v>
      </c>
      <c r="B43" t="inlineStr">
        <is>
          <t>AVGO(US11135F1012) Cash Dividend USD 0.59 per Share (Ordinary Dividend)</t>
        </is>
      </c>
      <c r="C43" t="inlineStr">
        <is>
          <t>USD</t>
        </is>
      </c>
      <c r="D43" t="n">
        <v>5.31</v>
      </c>
      <c r="E43" t="n">
        <v>5.31</v>
      </c>
      <c r="F43" t="n">
        <v>85.09999999999999</v>
      </c>
      <c r="G43" t="n">
        <v>452</v>
      </c>
    </row>
    <row r="44">
      <c r="A44" s="2" t="n">
        <v>45847</v>
      </c>
      <c r="B44" t="inlineStr">
        <is>
          <t>LRCX(US5128073062) Cash Dividend USD 0.23 per Share (Ordinary Dividend)</t>
        </is>
      </c>
      <c r="C44" t="inlineStr">
        <is>
          <t>USD</t>
        </is>
      </c>
      <c r="D44" t="n">
        <v>6.9</v>
      </c>
      <c r="E44" t="n">
        <v>6.9</v>
      </c>
      <c r="F44" t="n">
        <v>85.09999999999999</v>
      </c>
      <c r="G44" t="n">
        <v>587</v>
      </c>
    </row>
    <row r="45">
      <c r="A45" s="2" t="n">
        <v>45848</v>
      </c>
      <c r="B45" t="inlineStr">
        <is>
          <t>TSM(US8740391003) Cash Dividend USD 0.780305 per Share (Ordinary Div - NRA Withholding Exempt)</t>
        </is>
      </c>
      <c r="C45" t="inlineStr">
        <is>
          <t>USD</t>
        </is>
      </c>
      <c r="D45" t="n">
        <v>7.02</v>
      </c>
      <c r="E45" t="n">
        <v>7.02</v>
      </c>
      <c r="F45" t="n">
        <v>85.09999999999999</v>
      </c>
      <c r="G45" t="n">
        <v>597</v>
      </c>
    </row>
    <row r="46">
      <c r="A46" s="2" t="n">
        <v>45863</v>
      </c>
      <c r="B46" t="inlineStr">
        <is>
          <t>GE(US3696043013) Cash Dividend USD 0.36 per Share (Ordinary Dividend)</t>
        </is>
      </c>
      <c r="C46" t="inlineStr">
        <is>
          <t>USD</t>
        </is>
      </c>
      <c r="D46" t="n">
        <v>3.24</v>
      </c>
      <c r="E46" t="n">
        <v>3.24</v>
      </c>
      <c r="F46" t="n">
        <v>85.09999999999999</v>
      </c>
      <c r="G46" t="n">
        <v>276</v>
      </c>
    </row>
    <row r="47">
      <c r="A47" s="2" t="n">
        <v>45875</v>
      </c>
      <c r="B47" t="inlineStr">
        <is>
          <t>ASML(USN070592100) Cash Dividend USD 1.846784 per Share (Ordinary Dividend)</t>
        </is>
      </c>
      <c r="C47" t="inlineStr">
        <is>
          <t>USD</t>
        </is>
      </c>
      <c r="D47" t="n">
        <v>11.08</v>
      </c>
      <c r="E47" t="n">
        <v>11.08</v>
      </c>
      <c r="F47" t="n">
        <v>87.15000000000001</v>
      </c>
      <c r="G47" t="n">
        <v>966</v>
      </c>
    </row>
    <row r="48">
      <c r="A48" s="2" t="n">
        <v>45877</v>
      </c>
      <c r="B48" t="inlineStr">
        <is>
          <t>AXP(US0258161092) Cash Dividend USD 0.82 per Share (Ordinary Dividend)</t>
        </is>
      </c>
      <c r="C48" t="inlineStr">
        <is>
          <t>USD</t>
        </is>
      </c>
      <c r="D48" t="n">
        <v>7.38</v>
      </c>
      <c r="E48" t="n">
        <v>7.38</v>
      </c>
      <c r="F48" t="n">
        <v>87.15000000000001</v>
      </c>
      <c r="G48" t="n">
        <v>643</v>
      </c>
    </row>
    <row r="49">
      <c r="A49" s="2" t="n">
        <v>45884</v>
      </c>
      <c r="B49" t="inlineStr">
        <is>
          <t>ACN(IE00B4BNMY34) Cash Dividend USD 1.48 per Share (Ordinary Dividend)</t>
        </is>
      </c>
      <c r="C49" t="inlineStr">
        <is>
          <t>USD</t>
        </is>
      </c>
      <c r="D49" t="n">
        <v>1102.6</v>
      </c>
      <c r="E49" t="n">
        <v>1102.6</v>
      </c>
      <c r="F49" t="n">
        <v>87.15000000000001</v>
      </c>
      <c r="G49" t="n">
        <v>96092</v>
      </c>
    </row>
    <row r="50">
      <c r="A50" s="2" t="n">
        <v>45901</v>
      </c>
      <c r="B50" t="inlineStr">
        <is>
          <t>2914.T(JP3726800000) Cash Dividend JPY 104 per Share (Ordinary Dividend)</t>
        </is>
      </c>
      <c r="C50" t="inlineStr">
        <is>
          <t>JPY</t>
        </is>
      </c>
      <c r="D50" t="n">
        <v>10400</v>
      </c>
      <c r="E50" t="n">
        <v>66.3801</v>
      </c>
      <c r="F50" t="n">
        <v>87.7</v>
      </c>
      <c r="G50" t="n">
        <v>5822</v>
      </c>
    </row>
    <row r="51">
      <c r="A51" s="2" t="n">
        <v>45910</v>
      </c>
      <c r="B51" t="inlineStr">
        <is>
          <t>XOM(US30231G1022) Cash Dividend USD 0.99 per Share (Ordinary Dividend)</t>
        </is>
      </c>
      <c r="C51" t="inlineStr">
        <is>
          <t>USD</t>
        </is>
      </c>
      <c r="D51" t="n">
        <v>11.88</v>
      </c>
      <c r="E51" t="n">
        <v>11.88</v>
      </c>
      <c r="F51" t="n">
        <v>87.7</v>
      </c>
      <c r="G51" t="n">
        <v>1042</v>
      </c>
    </row>
    <row r="52">
      <c r="A52" s="2" t="n">
        <v>45967</v>
      </c>
      <c r="B52" t="inlineStr">
        <is>
          <t>ASML(USN070592100) Cash Dividend USD 1.864032 per Share (Ordinary Dividend)</t>
        </is>
      </c>
      <c r="C52" t="inlineStr">
        <is>
          <t>USD</t>
        </is>
      </c>
      <c r="D52" t="n">
        <v>11.19</v>
      </c>
      <c r="E52" t="n">
        <v>11.19</v>
      </c>
      <c r="F52" t="n">
        <v>88.2</v>
      </c>
      <c r="G52" t="n">
        <v>987</v>
      </c>
    </row>
    <row r="53">
      <c r="A53" s="2" t="n">
        <v>45975</v>
      </c>
      <c r="B53" t="inlineStr">
        <is>
          <t>ACN(IE00B4BNMY34) Cash Dividend USD 1.63 per Share (Ordinary Dividend)</t>
        </is>
      </c>
      <c r="C53" t="inlineStr">
        <is>
          <t>USD</t>
        </is>
      </c>
      <c r="D53" t="n">
        <v>1214.35</v>
      </c>
      <c r="E53" t="n">
        <v>1214.35</v>
      </c>
      <c r="F53" t="n">
        <v>88.2</v>
      </c>
      <c r="G53" t="n">
        <v>107106</v>
      </c>
    </row>
    <row r="54">
      <c r="A54" s="2" t="n">
        <v>45987</v>
      </c>
      <c r="B54" t="inlineStr">
        <is>
          <t>7203.T(JP3633400001) Cash Dividend JPY 45 per Share (Ordinary Dividend)</t>
        </is>
      </c>
      <c r="C54" t="inlineStr">
        <is>
          <t>JPY</t>
        </is>
      </c>
      <c r="D54" t="n">
        <v>4500</v>
      </c>
      <c r="E54" t="n">
        <v>28.7221</v>
      </c>
      <c r="F54" t="n">
        <v>88.2</v>
      </c>
      <c r="G54" t="n">
        <v>2533</v>
      </c>
    </row>
    <row r="55">
      <c r="A55" s="2" t="n">
        <v>46001</v>
      </c>
      <c r="B55" t="inlineStr">
        <is>
          <t>4568.T(JP3475350009) Cash Dividend JPY 39 per Share (Ordinary Dividend)</t>
        </is>
      </c>
      <c r="C55" t="inlineStr">
        <is>
          <t>JPY</t>
        </is>
      </c>
      <c r="D55" t="n">
        <v>3900</v>
      </c>
      <c r="E55" t="n">
        <v>24.8925</v>
      </c>
      <c r="F55" t="n">
        <v>88.95</v>
      </c>
      <c r="G55" t="n">
        <v>2214</v>
      </c>
    </row>
    <row r="56">
      <c r="A56" s="2" t="n">
        <v>46001</v>
      </c>
      <c r="B56" t="inlineStr">
        <is>
          <t>XOM(US30231G1022) Cash Dividend USD 1.03 per Share (Ordinary Dividend)</t>
        </is>
      </c>
      <c r="C56" t="inlineStr">
        <is>
          <t>USD</t>
        </is>
      </c>
      <c r="D56" t="n">
        <v>12.36</v>
      </c>
      <c r="E56" t="n">
        <v>12.36</v>
      </c>
      <c r="F56" t="n">
        <v>88.95</v>
      </c>
      <c r="G56" t="n">
        <v>1099</v>
      </c>
    </row>
    <row r="57">
      <c r="B57" t="inlineStr">
        <is>
          <t>TOTAL DIVIDENDS</t>
        </is>
      </c>
      <c r="E57" t="n">
        <v>4991.67</v>
      </c>
      <c r="G57" t="n">
        <v>431760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45874</v>
      </c>
      <c r="B4" t="inlineStr">
        <is>
          <t>USD Credit Interest for Jul-2025</t>
        </is>
      </c>
      <c r="C4" t="inlineStr">
        <is>
          <t>USD</t>
        </is>
      </c>
      <c r="D4" t="n">
        <v>9.68</v>
      </c>
      <c r="E4" t="n">
        <v>9.68</v>
      </c>
      <c r="F4" t="n">
        <v>87.15000000000001</v>
      </c>
      <c r="G4" t="n">
        <v>844</v>
      </c>
    </row>
    <row r="5">
      <c r="A5" s="2" t="n">
        <v>45904</v>
      </c>
      <c r="B5" t="inlineStr">
        <is>
          <t>USD Credit Interest for Aug-2025</t>
        </is>
      </c>
      <c r="C5" t="inlineStr">
        <is>
          <t>USD</t>
        </is>
      </c>
      <c r="D5" t="n">
        <v>76.55</v>
      </c>
      <c r="E5" t="n">
        <v>76.55</v>
      </c>
      <c r="F5" t="n">
        <v>87.7</v>
      </c>
      <c r="G5" t="n">
        <v>6713</v>
      </c>
    </row>
    <row r="6">
      <c r="A6" s="2" t="n">
        <v>45933</v>
      </c>
      <c r="B6" t="inlineStr">
        <is>
          <t>USD Credit Interest for Sep-2025</t>
        </is>
      </c>
      <c r="C6" t="inlineStr">
        <is>
          <t>USD</t>
        </is>
      </c>
      <c r="D6" t="n">
        <v>56.94</v>
      </c>
      <c r="E6" t="n">
        <v>56.94</v>
      </c>
      <c r="F6" t="n">
        <v>88.34999999999999</v>
      </c>
      <c r="G6" t="n">
        <v>5031</v>
      </c>
    </row>
    <row r="7">
      <c r="A7" s="2" t="n">
        <v>45966</v>
      </c>
      <c r="B7" t="inlineStr">
        <is>
          <t>USD Credit Interest for Oct-2025</t>
        </is>
      </c>
      <c r="C7" t="inlineStr">
        <is>
          <t>USD</t>
        </is>
      </c>
      <c r="D7" t="n">
        <v>39.35</v>
      </c>
      <c r="E7" t="n">
        <v>39.35</v>
      </c>
      <c r="F7" t="n">
        <v>88.2</v>
      </c>
      <c r="G7" t="n">
        <v>3471</v>
      </c>
    </row>
    <row r="8">
      <c r="A8" s="2" t="n">
        <v>45994</v>
      </c>
      <c r="B8" t="inlineStr">
        <is>
          <t>USD Credit Interest for Nov-2025</t>
        </is>
      </c>
      <c r="C8" t="inlineStr">
        <is>
          <t>USD</t>
        </is>
      </c>
      <c r="D8" t="n">
        <v>37.49</v>
      </c>
      <c r="E8" t="n">
        <v>37.49</v>
      </c>
      <c r="F8" t="n">
        <v>88.95</v>
      </c>
      <c r="G8" t="n">
        <v>3335</v>
      </c>
    </row>
    <row r="9">
      <c r="A9" s="2" t="n">
        <v>46028</v>
      </c>
      <c r="B9" t="inlineStr">
        <is>
          <t>USD Credit Interest for Dec-2025</t>
        </is>
      </c>
      <c r="C9" t="inlineStr">
        <is>
          <t>USD</t>
        </is>
      </c>
      <c r="D9" t="n">
        <v>38.11</v>
      </c>
      <c r="E9" t="n">
        <v>38.11</v>
      </c>
      <c r="F9" t="n">
        <v>89.47</v>
      </c>
      <c r="G9" t="n">
        <v>3410</v>
      </c>
    </row>
    <row r="10">
      <c r="A10" s="2" t="n">
        <v>46057</v>
      </c>
      <c r="B10" t="inlineStr">
        <is>
          <t>USD Credit Interest for Jan-2026</t>
        </is>
      </c>
      <c r="C10" t="inlineStr">
        <is>
          <t>USD</t>
        </is>
      </c>
      <c r="D10" t="n">
        <v>37.2</v>
      </c>
      <c r="E10" t="n">
        <v>37.2</v>
      </c>
      <c r="F10" t="n">
        <v>91.34999999999999</v>
      </c>
      <c r="G10" t="n">
        <v>3398</v>
      </c>
    </row>
    <row r="11">
      <c r="A11" s="2" t="n">
        <v>46085</v>
      </c>
      <c r="B11" t="inlineStr">
        <is>
          <t>USD Credit Interest for Feb-2026</t>
        </is>
      </c>
      <c r="C11" t="inlineStr">
        <is>
          <t>USD</t>
        </is>
      </c>
      <c r="D11" t="n">
        <v>35.13</v>
      </c>
      <c r="E11" t="n">
        <v>35.13</v>
      </c>
      <c r="F11" t="n">
        <v>90.56</v>
      </c>
      <c r="G11" t="n">
        <v>3181</v>
      </c>
    </row>
    <row r="12">
      <c r="B12" t="inlineStr">
        <is>
          <t>TOTAL INTEREST</t>
        </is>
      </c>
      <c r="E12" t="n">
        <v>330.45</v>
      </c>
      <c r="G12" t="n">
        <v>29382</v>
      </c>
    </row>
    <row r="13"/>
    <row r="14">
      <c r="A14" t="inlineStr">
        <is>
          <t>— DIVIDENDS —</t>
        </is>
      </c>
    </row>
    <row r="15">
      <c r="A15" s="2" t="n">
        <v>45756</v>
      </c>
      <c r="B15" t="inlineStr">
        <is>
          <t>LRCX(US5128073062) Cash Dividend USD 0.23 per Share (Ordinary Dividend)</t>
        </is>
      </c>
      <c r="C15" t="inlineStr">
        <is>
          <t>USD</t>
        </is>
      </c>
      <c r="D15" t="n">
        <v>6.9</v>
      </c>
      <c r="E15" t="n">
        <v>6.9</v>
      </c>
      <c r="F15" t="n">
        <v>85.09999999999999</v>
      </c>
      <c r="G15" t="n">
        <v>587</v>
      </c>
    </row>
    <row r="16">
      <c r="A16" s="2" t="n">
        <v>45757</v>
      </c>
      <c r="B16" t="inlineStr">
        <is>
          <t>TSM(US8740391003) Cash Dividend USD 0.677693 per Share (Ordinary Div - NRA Withholding Exempt)</t>
        </is>
      </c>
      <c r="C16" t="inlineStr">
        <is>
          <t>USD</t>
        </is>
      </c>
      <c r="D16" t="n">
        <v>6.1</v>
      </c>
      <c r="E16" t="n">
        <v>6.1</v>
      </c>
      <c r="F16" t="n">
        <v>85.09999999999999</v>
      </c>
      <c r="G16" t="n">
        <v>519</v>
      </c>
    </row>
    <row r="17">
      <c r="A17" s="2" t="n">
        <v>45772</v>
      </c>
      <c r="B17" t="inlineStr">
        <is>
          <t>GE(US3696043013) Cash Dividend USD 0.36 per Share (Ordinary Dividend)</t>
        </is>
      </c>
      <c r="C17" t="inlineStr">
        <is>
          <t>USD</t>
        </is>
      </c>
      <c r="D17" t="n">
        <v>3.24</v>
      </c>
      <c r="E17" t="n">
        <v>3.24</v>
      </c>
      <c r="F17" t="n">
        <v>85.09999999999999</v>
      </c>
      <c r="G17" t="n">
        <v>276</v>
      </c>
    </row>
    <row r="18">
      <c r="A18" s="2" t="n">
        <v>45783</v>
      </c>
      <c r="B18" t="inlineStr">
        <is>
          <t>ASML(USN070592100) Cash Dividend USD 2.090608 per Share (Ordinary Dividend)</t>
        </is>
      </c>
      <c r="C18" t="inlineStr">
        <is>
          <t>USD</t>
        </is>
      </c>
      <c r="D18" t="n">
        <v>12.54</v>
      </c>
      <c r="E18" t="n">
        <v>12.54</v>
      </c>
      <c r="F18" t="n">
        <v>84.25</v>
      </c>
      <c r="G18" t="n">
        <v>1056</v>
      </c>
    </row>
    <row r="19">
      <c r="A19" s="2" t="n">
        <v>45786</v>
      </c>
      <c r="B19" t="inlineStr">
        <is>
          <t>AXP(US0258161092) Cash Dividend USD 0.82 per Share (Ordinary Dividend)</t>
        </is>
      </c>
      <c r="C19" t="inlineStr">
        <is>
          <t>USD</t>
        </is>
      </c>
      <c r="D19" t="n">
        <v>7.38</v>
      </c>
      <c r="E19" t="n">
        <v>7.38</v>
      </c>
      <c r="F19" t="n">
        <v>84.25</v>
      </c>
      <c r="G19" t="n">
        <v>622</v>
      </c>
    </row>
    <row r="20">
      <c r="A20" s="2" t="n">
        <v>45792</v>
      </c>
      <c r="B20" t="inlineStr">
        <is>
          <t>ACN(IE00B4BNMY34) Cash Dividend USD 1.48 per Share (Ordinary Dividend)</t>
        </is>
      </c>
      <c r="C20" t="inlineStr">
        <is>
          <t>USD</t>
        </is>
      </c>
      <c r="D20" t="n">
        <v>1102.6</v>
      </c>
      <c r="E20" t="n">
        <v>1102.6</v>
      </c>
      <c r="F20" t="n">
        <v>84.25</v>
      </c>
      <c r="G20" t="n">
        <v>92894</v>
      </c>
    </row>
    <row r="21">
      <c r="A21" s="2" t="n">
        <v>45810</v>
      </c>
      <c r="B21" t="inlineStr">
        <is>
          <t>TGT(US87612E1064) Cash Dividend USD 1.12 per Share (Ordinary Dividend)</t>
        </is>
      </c>
      <c r="C21" t="inlineStr">
        <is>
          <t>USD</t>
        </is>
      </c>
      <c r="D21" t="n">
        <v>16.8</v>
      </c>
      <c r="E21" t="n">
        <v>16.8</v>
      </c>
      <c r="F21" t="n">
        <v>85.09999999999999</v>
      </c>
      <c r="G21" t="n">
        <v>1430</v>
      </c>
    </row>
    <row r="22">
      <c r="A22" s="2" t="n">
        <v>45814</v>
      </c>
      <c r="B22" t="inlineStr">
        <is>
          <t>HON(US4385161066) Cash Dividend USD 1.13 per Share (Ordinary Dividend)</t>
        </is>
      </c>
      <c r="C22" t="inlineStr">
        <is>
          <t>USD</t>
        </is>
      </c>
      <c r="D22" t="n">
        <v>13.56</v>
      </c>
      <c r="E22" t="n">
        <v>13.56</v>
      </c>
      <c r="F22" t="n">
        <v>85.09999999999999</v>
      </c>
      <c r="G22" t="n">
        <v>1154</v>
      </c>
    </row>
    <row r="23">
      <c r="A23" s="2" t="n">
        <v>45818</v>
      </c>
      <c r="B23" t="inlineStr">
        <is>
          <t>LLY(US5324571083) Cash Dividend USD 1.50 per Share (Ordinary Dividend)</t>
        </is>
      </c>
      <c r="C23" t="inlineStr">
        <is>
          <t>USD</t>
        </is>
      </c>
      <c r="D23" t="n">
        <v>4.5</v>
      </c>
      <c r="E23" t="n">
        <v>4.5</v>
      </c>
      <c r="F23" t="n">
        <v>85.09999999999999</v>
      </c>
      <c r="G23" t="n">
        <v>383</v>
      </c>
    </row>
    <row r="24">
      <c r="A24" s="2" t="n">
        <v>45818</v>
      </c>
      <c r="B24" t="inlineStr">
        <is>
          <t>XOM(US30231G1022) Cash Dividend USD 0.99 per Share (Ordinary Dividend)</t>
        </is>
      </c>
      <c r="C24" t="inlineStr">
        <is>
          <t>USD</t>
        </is>
      </c>
      <c r="D24" t="n">
        <v>11.88</v>
      </c>
      <c r="E24" t="n">
        <v>11.88</v>
      </c>
      <c r="F24" t="n">
        <v>85.09999999999999</v>
      </c>
      <c r="G24" t="n">
        <v>1011</v>
      </c>
    </row>
    <row r="25">
      <c r="A25" s="2" t="n">
        <v>45820</v>
      </c>
      <c r="B25" t="inlineStr">
        <is>
          <t>MSFT(US5949181045) Cash Dividend USD 0.83 per Share (Ordinary Dividend)</t>
        </is>
      </c>
      <c r="C25" t="inlineStr">
        <is>
          <t>USD</t>
        </is>
      </c>
      <c r="D25" t="n">
        <v>4.98</v>
      </c>
      <c r="E25" t="n">
        <v>4.98</v>
      </c>
      <c r="F25" t="n">
        <v>85.09999999999999</v>
      </c>
      <c r="G25" t="n">
        <v>424</v>
      </c>
    </row>
    <row r="26">
      <c r="A26" s="2" t="n">
        <v>45828</v>
      </c>
      <c r="B26" t="inlineStr">
        <is>
          <t>EMXC(US46434G7640) Cash Dividend USD 0.711404 per Share (Ordinary Dividend)</t>
        </is>
      </c>
      <c r="C26" t="inlineStr">
        <is>
          <t>USD</t>
        </is>
      </c>
      <c r="D26" t="n">
        <v>21.34</v>
      </c>
      <c r="E26" t="n">
        <v>21.34</v>
      </c>
      <c r="F26" t="n">
        <v>85.09999999999999</v>
      </c>
      <c r="G26" t="n">
        <v>1816</v>
      </c>
    </row>
    <row r="27">
      <c r="A27" s="2" t="n">
        <v>45831</v>
      </c>
      <c r="B27" t="inlineStr">
        <is>
          <t>SHELL.DVD(NL0015002HW4) Expire Dividend Right (Ordinary Dividend)</t>
        </is>
      </c>
      <c r="C27" t="inlineStr">
        <is>
          <t>EUR</t>
        </is>
      </c>
      <c r="D27" t="n">
        <v>10.35</v>
      </c>
      <c r="E27" t="n">
        <v>12.1571</v>
      </c>
      <c r="F27" t="n">
        <v>85.09999999999999</v>
      </c>
      <c r="G27" t="n">
        <v>1035</v>
      </c>
    </row>
    <row r="28">
      <c r="A28" s="2" t="n">
        <v>45835</v>
      </c>
      <c r="B28" t="inlineStr">
        <is>
          <t>BAC(US0605051046) Cash Dividend USD 0.26 per Share (Ordinary Dividend)</t>
        </is>
      </c>
      <c r="C28" t="inlineStr">
        <is>
          <t>USD</t>
        </is>
      </c>
      <c r="D28" t="n">
        <v>15.6</v>
      </c>
      <c r="E28" t="n">
        <v>15.6</v>
      </c>
      <c r="F28" t="n">
        <v>85.09999999999999</v>
      </c>
      <c r="G28" t="n">
        <v>1328</v>
      </c>
    </row>
    <row r="29">
      <c r="A29" s="2" t="n">
        <v>45835</v>
      </c>
      <c r="B29" t="inlineStr">
        <is>
          <t>DXJ(US97717W8516) Cash Dividend USD 1.34 per Share (Ordinary Dividend)</t>
        </is>
      </c>
      <c r="C29" t="inlineStr">
        <is>
          <t>USD</t>
        </is>
      </c>
      <c r="D29" t="n">
        <v>20.1</v>
      </c>
      <c r="E29" t="n">
        <v>20.1</v>
      </c>
      <c r="F29" t="n">
        <v>85.09999999999999</v>
      </c>
      <c r="G29" t="n">
        <v>1711</v>
      </c>
    </row>
    <row r="30">
      <c r="A30" s="2" t="n">
        <v>45838</v>
      </c>
      <c r="B30" t="inlineStr">
        <is>
          <t>AVGO(US11135F1012) Cash Dividend USD 0.59 per Share (Ordinary Dividend)</t>
        </is>
      </c>
      <c r="C30" t="inlineStr">
        <is>
          <t>USD</t>
        </is>
      </c>
      <c r="D30" t="n">
        <v>5.31</v>
      </c>
      <c r="E30" t="n">
        <v>5.31</v>
      </c>
      <c r="F30" t="n">
        <v>85.09999999999999</v>
      </c>
      <c r="G30" t="n">
        <v>452</v>
      </c>
    </row>
    <row r="31">
      <c r="A31" s="2" t="n">
        <v>45847</v>
      </c>
      <c r="B31" t="inlineStr">
        <is>
          <t>LRCX(US5128073062) Cash Dividend USD 0.23 per Share (Ordinary Dividend)</t>
        </is>
      </c>
      <c r="C31" t="inlineStr">
        <is>
          <t>USD</t>
        </is>
      </c>
      <c r="D31" t="n">
        <v>6.9</v>
      </c>
      <c r="E31" t="n">
        <v>6.9</v>
      </c>
      <c r="F31" t="n">
        <v>85.09999999999999</v>
      </c>
      <c r="G31" t="n">
        <v>587</v>
      </c>
    </row>
    <row r="32">
      <c r="A32" s="2" t="n">
        <v>45848</v>
      </c>
      <c r="B32" t="inlineStr">
        <is>
          <t>TSM(US8740391003) Cash Dividend USD 0.780305 per Share (Ordinary Div - NRA Withholding Exempt)</t>
        </is>
      </c>
      <c r="C32" t="inlineStr">
        <is>
          <t>USD</t>
        </is>
      </c>
      <c r="D32" t="n">
        <v>7.02</v>
      </c>
      <c r="E32" t="n">
        <v>7.02</v>
      </c>
      <c r="F32" t="n">
        <v>85.09999999999999</v>
      </c>
      <c r="G32" t="n">
        <v>597</v>
      </c>
    </row>
    <row r="33">
      <c r="A33" s="2" t="n">
        <v>45863</v>
      </c>
      <c r="B33" t="inlineStr">
        <is>
          <t>GE(US3696043013) Cash Dividend USD 0.36 per Share (Ordinary Dividend)</t>
        </is>
      </c>
      <c r="C33" t="inlineStr">
        <is>
          <t>USD</t>
        </is>
      </c>
      <c r="D33" t="n">
        <v>3.24</v>
      </c>
      <c r="E33" t="n">
        <v>3.24</v>
      </c>
      <c r="F33" t="n">
        <v>85.09999999999999</v>
      </c>
      <c r="G33" t="n">
        <v>276</v>
      </c>
    </row>
    <row r="34">
      <c r="A34" s="2" t="n">
        <v>45875</v>
      </c>
      <c r="B34" t="inlineStr">
        <is>
          <t>ASML(USN070592100) Cash Dividend USD 1.846784 per Share (Ordinary Dividend)</t>
        </is>
      </c>
      <c r="C34" t="inlineStr">
        <is>
          <t>USD</t>
        </is>
      </c>
      <c r="D34" t="n">
        <v>11.08</v>
      </c>
      <c r="E34" t="n">
        <v>11.08</v>
      </c>
      <c r="F34" t="n">
        <v>87.15000000000001</v>
      </c>
      <c r="G34" t="n">
        <v>966</v>
      </c>
    </row>
    <row r="35">
      <c r="A35" s="2" t="n">
        <v>45877</v>
      </c>
      <c r="B35" t="inlineStr">
        <is>
          <t>AXP(US0258161092) Cash Dividend USD 0.82 per Share (Ordinary Dividend)</t>
        </is>
      </c>
      <c r="C35" t="inlineStr">
        <is>
          <t>USD</t>
        </is>
      </c>
      <c r="D35" t="n">
        <v>7.38</v>
      </c>
      <c r="E35" t="n">
        <v>7.38</v>
      </c>
      <c r="F35" t="n">
        <v>87.15000000000001</v>
      </c>
      <c r="G35" t="n">
        <v>643</v>
      </c>
    </row>
    <row r="36">
      <c r="A36" s="2" t="n">
        <v>45884</v>
      </c>
      <c r="B36" t="inlineStr">
        <is>
          <t>ACN(IE00B4BNMY34) Cash Dividend USD 1.48 per Share (Ordinary Dividend)</t>
        </is>
      </c>
      <c r="C36" t="inlineStr">
        <is>
          <t>USD</t>
        </is>
      </c>
      <c r="D36" t="n">
        <v>1102.6</v>
      </c>
      <c r="E36" t="n">
        <v>1102.6</v>
      </c>
      <c r="F36" t="n">
        <v>87.15000000000001</v>
      </c>
      <c r="G36" t="n">
        <v>96092</v>
      </c>
    </row>
    <row r="37">
      <c r="A37" s="2" t="n">
        <v>45901</v>
      </c>
      <c r="B37" t="inlineStr">
        <is>
          <t>2914.T(JP3726800000) Cash Dividend JPY 104 per Share (Ordinary Dividend)</t>
        </is>
      </c>
      <c r="C37" t="inlineStr">
        <is>
          <t>JPY</t>
        </is>
      </c>
      <c r="D37" t="n">
        <v>10400</v>
      </c>
      <c r="E37" t="n">
        <v>66.3801</v>
      </c>
      <c r="F37" t="n">
        <v>87.7</v>
      </c>
      <c r="G37" t="n">
        <v>5822</v>
      </c>
    </row>
    <row r="38">
      <c r="A38" s="2" t="n">
        <v>45910</v>
      </c>
      <c r="B38" t="inlineStr">
        <is>
          <t>XOM(US30231G1022) Cash Dividend USD 0.99 per Share (Ordinary Dividend)</t>
        </is>
      </c>
      <c r="C38" t="inlineStr">
        <is>
          <t>USD</t>
        </is>
      </c>
      <c r="D38" t="n">
        <v>11.88</v>
      </c>
      <c r="E38" t="n">
        <v>11.88</v>
      </c>
      <c r="F38" t="n">
        <v>87.7</v>
      </c>
      <c r="G38" t="n">
        <v>1042</v>
      </c>
    </row>
    <row r="39">
      <c r="A39" s="2" t="n">
        <v>45967</v>
      </c>
      <c r="B39" t="inlineStr">
        <is>
          <t>ASML(USN070592100) Cash Dividend USD 1.864032 per Share (Ordinary Dividend)</t>
        </is>
      </c>
      <c r="C39" t="inlineStr">
        <is>
          <t>USD</t>
        </is>
      </c>
      <c r="D39" t="n">
        <v>11.19</v>
      </c>
      <c r="E39" t="n">
        <v>11.19</v>
      </c>
      <c r="F39" t="n">
        <v>88.2</v>
      </c>
      <c r="G39" t="n">
        <v>987</v>
      </c>
    </row>
    <row r="40">
      <c r="A40" s="2" t="n">
        <v>45975</v>
      </c>
      <c r="B40" t="inlineStr">
        <is>
          <t>ACN(IE00B4BNMY34) Cash Dividend USD 1.63 per Share (Ordinary Dividend)</t>
        </is>
      </c>
      <c r="C40" t="inlineStr">
        <is>
          <t>USD</t>
        </is>
      </c>
      <c r="D40" t="n">
        <v>1214.35</v>
      </c>
      <c r="E40" t="n">
        <v>1214.35</v>
      </c>
      <c r="F40" t="n">
        <v>88.2</v>
      </c>
      <c r="G40" t="n">
        <v>107106</v>
      </c>
    </row>
    <row r="41">
      <c r="A41" s="2" t="n">
        <v>45987</v>
      </c>
      <c r="B41" t="inlineStr">
        <is>
          <t>7203.T(JP3633400001) Cash Dividend JPY 45 per Share (Ordinary Dividend)</t>
        </is>
      </c>
      <c r="C41" t="inlineStr">
        <is>
          <t>JPY</t>
        </is>
      </c>
      <c r="D41" t="n">
        <v>4500</v>
      </c>
      <c r="E41" t="n">
        <v>28.7221</v>
      </c>
      <c r="F41" t="n">
        <v>88.2</v>
      </c>
      <c r="G41" t="n">
        <v>2533</v>
      </c>
    </row>
    <row r="42">
      <c r="A42" s="2" t="n">
        <v>46001</v>
      </c>
      <c r="B42" t="inlineStr">
        <is>
          <t>4568.T(JP3475350009) Cash Dividend JPY 39 per Share (Ordinary Dividend)</t>
        </is>
      </c>
      <c r="C42" t="inlineStr">
        <is>
          <t>JPY</t>
        </is>
      </c>
      <c r="D42" t="n">
        <v>3900</v>
      </c>
      <c r="E42" t="n">
        <v>24.8925</v>
      </c>
      <c r="F42" t="n">
        <v>88.95</v>
      </c>
      <c r="G42" t="n">
        <v>2214</v>
      </c>
    </row>
    <row r="43">
      <c r="A43" s="2" t="n">
        <v>46001</v>
      </c>
      <c r="B43" t="inlineStr">
        <is>
          <t>XOM(US30231G1022) Cash Dividend USD 1.03 per Share (Ordinary Dividend)</t>
        </is>
      </c>
      <c r="C43" t="inlineStr">
        <is>
          <t>USD</t>
        </is>
      </c>
      <c r="D43" t="n">
        <v>12.36</v>
      </c>
      <c r="E43" t="n">
        <v>12.36</v>
      </c>
      <c r="F43" t="n">
        <v>88.95</v>
      </c>
      <c r="G43" t="n">
        <v>1099</v>
      </c>
    </row>
    <row r="44">
      <c r="A44" s="2" t="n">
        <v>46066</v>
      </c>
      <c r="B44" t="inlineStr">
        <is>
          <t>ACN(IE00B4BNMY34) Cash Dividend USD 1.63 per Share (Ordinary Dividend)</t>
        </is>
      </c>
      <c r="C44" t="inlineStr">
        <is>
          <t>USD</t>
        </is>
      </c>
      <c r="D44" t="n">
        <v>1214.35</v>
      </c>
      <c r="E44" t="n">
        <v>1214.35</v>
      </c>
      <c r="F44" t="n">
        <v>91.34999999999999</v>
      </c>
      <c r="G44" t="n">
        <v>110931</v>
      </c>
    </row>
    <row r="45">
      <c r="A45" s="2" t="n">
        <v>46071</v>
      </c>
      <c r="B45" t="inlineStr">
        <is>
          <t>ASML(USN070592100) Cash Dividend USD 1.9064 per Share (Ordinary Dividend)</t>
        </is>
      </c>
      <c r="C45" t="inlineStr">
        <is>
          <t>USD</t>
        </is>
      </c>
      <c r="D45" t="n">
        <v>11.44</v>
      </c>
      <c r="E45" t="n">
        <v>11.44</v>
      </c>
      <c r="F45" t="n">
        <v>91.34999999999999</v>
      </c>
      <c r="G45" t="n">
        <v>1045</v>
      </c>
    </row>
    <row r="46">
      <c r="A46" s="2" t="n">
        <v>46091</v>
      </c>
      <c r="B46" t="inlineStr">
        <is>
          <t>XOM(US30231G1022) Cash Dividend USD 1.03 per Share (Ordinary Dividend)</t>
        </is>
      </c>
      <c r="C46" t="inlineStr">
        <is>
          <t>USD</t>
        </is>
      </c>
      <c r="D46" t="n">
        <v>12.36</v>
      </c>
      <c r="E46" t="n">
        <v>12.36</v>
      </c>
      <c r="F46" t="n">
        <v>90.56</v>
      </c>
      <c r="G46" t="n">
        <v>1119</v>
      </c>
    </row>
    <row r="47">
      <c r="A47" s="2" t="n">
        <v>46107</v>
      </c>
      <c r="B47" t="inlineStr">
        <is>
          <t>2914.T(JP3726800000) Cash Dividend JPY 130 per Share (Ordinary Dividend)</t>
        </is>
      </c>
      <c r="C47" t="inlineStr">
        <is>
          <t>JPY</t>
        </is>
      </c>
      <c r="D47" t="n">
        <v>13000</v>
      </c>
      <c r="E47" t="n">
        <v>82.9751</v>
      </c>
      <c r="F47" t="n">
        <v>90.56</v>
      </c>
      <c r="G47" t="n">
        <v>7514</v>
      </c>
    </row>
    <row r="48">
      <c r="B48" t="inlineStr">
        <is>
          <t>TOTAL DIVIDENDS</t>
        </is>
      </c>
      <c r="E48" t="n">
        <v>5094.11</v>
      </c>
      <c r="G48" t="n">
        <v>447269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45665</v>
      </c>
      <c r="C3" t="inlineStr">
        <is>
          <t>LRCX(US5128073062) Cash Dividend USD 0.23 per Share - US Tax</t>
        </is>
      </c>
      <c r="D3" t="inlineStr">
        <is>
          <t>USD</t>
        </is>
      </c>
      <c r="E3" t="n">
        <v>-1.73</v>
      </c>
      <c r="F3" t="n">
        <v>-1.73</v>
      </c>
      <c r="G3" t="n">
        <v>85.2</v>
      </c>
      <c r="H3" t="n">
        <v>-147</v>
      </c>
    </row>
    <row r="4">
      <c r="A4" t="inlineStr">
        <is>
          <t>CY2025</t>
        </is>
      </c>
      <c r="B4" s="2" t="n">
        <v>45666</v>
      </c>
      <c r="C4" t="inlineStr">
        <is>
          <t>TSM(US8740391003) Cash Dividend USD 0.608106 per Share - TW Tax</t>
        </is>
      </c>
      <c r="D4" t="inlineStr">
        <is>
          <t>USD</t>
        </is>
      </c>
      <c r="E4" t="n">
        <v>-1.15</v>
      </c>
      <c r="F4" t="n">
        <v>-1.15</v>
      </c>
      <c r="G4" t="n">
        <v>85.2</v>
      </c>
      <c r="H4" t="n">
        <v>-98</v>
      </c>
    </row>
    <row r="5">
      <c r="A5" t="inlineStr">
        <is>
          <t>CY2025</t>
        </is>
      </c>
      <c r="B5" s="2" t="n">
        <v>45684</v>
      </c>
      <c r="C5" t="inlineStr">
        <is>
          <t>GE(US3696043013) Cash Dividend USD 0.28 per Share - US Tax</t>
        </is>
      </c>
      <c r="D5" t="inlineStr">
        <is>
          <t>USD</t>
        </is>
      </c>
      <c r="E5" t="n">
        <v>-0.63</v>
      </c>
      <c r="F5" t="n">
        <v>-0.63</v>
      </c>
      <c r="G5" t="n">
        <v>85.2</v>
      </c>
      <c r="H5" t="n">
        <v>-54</v>
      </c>
    </row>
    <row r="6">
      <c r="A6" t="inlineStr">
        <is>
          <t>CY2025</t>
        </is>
      </c>
      <c r="B6" s="2" t="n">
        <v>45698</v>
      </c>
      <c r="C6" t="inlineStr">
        <is>
          <t>AXP(US0258161092) Cash Dividend USD 0.70 per Share - US Tax</t>
        </is>
      </c>
      <c r="D6" t="inlineStr">
        <is>
          <t>USD</t>
        </is>
      </c>
      <c r="E6" t="n">
        <v>-1.58</v>
      </c>
      <c r="F6" t="n">
        <v>-1.58</v>
      </c>
      <c r="G6" t="n">
        <v>86.2</v>
      </c>
      <c r="H6" t="n">
        <v>-136</v>
      </c>
    </row>
    <row r="7">
      <c r="A7" t="inlineStr">
        <is>
          <t>CY2025</t>
        </is>
      </c>
      <c r="B7" s="2" t="n">
        <v>45702</v>
      </c>
      <c r="C7" t="inlineStr">
        <is>
          <t>ACN(IE00B4BNMY34) Cash Dividend USD 1.48 per Share - IE Tax</t>
        </is>
      </c>
      <c r="D7" t="inlineStr">
        <is>
          <t>USD</t>
        </is>
      </c>
      <c r="E7" t="n">
        <v>-275.65</v>
      </c>
      <c r="F7" t="n">
        <v>-275.65</v>
      </c>
      <c r="G7" t="n">
        <v>86.2</v>
      </c>
      <c r="H7" t="n">
        <v>-23761</v>
      </c>
    </row>
    <row r="8">
      <c r="A8" t="inlineStr">
        <is>
          <t>CY2025</t>
        </is>
      </c>
      <c r="B8" s="2" t="n">
        <v>45707</v>
      </c>
      <c r="C8" t="inlineStr">
        <is>
          <t>ASML(USN070592100) Cash Dividend USD 1.570464 per Share - NL Tax</t>
        </is>
      </c>
      <c r="D8" t="inlineStr">
        <is>
          <t>USD</t>
        </is>
      </c>
      <c r="E8" t="n">
        <v>-1.41</v>
      </c>
      <c r="F8" t="n">
        <v>-1.41</v>
      </c>
      <c r="G8" t="n">
        <v>86.2</v>
      </c>
      <c r="H8" t="n">
        <v>-122</v>
      </c>
    </row>
    <row r="9">
      <c r="A9" t="inlineStr">
        <is>
          <t>CY2025</t>
        </is>
      </c>
      <c r="B9" s="2" t="n">
        <v>45719</v>
      </c>
      <c r="C9" t="inlineStr">
        <is>
          <t>TGT(US87612E1064) Cash Dividend USD 1.12 per Share - US Tax</t>
        </is>
      </c>
      <c r="D9" t="inlineStr">
        <is>
          <t>USD</t>
        </is>
      </c>
      <c r="E9" t="n">
        <v>-4.2</v>
      </c>
      <c r="F9" t="n">
        <v>-4.2</v>
      </c>
      <c r="G9" t="n">
        <v>86.95</v>
      </c>
      <c r="H9" t="n">
        <v>-365</v>
      </c>
    </row>
    <row r="10">
      <c r="A10" t="inlineStr">
        <is>
          <t>CY2025</t>
        </is>
      </c>
      <c r="B10" s="2" t="n">
        <v>45726</v>
      </c>
      <c r="C10" t="inlineStr">
        <is>
          <t>LLY(US5324571083) Cash Dividend USD 1.50 per Share - US Tax</t>
        </is>
      </c>
      <c r="D10" t="inlineStr">
        <is>
          <t>USD</t>
        </is>
      </c>
      <c r="E10" t="n">
        <v>-1.13</v>
      </c>
      <c r="F10" t="n">
        <v>-1.13</v>
      </c>
      <c r="G10" t="n">
        <v>86.95</v>
      </c>
      <c r="H10" t="n">
        <v>-98</v>
      </c>
    </row>
    <row r="11">
      <c r="A11" t="inlineStr">
        <is>
          <t>CY2025</t>
        </is>
      </c>
      <c r="B11" s="2" t="n">
        <v>45726</v>
      </c>
      <c r="C11" t="inlineStr">
        <is>
          <t>XOM(US30231G1022) Cash Dividend USD 0.99 per Share - US Tax</t>
        </is>
      </c>
      <c r="D11" t="inlineStr">
        <is>
          <t>USD</t>
        </is>
      </c>
      <c r="E11" t="n">
        <v>-2.97</v>
      </c>
      <c r="F11" t="n">
        <v>-2.97</v>
      </c>
      <c r="G11" t="n">
        <v>86.95</v>
      </c>
      <c r="H11" t="n">
        <v>-258</v>
      </c>
    </row>
    <row r="12">
      <c r="A12" t="inlineStr">
        <is>
          <t>CY2025</t>
        </is>
      </c>
      <c r="B12" s="2" t="n">
        <v>45729</v>
      </c>
      <c r="C12" t="inlineStr">
        <is>
          <t>MSFT(US5949181045) Cash Dividend USD 0.83 per Share - US Tax</t>
        </is>
      </c>
      <c r="D12" t="inlineStr">
        <is>
          <t>USD</t>
        </is>
      </c>
      <c r="E12" t="n">
        <v>-1.25</v>
      </c>
      <c r="F12" t="n">
        <v>-1.25</v>
      </c>
      <c r="G12" t="n">
        <v>86.95</v>
      </c>
      <c r="H12" t="n">
        <v>-109</v>
      </c>
    </row>
    <row r="13">
      <c r="A13" t="inlineStr">
        <is>
          <t>CY2025</t>
        </is>
      </c>
      <c r="B13" s="2" t="n">
        <v>45730</v>
      </c>
      <c r="C13" t="inlineStr">
        <is>
          <t>HON(US4385161066) Cash Dividend USD 1.13 per Share - US Tax</t>
        </is>
      </c>
      <c r="D13" t="inlineStr">
        <is>
          <t>USD</t>
        </is>
      </c>
      <c r="E13" t="n">
        <v>-3.39</v>
      </c>
      <c r="F13" t="n">
        <v>-3.39</v>
      </c>
      <c r="G13" t="n">
        <v>86.95</v>
      </c>
      <c r="H13" t="n">
        <v>-295</v>
      </c>
    </row>
    <row r="14">
      <c r="A14" t="inlineStr">
        <is>
          <t>CY2025</t>
        </is>
      </c>
      <c r="B14" s="2" t="n">
        <v>45744</v>
      </c>
      <c r="C14" t="inlineStr">
        <is>
          <t>BAC(US0605051046) Cash Dividend USD 0.26 per Share - US Tax</t>
        </is>
      </c>
      <c r="D14" t="inlineStr">
        <is>
          <t>USD</t>
        </is>
      </c>
      <c r="E14" t="n">
        <v>-3.9</v>
      </c>
      <c r="F14" t="n">
        <v>-3.9</v>
      </c>
      <c r="G14" t="n">
        <v>86.95</v>
      </c>
      <c r="H14" t="n">
        <v>-339</v>
      </c>
    </row>
    <row r="15">
      <c r="A15" t="inlineStr">
        <is>
          <t>CY2025</t>
        </is>
      </c>
      <c r="B15" s="2" t="n">
        <v>45747</v>
      </c>
      <c r="C15" t="inlineStr">
        <is>
          <t>AVGO(US11135F1012) Cash Dividend USD 0.59 per Share - US Tax</t>
        </is>
      </c>
      <c r="D15" t="inlineStr">
        <is>
          <t>USD</t>
        </is>
      </c>
      <c r="E15" t="n">
        <v>-1.33</v>
      </c>
      <c r="F15" t="n">
        <v>-1.33</v>
      </c>
      <c r="G15" t="n">
        <v>86.95</v>
      </c>
      <c r="H15" t="n">
        <v>-116</v>
      </c>
    </row>
    <row r="16">
      <c r="A16" t="inlineStr">
        <is>
          <t>CY2025</t>
        </is>
      </c>
      <c r="B16" s="2" t="n">
        <v>45756</v>
      </c>
      <c r="C16" t="inlineStr">
        <is>
          <t>LRCX(US5128073062) Cash Dividend USD 0.23 per Share - US Tax</t>
        </is>
      </c>
      <c r="D16" t="inlineStr">
        <is>
          <t>USD</t>
        </is>
      </c>
      <c r="E16" t="n">
        <v>-1.73</v>
      </c>
      <c r="F16" t="n">
        <v>-1.73</v>
      </c>
      <c r="G16" t="n">
        <v>85.09999999999999</v>
      </c>
      <c r="H16" t="n">
        <v>-147</v>
      </c>
    </row>
    <row r="17">
      <c r="A17" t="inlineStr">
        <is>
          <t>CY2025</t>
        </is>
      </c>
      <c r="B17" s="2" t="n">
        <v>45757</v>
      </c>
      <c r="C17" t="inlineStr">
        <is>
          <t>TSM(US8740391003) Cash Dividend USD 0.677693 per Share - TW Tax</t>
        </is>
      </c>
      <c r="D17" t="inlineStr">
        <is>
          <t>USD</t>
        </is>
      </c>
      <c r="E17" t="n">
        <v>-1.28</v>
      </c>
      <c r="F17" t="n">
        <v>-1.28</v>
      </c>
      <c r="G17" t="n">
        <v>85.09999999999999</v>
      </c>
      <c r="H17" t="n">
        <v>-109</v>
      </c>
    </row>
    <row r="18">
      <c r="A18" t="inlineStr">
        <is>
          <t>CY2025</t>
        </is>
      </c>
      <c r="B18" s="2" t="n">
        <v>45772</v>
      </c>
      <c r="C18" t="inlineStr">
        <is>
          <t>GE(US3696043013) Cash Dividend USD 0.36 per Share - US Tax</t>
        </is>
      </c>
      <c r="D18" t="inlineStr">
        <is>
          <t>USD</t>
        </is>
      </c>
      <c r="E18" t="n">
        <v>-0.8100000000000001</v>
      </c>
      <c r="F18" t="n">
        <v>-0.8100000000000001</v>
      </c>
      <c r="G18" t="n">
        <v>85.09999999999999</v>
      </c>
      <c r="H18" t="n">
        <v>-69</v>
      </c>
    </row>
    <row r="19">
      <c r="A19" t="inlineStr">
        <is>
          <t>CY2025</t>
        </is>
      </c>
      <c r="B19" s="2" t="n">
        <v>45783</v>
      </c>
      <c r="C19" t="inlineStr">
        <is>
          <t>ASML(USN070592100) Cash Dividend USD 2.090608 per Share - NL Tax</t>
        </is>
      </c>
      <c r="D19" t="inlineStr">
        <is>
          <t>USD</t>
        </is>
      </c>
      <c r="E19" t="n">
        <v>-1.88</v>
      </c>
      <c r="F19" t="n">
        <v>-1.88</v>
      </c>
      <c r="G19" t="n">
        <v>84.25</v>
      </c>
      <c r="H19" t="n">
        <v>-158</v>
      </c>
    </row>
    <row r="20">
      <c r="A20" t="inlineStr">
        <is>
          <t>CY2025</t>
        </is>
      </c>
      <c r="B20" s="2" t="n">
        <v>45786</v>
      </c>
      <c r="C20" t="inlineStr">
        <is>
          <t>AXP(US0258161092) Cash Dividend USD 0.82 per Share - US Tax</t>
        </is>
      </c>
      <c r="D20" t="inlineStr">
        <is>
          <t>USD</t>
        </is>
      </c>
      <c r="E20" t="n">
        <v>-1.85</v>
      </c>
      <c r="F20" t="n">
        <v>-1.85</v>
      </c>
      <c r="G20" t="n">
        <v>84.25</v>
      </c>
      <c r="H20" t="n">
        <v>-156</v>
      </c>
    </row>
    <row r="21">
      <c r="A21" t="inlineStr">
        <is>
          <t>CY2025</t>
        </is>
      </c>
      <c r="B21" s="2" t="n">
        <v>45792</v>
      </c>
      <c r="C21" t="inlineStr">
        <is>
          <t>ACN(IE00B4BNMY34) Cash Dividend USD 1.48 per Share - IE Tax</t>
        </is>
      </c>
      <c r="D21" t="inlineStr">
        <is>
          <t>USD</t>
        </is>
      </c>
      <c r="E21" t="n">
        <v>-275.65</v>
      </c>
      <c r="F21" t="n">
        <v>-275.65</v>
      </c>
      <c r="G21" t="n">
        <v>84.25</v>
      </c>
      <c r="H21" t="n">
        <v>-23224</v>
      </c>
    </row>
    <row r="22">
      <c r="A22" t="inlineStr">
        <is>
          <t>CY2025</t>
        </is>
      </c>
      <c r="B22" s="2" t="n">
        <v>45810</v>
      </c>
      <c r="C22" t="inlineStr">
        <is>
          <t>TGT(US87612E1064) Cash Dividend USD 1.12 per Share - US Tax</t>
        </is>
      </c>
      <c r="D22" t="inlineStr">
        <is>
          <t>USD</t>
        </is>
      </c>
      <c r="E22" t="n">
        <v>-4.2</v>
      </c>
      <c r="F22" t="n">
        <v>-4.2</v>
      </c>
      <c r="G22" t="n">
        <v>85.09999999999999</v>
      </c>
      <c r="H22" t="n">
        <v>-357</v>
      </c>
    </row>
    <row r="23">
      <c r="A23" t="inlineStr">
        <is>
          <t>CY2025</t>
        </is>
      </c>
      <c r="B23" s="2" t="n">
        <v>45814</v>
      </c>
      <c r="C23" t="inlineStr">
        <is>
          <t>HON(US4385161066) Cash Dividend USD 1.13 per Share - US Tax</t>
        </is>
      </c>
      <c r="D23" t="inlineStr">
        <is>
          <t>USD</t>
        </is>
      </c>
      <c r="E23" t="n">
        <v>-3.39</v>
      </c>
      <c r="F23" t="n">
        <v>-3.39</v>
      </c>
      <c r="G23" t="n">
        <v>85.09999999999999</v>
      </c>
      <c r="H23" t="n">
        <v>-288</v>
      </c>
    </row>
    <row r="24">
      <c r="A24" t="inlineStr">
        <is>
          <t>CY2025</t>
        </is>
      </c>
      <c r="B24" s="2" t="n">
        <v>45818</v>
      </c>
      <c r="C24" t="inlineStr">
        <is>
          <t>LLY(US5324571083) Cash Dividend USD 1.50 per Share - US Tax</t>
        </is>
      </c>
      <c r="D24" t="inlineStr">
        <is>
          <t>USD</t>
        </is>
      </c>
      <c r="E24" t="n">
        <v>-1.13</v>
      </c>
      <c r="F24" t="n">
        <v>-1.13</v>
      </c>
      <c r="G24" t="n">
        <v>85.09999999999999</v>
      </c>
      <c r="H24" t="n">
        <v>-96</v>
      </c>
    </row>
    <row r="25">
      <c r="A25" t="inlineStr">
        <is>
          <t>CY2025</t>
        </is>
      </c>
      <c r="B25" s="2" t="n">
        <v>45818</v>
      </c>
      <c r="C25" t="inlineStr">
        <is>
          <t>XOM(US30231G1022) Cash Dividend USD 0.99 per Share - US Tax</t>
        </is>
      </c>
      <c r="D25" t="inlineStr">
        <is>
          <t>USD</t>
        </is>
      </c>
      <c r="E25" t="n">
        <v>-2.97</v>
      </c>
      <c r="F25" t="n">
        <v>-2.97</v>
      </c>
      <c r="G25" t="n">
        <v>85.09999999999999</v>
      </c>
      <c r="H25" t="n">
        <v>-253</v>
      </c>
    </row>
    <row r="26">
      <c r="A26" t="inlineStr">
        <is>
          <t>CY2025</t>
        </is>
      </c>
      <c r="B26" s="2" t="n">
        <v>45820</v>
      </c>
      <c r="C26" t="inlineStr">
        <is>
          <t>MSFT(US5949181045) Cash Dividend USD 0.83 per Share - US Tax</t>
        </is>
      </c>
      <c r="D26" t="inlineStr">
        <is>
          <t>USD</t>
        </is>
      </c>
      <c r="E26" t="n">
        <v>-1.25</v>
      </c>
      <c r="F26" t="n">
        <v>-1.25</v>
      </c>
      <c r="G26" t="n">
        <v>85.09999999999999</v>
      </c>
      <c r="H26" t="n">
        <v>-106</v>
      </c>
    </row>
    <row r="27">
      <c r="A27" t="inlineStr">
        <is>
          <t>CY2025</t>
        </is>
      </c>
      <c r="B27" s="2" t="n">
        <v>45828</v>
      </c>
      <c r="C27" t="inlineStr">
        <is>
          <t>EMXC(US46434G7640) Cash Dividend USD 0.711404 per Share - US Tax</t>
        </is>
      </c>
      <c r="D27" t="inlineStr">
        <is>
          <t>USD</t>
        </is>
      </c>
      <c r="E27" t="n">
        <v>-5.34</v>
      </c>
      <c r="F27" t="n">
        <v>-5.34</v>
      </c>
      <c r="G27" t="n">
        <v>85.09999999999999</v>
      </c>
      <c r="H27" t="n">
        <v>-454</v>
      </c>
    </row>
    <row r="28">
      <c r="A28" t="inlineStr">
        <is>
          <t>CY2025</t>
        </is>
      </c>
      <c r="B28" s="2" t="n">
        <v>45828</v>
      </c>
      <c r="C28" t="inlineStr">
        <is>
          <t>EMXC(US46434G7640) Cash Dividend USD 0.711404 per Share - US Tax</t>
        </is>
      </c>
      <c r="D28" t="inlineStr">
        <is>
          <t>USD</t>
        </is>
      </c>
      <c r="E28" t="n">
        <v>5.34</v>
      </c>
      <c r="F28" t="n">
        <v>5.34</v>
      </c>
      <c r="G28" t="n">
        <v>85.09999999999999</v>
      </c>
      <c r="H28" t="n">
        <v>454</v>
      </c>
    </row>
    <row r="29">
      <c r="A29" t="inlineStr">
        <is>
          <t>CY2025</t>
        </is>
      </c>
      <c r="B29" s="2" t="n">
        <v>45828</v>
      </c>
      <c r="C29" t="inlineStr">
        <is>
          <t>EMXC(US46434G7640) Cash Dividend USD 0.711404 per Share - US Tax</t>
        </is>
      </c>
      <c r="D29" t="inlineStr">
        <is>
          <t>USD</t>
        </is>
      </c>
      <c r="E29" t="n">
        <v>-5.33</v>
      </c>
      <c r="F29" t="n">
        <v>-5.33</v>
      </c>
      <c r="G29" t="n">
        <v>85.09999999999999</v>
      </c>
      <c r="H29" t="n">
        <v>-454</v>
      </c>
    </row>
    <row r="30">
      <c r="A30" t="inlineStr">
        <is>
          <t>CY2025</t>
        </is>
      </c>
      <c r="B30" s="2" t="n">
        <v>45828</v>
      </c>
      <c r="C30" t="inlineStr">
        <is>
          <t>EMXC(US46434G7640) Cash Dividend USD 0.711404 per Share - US Tax</t>
        </is>
      </c>
      <c r="D30" t="inlineStr">
        <is>
          <t>USD</t>
        </is>
      </c>
      <c r="E30" t="n">
        <v>5.33</v>
      </c>
      <c r="F30" t="n">
        <v>5.33</v>
      </c>
      <c r="G30" t="n">
        <v>85.09999999999999</v>
      </c>
      <c r="H30" t="n">
        <v>454</v>
      </c>
    </row>
    <row r="31">
      <c r="A31" t="inlineStr">
        <is>
          <t>CY2025</t>
        </is>
      </c>
      <c r="B31" s="2" t="n">
        <v>45828</v>
      </c>
      <c r="C31" t="inlineStr">
        <is>
          <t>EMXC(US46434G7640) Cash Dividend USD 0.711404 per Share - US Tax</t>
        </is>
      </c>
      <c r="D31" t="inlineStr">
        <is>
          <t>USD</t>
        </is>
      </c>
      <c r="E31" t="n">
        <v>-5.28</v>
      </c>
      <c r="F31" t="n">
        <v>-5.28</v>
      </c>
      <c r="G31" t="n">
        <v>85.09999999999999</v>
      </c>
      <c r="H31" t="n">
        <v>-449</v>
      </c>
    </row>
    <row r="32">
      <c r="A32" t="inlineStr">
        <is>
          <t>CY2025</t>
        </is>
      </c>
      <c r="B32" s="2" t="n">
        <v>45835</v>
      </c>
      <c r="C32" t="inlineStr">
        <is>
          <t>BAC(US0605051046) Cash Dividend USD 0.26 per Share - US Tax</t>
        </is>
      </c>
      <c r="D32" t="inlineStr">
        <is>
          <t>USD</t>
        </is>
      </c>
      <c r="E32" t="n">
        <v>-3.9</v>
      </c>
      <c r="F32" t="n">
        <v>-3.9</v>
      </c>
      <c r="G32" t="n">
        <v>85.09999999999999</v>
      </c>
      <c r="H32" t="n">
        <v>-332</v>
      </c>
    </row>
    <row r="33">
      <c r="A33" t="inlineStr">
        <is>
          <t>CY2025</t>
        </is>
      </c>
      <c r="B33" s="2" t="n">
        <v>45835</v>
      </c>
      <c r="C33" t="inlineStr">
        <is>
          <t>DXJ(US97717W8516) Cash Dividend USD 1.34 per Share - US Tax</t>
        </is>
      </c>
      <c r="D33" t="inlineStr">
        <is>
          <t>USD</t>
        </is>
      </c>
      <c r="E33" t="n">
        <v>-5.03</v>
      </c>
      <c r="F33" t="n">
        <v>-5.03</v>
      </c>
      <c r="G33" t="n">
        <v>85.09999999999999</v>
      </c>
      <c r="H33" t="n">
        <v>-428</v>
      </c>
    </row>
    <row r="34">
      <c r="A34" t="inlineStr">
        <is>
          <t>CY2025</t>
        </is>
      </c>
      <c r="B34" s="2" t="n">
        <v>45838</v>
      </c>
      <c r="C34" t="inlineStr">
        <is>
          <t>AVGO(US11135F1012) Cash Dividend USD 0.59 per Share - US Tax</t>
        </is>
      </c>
      <c r="D34" t="inlineStr">
        <is>
          <t>USD</t>
        </is>
      </c>
      <c r="E34" t="n">
        <v>-1.33</v>
      </c>
      <c r="F34" t="n">
        <v>-1.33</v>
      </c>
      <c r="G34" t="n">
        <v>85.09999999999999</v>
      </c>
      <c r="H34" t="n">
        <v>-113</v>
      </c>
    </row>
    <row r="35">
      <c r="A35" t="inlineStr">
        <is>
          <t>CY2025</t>
        </is>
      </c>
      <c r="B35" s="2" t="n">
        <v>45847</v>
      </c>
      <c r="C35" t="inlineStr">
        <is>
          <t>LRCX(US5128073062) Cash Dividend USD 0.23 per Share - US Tax</t>
        </is>
      </c>
      <c r="D35" t="inlineStr">
        <is>
          <t>USD</t>
        </is>
      </c>
      <c r="E35" t="n">
        <v>-1.73</v>
      </c>
      <c r="F35" t="n">
        <v>-1.73</v>
      </c>
      <c r="G35" t="n">
        <v>85.09999999999999</v>
      </c>
      <c r="H35" t="n">
        <v>-147</v>
      </c>
    </row>
    <row r="36">
      <c r="A36" t="inlineStr">
        <is>
          <t>CY2025</t>
        </is>
      </c>
      <c r="B36" s="2" t="n">
        <v>45848</v>
      </c>
      <c r="C36" t="inlineStr">
        <is>
          <t>TSM(US8740391003) Cash Dividend USD 0.780305 per Share - TW Tax</t>
        </is>
      </c>
      <c r="D36" t="inlineStr">
        <is>
          <t>USD</t>
        </is>
      </c>
      <c r="E36" t="n">
        <v>-1.47</v>
      </c>
      <c r="F36" t="n">
        <v>-1.47</v>
      </c>
      <c r="G36" t="n">
        <v>85.09999999999999</v>
      </c>
      <c r="H36" t="n">
        <v>-125</v>
      </c>
    </row>
    <row r="37">
      <c r="A37" t="inlineStr">
        <is>
          <t>CY2025</t>
        </is>
      </c>
      <c r="B37" s="2" t="n">
        <v>45863</v>
      </c>
      <c r="C37" t="inlineStr">
        <is>
          <t>GE(US3696043013) Cash Dividend USD 0.36 per Share - US Tax</t>
        </is>
      </c>
      <c r="D37" t="inlineStr">
        <is>
          <t>USD</t>
        </is>
      </c>
      <c r="E37" t="n">
        <v>-0.8100000000000001</v>
      </c>
      <c r="F37" t="n">
        <v>-0.8100000000000001</v>
      </c>
      <c r="G37" t="n">
        <v>85.09999999999999</v>
      </c>
      <c r="H37" t="n">
        <v>-69</v>
      </c>
    </row>
    <row r="38">
      <c r="A38" t="inlineStr">
        <is>
          <t>CY2025</t>
        </is>
      </c>
      <c r="B38" s="2" t="n">
        <v>45875</v>
      </c>
      <c r="C38" t="inlineStr">
        <is>
          <t>ASML(USN070592100) Cash Dividend USD 1.846784 per Share - NL Tax</t>
        </is>
      </c>
      <c r="D38" t="inlineStr">
        <is>
          <t>USD</t>
        </is>
      </c>
      <c r="E38" t="n">
        <v>-1.66</v>
      </c>
      <c r="F38" t="n">
        <v>-1.66</v>
      </c>
      <c r="G38" t="n">
        <v>87.15000000000001</v>
      </c>
      <c r="H38" t="n">
        <v>-145</v>
      </c>
    </row>
    <row r="39">
      <c r="A39" t="inlineStr">
        <is>
          <t>CY2025</t>
        </is>
      </c>
      <c r="B39" s="2" t="n">
        <v>45877</v>
      </c>
      <c r="C39" t="inlineStr">
        <is>
          <t>AXP(US0258161092) Cash Dividend USD 0.82 per Share - US Tax</t>
        </is>
      </c>
      <c r="D39" t="inlineStr">
        <is>
          <t>USD</t>
        </is>
      </c>
      <c r="E39" t="n">
        <v>-1.85</v>
      </c>
      <c r="F39" t="n">
        <v>-1.85</v>
      </c>
      <c r="G39" t="n">
        <v>87.15000000000001</v>
      </c>
      <c r="H39" t="n">
        <v>-161</v>
      </c>
    </row>
    <row r="40">
      <c r="A40" t="inlineStr">
        <is>
          <t>CY2025</t>
        </is>
      </c>
      <c r="B40" s="2" t="n">
        <v>45884</v>
      </c>
      <c r="C40" t="inlineStr">
        <is>
          <t>ACN(IE00B4BNMY34) Cash Dividend USD 1.48 per Share - IE Tax</t>
        </is>
      </c>
      <c r="D40" t="inlineStr">
        <is>
          <t>USD</t>
        </is>
      </c>
      <c r="E40" t="n">
        <v>-275.65</v>
      </c>
      <c r="F40" t="n">
        <v>-275.65</v>
      </c>
      <c r="G40" t="n">
        <v>87.15000000000001</v>
      </c>
      <c r="H40" t="n">
        <v>-24023</v>
      </c>
    </row>
    <row r="41">
      <c r="A41" t="inlineStr">
        <is>
          <t>CY2025</t>
        </is>
      </c>
      <c r="B41" s="2" t="n">
        <v>45901</v>
      </c>
      <c r="C41" t="inlineStr">
        <is>
          <t>2914.T(JP3726800000) Cash Dividend JPY 104 per Share - JP Tax</t>
        </is>
      </c>
      <c r="D41" t="inlineStr">
        <is>
          <t>JPY</t>
        </is>
      </c>
      <c r="E41" t="n">
        <v>-1593</v>
      </c>
      <c r="F41" t="n">
        <v>-10.1676</v>
      </c>
      <c r="G41" t="n">
        <v>87.7</v>
      </c>
      <c r="H41" t="n">
        <v>-892</v>
      </c>
    </row>
    <row r="42">
      <c r="A42" t="inlineStr">
        <is>
          <t>CY2025</t>
        </is>
      </c>
      <c r="B42" s="2" t="n">
        <v>45910</v>
      </c>
      <c r="C42" t="inlineStr">
        <is>
          <t>XOM(US30231G1022) Cash Dividend USD 0.99 per Share - US Tax</t>
        </is>
      </c>
      <c r="D42" t="inlineStr">
        <is>
          <t>USD</t>
        </is>
      </c>
      <c r="E42" t="n">
        <v>-2.97</v>
      </c>
      <c r="F42" t="n">
        <v>-2.97</v>
      </c>
      <c r="G42" t="n">
        <v>87.7</v>
      </c>
      <c r="H42" t="n">
        <v>-260</v>
      </c>
    </row>
    <row r="43">
      <c r="A43" t="inlineStr">
        <is>
          <t>CY2025</t>
        </is>
      </c>
      <c r="B43" s="2" t="n">
        <v>45967</v>
      </c>
      <c r="C43" t="inlineStr">
        <is>
          <t>ASML(USN070592100) Cash Dividend USD 1.864032 per Share - NL Tax</t>
        </is>
      </c>
      <c r="D43" t="inlineStr">
        <is>
          <t>USD</t>
        </is>
      </c>
      <c r="E43" t="n">
        <v>-1.68</v>
      </c>
      <c r="F43" t="n">
        <v>-1.68</v>
      </c>
      <c r="G43" t="n">
        <v>88.2</v>
      </c>
      <c r="H43" t="n">
        <v>-148</v>
      </c>
    </row>
    <row r="44">
      <c r="A44" t="inlineStr">
        <is>
          <t>CY2025</t>
        </is>
      </c>
      <c r="B44" s="2" t="n">
        <v>45975</v>
      </c>
      <c r="C44" t="inlineStr">
        <is>
          <t>ACN(IE00B4BNMY34) Cash Dividend USD 1.63 per Share - IE Tax</t>
        </is>
      </c>
      <c r="D44" t="inlineStr">
        <is>
          <t>USD</t>
        </is>
      </c>
      <c r="E44" t="n">
        <v>-303.59</v>
      </c>
      <c r="F44" t="n">
        <v>-303.59</v>
      </c>
      <c r="G44" t="n">
        <v>88.2</v>
      </c>
      <c r="H44" t="n">
        <v>-26777</v>
      </c>
    </row>
    <row r="45">
      <c r="A45" t="inlineStr">
        <is>
          <t>CY2025</t>
        </is>
      </c>
      <c r="B45" s="2" t="n">
        <v>45987</v>
      </c>
      <c r="C45" t="inlineStr">
        <is>
          <t>7203.T(JP3633400001) Cash Dividend JPY 45 per Share - JP Tax</t>
        </is>
      </c>
      <c r="D45" t="inlineStr">
        <is>
          <t>JPY</t>
        </is>
      </c>
      <c r="E45" t="n">
        <v>-689</v>
      </c>
      <c r="F45" t="n">
        <v>-4.3977</v>
      </c>
      <c r="G45" t="n">
        <v>88.2</v>
      </c>
      <c r="H45" t="n">
        <v>-388</v>
      </c>
    </row>
    <row r="46">
      <c r="A46" t="inlineStr">
        <is>
          <t>CY2025</t>
        </is>
      </c>
      <c r="B46" s="2" t="n">
        <v>46001</v>
      </c>
      <c r="C46" t="inlineStr">
        <is>
          <t>4568.T(JP3475350009) Cash Dividend JPY 39 per Share - JP Tax</t>
        </is>
      </c>
      <c r="D46" t="inlineStr">
        <is>
          <t>JPY</t>
        </is>
      </c>
      <c r="E46" t="n">
        <v>-597</v>
      </c>
      <c r="F46" t="n">
        <v>-3.8105</v>
      </c>
      <c r="G46" t="n">
        <v>88.95</v>
      </c>
      <c r="H46" t="n">
        <v>-339</v>
      </c>
    </row>
    <row r="47">
      <c r="A47" t="inlineStr">
        <is>
          <t>CY2025</t>
        </is>
      </c>
      <c r="B47" s="2" t="n">
        <v>46001</v>
      </c>
      <c r="C47" t="inlineStr">
        <is>
          <t>XOM(US30231G1022) Cash Dividend USD 1.03 per Share - US Tax</t>
        </is>
      </c>
      <c r="D47" t="inlineStr">
        <is>
          <t>USD</t>
        </is>
      </c>
      <c r="E47" t="n">
        <v>-3.09</v>
      </c>
      <c r="F47" t="n">
        <v>-3.09</v>
      </c>
      <c r="G47" t="n">
        <v>88.95</v>
      </c>
      <c r="H47" t="n">
        <v>-275</v>
      </c>
    </row>
    <row r="48">
      <c r="A48" t="inlineStr">
        <is>
          <t>FY2025-26</t>
        </is>
      </c>
      <c r="B48" s="2" t="n">
        <v>45901</v>
      </c>
      <c r="C48" t="inlineStr">
        <is>
          <t>2914.T(JP3726800000) Cash Dividend JPY 104 per Share - JP Tax</t>
        </is>
      </c>
      <c r="D48" t="inlineStr">
        <is>
          <t>JPY</t>
        </is>
      </c>
      <c r="E48" t="n">
        <v>-1593</v>
      </c>
      <c r="F48" t="n">
        <v>-10.1676</v>
      </c>
      <c r="G48" t="n">
        <v>87.7</v>
      </c>
      <c r="H48" t="n">
        <v>-892</v>
      </c>
    </row>
    <row r="49">
      <c r="A49" t="inlineStr">
        <is>
          <t>FY2025-26</t>
        </is>
      </c>
      <c r="B49" s="2" t="n">
        <v>45987</v>
      </c>
      <c r="C49" t="inlineStr">
        <is>
          <t>7203.T(JP3633400001) Cash Dividend JPY 45 per Share - JP Tax</t>
        </is>
      </c>
      <c r="D49" t="inlineStr">
        <is>
          <t>JPY</t>
        </is>
      </c>
      <c r="E49" t="n">
        <v>-689</v>
      </c>
      <c r="F49" t="n">
        <v>-4.3977</v>
      </c>
      <c r="G49" t="n">
        <v>88.2</v>
      </c>
      <c r="H49" t="n">
        <v>-388</v>
      </c>
    </row>
    <row r="50">
      <c r="A50" t="inlineStr">
        <is>
          <t>FY2025-26</t>
        </is>
      </c>
      <c r="B50" s="2" t="n">
        <v>46001</v>
      </c>
      <c r="C50" t="inlineStr">
        <is>
          <t>4568.T(JP3475350009) Cash Dividend JPY 39 per Share - JP Tax</t>
        </is>
      </c>
      <c r="D50" t="inlineStr">
        <is>
          <t>JPY</t>
        </is>
      </c>
      <c r="E50" t="n">
        <v>-597</v>
      </c>
      <c r="F50" t="n">
        <v>-3.8105</v>
      </c>
      <c r="G50" t="n">
        <v>88.95</v>
      </c>
      <c r="H50" t="n">
        <v>-339</v>
      </c>
    </row>
    <row r="51">
      <c r="A51" t="inlineStr">
        <is>
          <t>FY2025-26</t>
        </is>
      </c>
      <c r="B51" s="2" t="n">
        <v>46107</v>
      </c>
      <c r="C51" t="inlineStr">
        <is>
          <t>2914.T(JP3726800000) Cash Dividend JPY 130 per Share - JP Tax</t>
        </is>
      </c>
      <c r="D51" t="inlineStr">
        <is>
          <t>JPY</t>
        </is>
      </c>
      <c r="E51" t="n">
        <v>-1991</v>
      </c>
      <c r="F51" t="n">
        <v>-12.708</v>
      </c>
      <c r="G51" t="n">
        <v>90.56</v>
      </c>
      <c r="H51" t="n">
        <v>-1151</v>
      </c>
    </row>
    <row r="52">
      <c r="A52" t="inlineStr">
        <is>
          <t>FY2025-26</t>
        </is>
      </c>
      <c r="B52" s="2" t="n">
        <v>45756</v>
      </c>
      <c r="C52" t="inlineStr">
        <is>
          <t>LRCX(US5128073062) Cash Dividend USD 0.23 per Share - US Tax</t>
        </is>
      </c>
      <c r="D52" t="inlineStr">
        <is>
          <t>USD</t>
        </is>
      </c>
      <c r="E52" t="n">
        <v>-1.73</v>
      </c>
      <c r="F52" t="n">
        <v>-1.73</v>
      </c>
      <c r="G52" t="n">
        <v>85.09999999999999</v>
      </c>
      <c r="H52" t="n">
        <v>-147</v>
      </c>
    </row>
    <row r="53">
      <c r="A53" t="inlineStr">
        <is>
          <t>FY2025-26</t>
        </is>
      </c>
      <c r="B53" s="2" t="n">
        <v>45757</v>
      </c>
      <c r="C53" t="inlineStr">
        <is>
          <t>TSM(US8740391003) Cash Dividend USD 0.677693 per Share - TW Tax</t>
        </is>
      </c>
      <c r="D53" t="inlineStr">
        <is>
          <t>USD</t>
        </is>
      </c>
      <c r="E53" t="n">
        <v>-1.28</v>
      </c>
      <c r="F53" t="n">
        <v>-1.28</v>
      </c>
      <c r="G53" t="n">
        <v>85.09999999999999</v>
      </c>
      <c r="H53" t="n">
        <v>-109</v>
      </c>
    </row>
    <row r="54">
      <c r="A54" t="inlineStr">
        <is>
          <t>FY2025-26</t>
        </is>
      </c>
      <c r="B54" s="2" t="n">
        <v>45772</v>
      </c>
      <c r="C54" t="inlineStr">
        <is>
          <t>GE(US3696043013) Cash Dividend USD 0.36 per Share - US Tax</t>
        </is>
      </c>
      <c r="D54" t="inlineStr">
        <is>
          <t>USD</t>
        </is>
      </c>
      <c r="E54" t="n">
        <v>-0.8100000000000001</v>
      </c>
      <c r="F54" t="n">
        <v>-0.8100000000000001</v>
      </c>
      <c r="G54" t="n">
        <v>85.09999999999999</v>
      </c>
      <c r="H54" t="n">
        <v>-69</v>
      </c>
    </row>
    <row r="55">
      <c r="A55" t="inlineStr">
        <is>
          <t>FY2025-26</t>
        </is>
      </c>
      <c r="B55" s="2" t="n">
        <v>45783</v>
      </c>
      <c r="C55" t="inlineStr">
        <is>
          <t>ASML(USN070592100) Cash Dividend USD 2.090608 per Share - NL Tax</t>
        </is>
      </c>
      <c r="D55" t="inlineStr">
        <is>
          <t>USD</t>
        </is>
      </c>
      <c r="E55" t="n">
        <v>-1.88</v>
      </c>
      <c r="F55" t="n">
        <v>-1.88</v>
      </c>
      <c r="G55" t="n">
        <v>84.25</v>
      </c>
      <c r="H55" t="n">
        <v>-158</v>
      </c>
    </row>
    <row r="56">
      <c r="A56" t="inlineStr">
        <is>
          <t>FY2025-26</t>
        </is>
      </c>
      <c r="B56" s="2" t="n">
        <v>45786</v>
      </c>
      <c r="C56" t="inlineStr">
        <is>
          <t>AXP(US0258161092) Cash Dividend USD 0.82 per Share - US Tax</t>
        </is>
      </c>
      <c r="D56" t="inlineStr">
        <is>
          <t>USD</t>
        </is>
      </c>
      <c r="E56" t="n">
        <v>-1.85</v>
      </c>
      <c r="F56" t="n">
        <v>-1.85</v>
      </c>
      <c r="G56" t="n">
        <v>84.25</v>
      </c>
      <c r="H56" t="n">
        <v>-156</v>
      </c>
    </row>
    <row r="57">
      <c r="A57" t="inlineStr">
        <is>
          <t>FY2025-26</t>
        </is>
      </c>
      <c r="B57" s="2" t="n">
        <v>45792</v>
      </c>
      <c r="C57" t="inlineStr">
        <is>
          <t>ACN(IE00B4BNMY34) Cash Dividend USD 1.48 per Share - IE Tax</t>
        </is>
      </c>
      <c r="D57" t="inlineStr">
        <is>
          <t>USD</t>
        </is>
      </c>
      <c r="E57" t="n">
        <v>-275.65</v>
      </c>
      <c r="F57" t="n">
        <v>-275.65</v>
      </c>
      <c r="G57" t="n">
        <v>84.25</v>
      </c>
      <c r="H57" t="n">
        <v>-23224</v>
      </c>
    </row>
    <row r="58">
      <c r="A58" t="inlineStr">
        <is>
          <t>FY2025-26</t>
        </is>
      </c>
      <c r="B58" s="2" t="n">
        <v>45810</v>
      </c>
      <c r="C58" t="inlineStr">
        <is>
          <t>TGT(US87612E1064) Cash Dividend USD 1.12 per Share - US Tax</t>
        </is>
      </c>
      <c r="D58" t="inlineStr">
        <is>
          <t>USD</t>
        </is>
      </c>
      <c r="E58" t="n">
        <v>-4.2</v>
      </c>
      <c r="F58" t="n">
        <v>-4.2</v>
      </c>
      <c r="G58" t="n">
        <v>85.09999999999999</v>
      </c>
      <c r="H58" t="n">
        <v>-357</v>
      </c>
    </row>
    <row r="59">
      <c r="A59" t="inlineStr">
        <is>
          <t>FY2025-26</t>
        </is>
      </c>
      <c r="B59" s="2" t="n">
        <v>45814</v>
      </c>
      <c r="C59" t="inlineStr">
        <is>
          <t>HON(US4385161066) Cash Dividend USD 1.13 per Share - US Tax</t>
        </is>
      </c>
      <c r="D59" t="inlineStr">
        <is>
          <t>USD</t>
        </is>
      </c>
      <c r="E59" t="n">
        <v>-3.39</v>
      </c>
      <c r="F59" t="n">
        <v>-3.39</v>
      </c>
      <c r="G59" t="n">
        <v>85.09999999999999</v>
      </c>
      <c r="H59" t="n">
        <v>-288</v>
      </c>
    </row>
    <row r="60">
      <c r="A60" t="inlineStr">
        <is>
          <t>FY2025-26</t>
        </is>
      </c>
      <c r="B60" s="2" t="n">
        <v>45818</v>
      </c>
      <c r="C60" t="inlineStr">
        <is>
          <t>LLY(US5324571083) Cash Dividend USD 1.50 per Share - US Tax</t>
        </is>
      </c>
      <c r="D60" t="inlineStr">
        <is>
          <t>USD</t>
        </is>
      </c>
      <c r="E60" t="n">
        <v>-1.13</v>
      </c>
      <c r="F60" t="n">
        <v>-1.13</v>
      </c>
      <c r="G60" t="n">
        <v>85.09999999999999</v>
      </c>
      <c r="H60" t="n">
        <v>-96</v>
      </c>
    </row>
    <row r="61">
      <c r="A61" t="inlineStr">
        <is>
          <t>FY2025-26</t>
        </is>
      </c>
      <c r="B61" s="2" t="n">
        <v>45818</v>
      </c>
      <c r="C61" t="inlineStr">
        <is>
          <t>XOM(US30231G1022) Cash Dividend USD 0.99 per Share - US Tax</t>
        </is>
      </c>
      <c r="D61" t="inlineStr">
        <is>
          <t>USD</t>
        </is>
      </c>
      <c r="E61" t="n">
        <v>-2.97</v>
      </c>
      <c r="F61" t="n">
        <v>-2.97</v>
      </c>
      <c r="G61" t="n">
        <v>85.09999999999999</v>
      </c>
      <c r="H61" t="n">
        <v>-253</v>
      </c>
    </row>
    <row r="62">
      <c r="A62" t="inlineStr">
        <is>
          <t>FY2025-26</t>
        </is>
      </c>
      <c r="B62" s="2" t="n">
        <v>45820</v>
      </c>
      <c r="C62" t="inlineStr">
        <is>
          <t>MSFT(US5949181045) Cash Dividend USD 0.83 per Share - US Tax</t>
        </is>
      </c>
      <c r="D62" t="inlineStr">
        <is>
          <t>USD</t>
        </is>
      </c>
      <c r="E62" t="n">
        <v>-1.25</v>
      </c>
      <c r="F62" t="n">
        <v>-1.25</v>
      </c>
      <c r="G62" t="n">
        <v>85.09999999999999</v>
      </c>
      <c r="H62" t="n">
        <v>-106</v>
      </c>
    </row>
    <row r="63">
      <c r="A63" t="inlineStr">
        <is>
          <t>FY2025-26</t>
        </is>
      </c>
      <c r="B63" s="2" t="n">
        <v>45828</v>
      </c>
      <c r="C63" t="inlineStr">
        <is>
          <t>EMXC(US46434G7640) Cash Dividend USD 0.711404 per Share - US Tax</t>
        </is>
      </c>
      <c r="D63" t="inlineStr">
        <is>
          <t>USD</t>
        </is>
      </c>
      <c r="E63" t="n">
        <v>-5.34</v>
      </c>
      <c r="F63" t="n">
        <v>-5.34</v>
      </c>
      <c r="G63" t="n">
        <v>85.09999999999999</v>
      </c>
      <c r="H63" t="n">
        <v>-454</v>
      </c>
    </row>
    <row r="64">
      <c r="A64" t="inlineStr">
        <is>
          <t>FY2025-26</t>
        </is>
      </c>
      <c r="B64" s="2" t="n">
        <v>45828</v>
      </c>
      <c r="C64" t="inlineStr">
        <is>
          <t>EMXC(US46434G7640) Cash Dividend USD 0.711404 per Share - US Tax</t>
        </is>
      </c>
      <c r="D64" t="inlineStr">
        <is>
          <t>USD</t>
        </is>
      </c>
      <c r="E64" t="n">
        <v>5.34</v>
      </c>
      <c r="F64" t="n">
        <v>5.34</v>
      </c>
      <c r="G64" t="n">
        <v>85.09999999999999</v>
      </c>
      <c r="H64" t="n">
        <v>454</v>
      </c>
    </row>
    <row r="65">
      <c r="A65" t="inlineStr">
        <is>
          <t>FY2025-26</t>
        </is>
      </c>
      <c r="B65" s="2" t="n">
        <v>45828</v>
      </c>
      <c r="C65" t="inlineStr">
        <is>
          <t>EMXC(US46434G7640) Cash Dividend USD 0.711404 per Share - US Tax</t>
        </is>
      </c>
      <c r="D65" t="inlineStr">
        <is>
          <t>USD</t>
        </is>
      </c>
      <c r="E65" t="n">
        <v>-5.33</v>
      </c>
      <c r="F65" t="n">
        <v>-5.33</v>
      </c>
      <c r="G65" t="n">
        <v>85.09999999999999</v>
      </c>
      <c r="H65" t="n">
        <v>-454</v>
      </c>
    </row>
    <row r="66">
      <c r="A66" t="inlineStr">
        <is>
          <t>FY2025-26</t>
        </is>
      </c>
      <c r="B66" s="2" t="n">
        <v>45828</v>
      </c>
      <c r="C66" t="inlineStr">
        <is>
          <t>EMXC(US46434G7640) Cash Dividend USD 0.711404 per Share - US Tax</t>
        </is>
      </c>
      <c r="D66" t="inlineStr">
        <is>
          <t>USD</t>
        </is>
      </c>
      <c r="E66" t="n">
        <v>5.33</v>
      </c>
      <c r="F66" t="n">
        <v>5.33</v>
      </c>
      <c r="G66" t="n">
        <v>85.09999999999999</v>
      </c>
      <c r="H66" t="n">
        <v>454</v>
      </c>
    </row>
    <row r="67">
      <c r="A67" t="inlineStr">
        <is>
          <t>FY2025-26</t>
        </is>
      </c>
      <c r="B67" s="2" t="n">
        <v>45828</v>
      </c>
      <c r="C67" t="inlineStr">
        <is>
          <t>EMXC(US46434G7640) Cash Dividend USD 0.711404 per Share - US Tax</t>
        </is>
      </c>
      <c r="D67" t="inlineStr">
        <is>
          <t>USD</t>
        </is>
      </c>
      <c r="E67" t="n">
        <v>-5.28</v>
      </c>
      <c r="F67" t="n">
        <v>-5.28</v>
      </c>
      <c r="G67" t="n">
        <v>85.09999999999999</v>
      </c>
      <c r="H67" t="n">
        <v>-449</v>
      </c>
    </row>
    <row r="68">
      <c r="A68" t="inlineStr">
        <is>
          <t>FY2025-26</t>
        </is>
      </c>
      <c r="B68" s="2" t="n">
        <v>45835</v>
      </c>
      <c r="C68" t="inlineStr">
        <is>
          <t>BAC(US0605051046) Cash Dividend USD 0.26 per Share - US Tax</t>
        </is>
      </c>
      <c r="D68" t="inlineStr">
        <is>
          <t>USD</t>
        </is>
      </c>
      <c r="E68" t="n">
        <v>-3.9</v>
      </c>
      <c r="F68" t="n">
        <v>-3.9</v>
      </c>
      <c r="G68" t="n">
        <v>85.09999999999999</v>
      </c>
      <c r="H68" t="n">
        <v>-332</v>
      </c>
    </row>
    <row r="69">
      <c r="A69" t="inlineStr">
        <is>
          <t>FY2025-26</t>
        </is>
      </c>
      <c r="B69" s="2" t="n">
        <v>45835</v>
      </c>
      <c r="C69" t="inlineStr">
        <is>
          <t>DXJ(US97717W8516) Cash Dividend USD 1.34 per Share - US Tax</t>
        </is>
      </c>
      <c r="D69" t="inlineStr">
        <is>
          <t>USD</t>
        </is>
      </c>
      <c r="E69" t="n">
        <v>-5.03</v>
      </c>
      <c r="F69" t="n">
        <v>-5.03</v>
      </c>
      <c r="G69" t="n">
        <v>85.09999999999999</v>
      </c>
      <c r="H69" t="n">
        <v>-428</v>
      </c>
    </row>
    <row r="70">
      <c r="A70" t="inlineStr">
        <is>
          <t>FY2025-26</t>
        </is>
      </c>
      <c r="B70" s="2" t="n">
        <v>45838</v>
      </c>
      <c r="C70" t="inlineStr">
        <is>
          <t>AVGO(US11135F1012) Cash Dividend USD 0.59 per Share - US Tax</t>
        </is>
      </c>
      <c r="D70" t="inlineStr">
        <is>
          <t>USD</t>
        </is>
      </c>
      <c r="E70" t="n">
        <v>-1.33</v>
      </c>
      <c r="F70" t="n">
        <v>-1.33</v>
      </c>
      <c r="G70" t="n">
        <v>85.09999999999999</v>
      </c>
      <c r="H70" t="n">
        <v>-113</v>
      </c>
    </row>
    <row r="71">
      <c r="A71" t="inlineStr">
        <is>
          <t>FY2025-26</t>
        </is>
      </c>
      <c r="B71" s="2" t="n">
        <v>45847</v>
      </c>
      <c r="C71" t="inlineStr">
        <is>
          <t>LRCX(US5128073062) Cash Dividend USD 0.23 per Share - US Tax</t>
        </is>
      </c>
      <c r="D71" t="inlineStr">
        <is>
          <t>USD</t>
        </is>
      </c>
      <c r="E71" t="n">
        <v>-1.73</v>
      </c>
      <c r="F71" t="n">
        <v>-1.73</v>
      </c>
      <c r="G71" t="n">
        <v>85.09999999999999</v>
      </c>
      <c r="H71" t="n">
        <v>-147</v>
      </c>
    </row>
    <row r="72">
      <c r="A72" t="inlineStr">
        <is>
          <t>FY2025-26</t>
        </is>
      </c>
      <c r="B72" s="2" t="n">
        <v>45848</v>
      </c>
      <c r="C72" t="inlineStr">
        <is>
          <t>TSM(US8740391003) Cash Dividend USD 0.780305 per Share - TW Tax</t>
        </is>
      </c>
      <c r="D72" t="inlineStr">
        <is>
          <t>USD</t>
        </is>
      </c>
      <c r="E72" t="n">
        <v>-1.47</v>
      </c>
      <c r="F72" t="n">
        <v>-1.47</v>
      </c>
      <c r="G72" t="n">
        <v>85.09999999999999</v>
      </c>
      <c r="H72" t="n">
        <v>-125</v>
      </c>
    </row>
    <row r="73">
      <c r="A73" t="inlineStr">
        <is>
          <t>FY2025-26</t>
        </is>
      </c>
      <c r="B73" s="2" t="n">
        <v>45863</v>
      </c>
      <c r="C73" t="inlineStr">
        <is>
          <t>GE(US3696043013) Cash Dividend USD 0.36 per Share - US Tax</t>
        </is>
      </c>
      <c r="D73" t="inlineStr">
        <is>
          <t>USD</t>
        </is>
      </c>
      <c r="E73" t="n">
        <v>-0.8100000000000001</v>
      </c>
      <c r="F73" t="n">
        <v>-0.8100000000000001</v>
      </c>
      <c r="G73" t="n">
        <v>85.09999999999999</v>
      </c>
      <c r="H73" t="n">
        <v>-69</v>
      </c>
    </row>
    <row r="74">
      <c r="A74" t="inlineStr">
        <is>
          <t>FY2025-26</t>
        </is>
      </c>
      <c r="B74" s="2" t="n">
        <v>45875</v>
      </c>
      <c r="C74" t="inlineStr">
        <is>
          <t>ASML(USN070592100) Cash Dividend USD 1.846784 per Share - NL Tax</t>
        </is>
      </c>
      <c r="D74" t="inlineStr">
        <is>
          <t>USD</t>
        </is>
      </c>
      <c r="E74" t="n">
        <v>-1.66</v>
      </c>
      <c r="F74" t="n">
        <v>-1.66</v>
      </c>
      <c r="G74" t="n">
        <v>87.15000000000001</v>
      </c>
      <c r="H74" t="n">
        <v>-145</v>
      </c>
    </row>
    <row r="75">
      <c r="A75" t="inlineStr">
        <is>
          <t>FY2025-26</t>
        </is>
      </c>
      <c r="B75" s="2" t="n">
        <v>45877</v>
      </c>
      <c r="C75" t="inlineStr">
        <is>
          <t>AXP(US0258161092) Cash Dividend USD 0.82 per Share - US Tax</t>
        </is>
      </c>
      <c r="D75" t="inlineStr">
        <is>
          <t>USD</t>
        </is>
      </c>
      <c r="E75" t="n">
        <v>-1.85</v>
      </c>
      <c r="F75" t="n">
        <v>-1.85</v>
      </c>
      <c r="G75" t="n">
        <v>87.15000000000001</v>
      </c>
      <c r="H75" t="n">
        <v>-161</v>
      </c>
    </row>
    <row r="76">
      <c r="A76" t="inlineStr">
        <is>
          <t>FY2025-26</t>
        </is>
      </c>
      <c r="B76" s="2" t="n">
        <v>45884</v>
      </c>
      <c r="C76" t="inlineStr">
        <is>
          <t>ACN(IE00B4BNMY34) Cash Dividend USD 1.48 per Share - IE Tax</t>
        </is>
      </c>
      <c r="D76" t="inlineStr">
        <is>
          <t>USD</t>
        </is>
      </c>
      <c r="E76" t="n">
        <v>-275.65</v>
      </c>
      <c r="F76" t="n">
        <v>-275.65</v>
      </c>
      <c r="G76" t="n">
        <v>87.15000000000001</v>
      </c>
      <c r="H76" t="n">
        <v>-24023</v>
      </c>
    </row>
    <row r="77">
      <c r="A77" t="inlineStr">
        <is>
          <t>FY2025-26</t>
        </is>
      </c>
      <c r="B77" s="2" t="n">
        <v>45910</v>
      </c>
      <c r="C77" t="inlineStr">
        <is>
          <t>XOM(US30231G1022) Cash Dividend USD 0.99 per Share - US Tax</t>
        </is>
      </c>
      <c r="D77" t="inlineStr">
        <is>
          <t>USD</t>
        </is>
      </c>
      <c r="E77" t="n">
        <v>-2.97</v>
      </c>
      <c r="F77" t="n">
        <v>-2.97</v>
      </c>
      <c r="G77" t="n">
        <v>87.7</v>
      </c>
      <c r="H77" t="n">
        <v>-260</v>
      </c>
    </row>
    <row r="78">
      <c r="A78" t="inlineStr">
        <is>
          <t>FY2025-26</t>
        </is>
      </c>
      <c r="B78" s="2" t="n">
        <v>45967</v>
      </c>
      <c r="C78" t="inlineStr">
        <is>
          <t>ASML(USN070592100) Cash Dividend USD 1.864032 per Share - NL Tax</t>
        </is>
      </c>
      <c r="D78" t="inlineStr">
        <is>
          <t>USD</t>
        </is>
      </c>
      <c r="E78" t="n">
        <v>-1.68</v>
      </c>
      <c r="F78" t="n">
        <v>-1.68</v>
      </c>
      <c r="G78" t="n">
        <v>88.2</v>
      </c>
      <c r="H78" t="n">
        <v>-148</v>
      </c>
    </row>
    <row r="79">
      <c r="A79" t="inlineStr">
        <is>
          <t>FY2025-26</t>
        </is>
      </c>
      <c r="B79" s="2" t="n">
        <v>45975</v>
      </c>
      <c r="C79" t="inlineStr">
        <is>
          <t>ACN(IE00B4BNMY34) Cash Dividend USD 1.63 per Share - IE Tax</t>
        </is>
      </c>
      <c r="D79" t="inlineStr">
        <is>
          <t>USD</t>
        </is>
      </c>
      <c r="E79" t="n">
        <v>-303.59</v>
      </c>
      <c r="F79" t="n">
        <v>-303.59</v>
      </c>
      <c r="G79" t="n">
        <v>88.2</v>
      </c>
      <c r="H79" t="n">
        <v>-26777</v>
      </c>
    </row>
    <row r="80">
      <c r="A80" t="inlineStr">
        <is>
          <t>FY2025-26</t>
        </is>
      </c>
      <c r="B80" s="2" t="n">
        <v>46001</v>
      </c>
      <c r="C80" t="inlineStr">
        <is>
          <t>XOM(US30231G1022) Cash Dividend USD 1.03 per Share - US Tax</t>
        </is>
      </c>
      <c r="D80" t="inlineStr">
        <is>
          <t>USD</t>
        </is>
      </c>
      <c r="E80" t="n">
        <v>-3.09</v>
      </c>
      <c r="F80" t="n">
        <v>-3.09</v>
      </c>
      <c r="G80" t="n">
        <v>88.95</v>
      </c>
      <c r="H80" t="n">
        <v>-275</v>
      </c>
    </row>
    <row r="81">
      <c r="A81" t="inlineStr">
        <is>
          <t>FY2025-26</t>
        </is>
      </c>
      <c r="B81" s="2" t="n">
        <v>46066</v>
      </c>
      <c r="C81" t="inlineStr">
        <is>
          <t>ACN(IE00B4BNMY34) Cash Dividend USD 1.63 per Share - IE Tax</t>
        </is>
      </c>
      <c r="D81" t="inlineStr">
        <is>
          <t>USD</t>
        </is>
      </c>
      <c r="E81" t="n">
        <v>-303.59</v>
      </c>
      <c r="F81" t="n">
        <v>-303.59</v>
      </c>
      <c r="G81" t="n">
        <v>91.34999999999999</v>
      </c>
      <c r="H81" t="n">
        <v>-27733</v>
      </c>
    </row>
    <row r="82">
      <c r="A82" t="inlineStr">
        <is>
          <t>FY2025-26</t>
        </is>
      </c>
      <c r="B82" s="2" t="n">
        <v>46071</v>
      </c>
      <c r="C82" t="inlineStr">
        <is>
          <t>ASML(USN070592100) Cash Dividend USD 1.9064 per Share - NL Tax</t>
        </is>
      </c>
      <c r="D82" t="inlineStr">
        <is>
          <t>USD</t>
        </is>
      </c>
      <c r="E82" t="n">
        <v>-1.72</v>
      </c>
      <c r="F82" t="n">
        <v>-1.72</v>
      </c>
      <c r="G82" t="n">
        <v>91.34999999999999</v>
      </c>
      <c r="H82" t="n">
        <v>-157</v>
      </c>
    </row>
    <row r="83">
      <c r="A83" t="inlineStr">
        <is>
          <t>FY2025-26</t>
        </is>
      </c>
      <c r="B83" s="2" t="n">
        <v>46091</v>
      </c>
      <c r="C83" t="inlineStr">
        <is>
          <t>XOM(US30231G1022) Cash Dividend USD 1.03 per Share - US Tax</t>
        </is>
      </c>
      <c r="D83" t="inlineStr">
        <is>
          <t>USD</t>
        </is>
      </c>
      <c r="E83" t="n">
        <v>-3.09</v>
      </c>
      <c r="F83" t="n">
        <v>-3.09</v>
      </c>
      <c r="G83" t="n">
        <v>90.56</v>
      </c>
      <c r="H83" t="n">
        <v>-280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AVGO</t>
        </is>
      </c>
      <c r="B5" t="inlineStr">
        <is>
          <t>USD</t>
        </is>
      </c>
      <c r="C5" t="n">
        <v>9</v>
      </c>
      <c r="D5" s="2" t="n">
        <v>45545</v>
      </c>
      <c r="E5" s="2" t="n">
        <v>45863</v>
      </c>
      <c r="F5">
        <f>E5-D5</f>
        <v/>
      </c>
      <c r="G5">
        <f>IF(F5&gt;730,"LTCG","STCG")</f>
        <v/>
      </c>
      <c r="H5" s="3" t="n">
        <v>2600.82</v>
      </c>
      <c r="I5" s="3" t="n">
        <v>1305.64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83.5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AXP</t>
        </is>
      </c>
      <c r="B6" t="inlineStr">
        <is>
          <t>USD</t>
        </is>
      </c>
      <c r="C6" t="n">
        <v>9</v>
      </c>
      <c r="D6" s="2" t="n">
        <v>45545</v>
      </c>
      <c r="E6" s="2" t="n">
        <v>45863</v>
      </c>
      <c r="F6">
        <f>E6-D6</f>
        <v/>
      </c>
      <c r="G6">
        <f>IF(F6&gt;730,"LTCG","STCG")</f>
        <v/>
      </c>
      <c r="H6" s="3" t="n">
        <v>2789.91</v>
      </c>
      <c r="I6" s="3" t="n">
        <v>2192.5</v>
      </c>
      <c r="J6" s="3" t="n">
        <v>1</v>
      </c>
      <c r="K6" s="3" t="n">
        <v>1</v>
      </c>
      <c r="L6">
        <f>H6*K6</f>
        <v/>
      </c>
      <c r="M6">
        <f>I6*K6</f>
        <v/>
      </c>
      <c r="N6" s="3" t="n">
        <v>85.09999999999999</v>
      </c>
      <c r="O6" s="3" t="n">
        <v>83.5</v>
      </c>
      <c r="P6" s="3" t="n">
        <v>85.09999999999999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BAC</t>
        </is>
      </c>
      <c r="B7" t="inlineStr">
        <is>
          <t>USD</t>
        </is>
      </c>
      <c r="C7" t="n">
        <v>60</v>
      </c>
      <c r="D7" s="2" t="n">
        <v>45545</v>
      </c>
      <c r="E7" s="2" t="n">
        <v>45863</v>
      </c>
      <c r="F7">
        <f>E7-D7</f>
        <v/>
      </c>
      <c r="G7">
        <f>IF(F7&gt;730,"LTCG","STCG")</f>
        <v/>
      </c>
      <c r="H7" s="3" t="n">
        <v>2893.84</v>
      </c>
      <c r="I7" s="3" t="n">
        <v>2329</v>
      </c>
      <c r="J7" s="3" t="n">
        <v>1.01</v>
      </c>
      <c r="K7" s="3" t="n">
        <v>1</v>
      </c>
      <c r="L7">
        <f>H7*K7</f>
        <v/>
      </c>
      <c r="M7">
        <f>I7*K7</f>
        <v/>
      </c>
      <c r="N7" s="3" t="n">
        <v>85.09999999999999</v>
      </c>
      <c r="O7" s="3" t="n">
        <v>83.5</v>
      </c>
      <c r="P7" s="3" t="n">
        <v>85.09999999999999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BLBD</t>
        </is>
      </c>
      <c r="B8" t="inlineStr">
        <is>
          <t>USD</t>
        </is>
      </c>
      <c r="C8" t="n">
        <v>24</v>
      </c>
      <c r="D8" s="2" t="n">
        <v>45568</v>
      </c>
      <c r="E8" s="2" t="n">
        <v>45863</v>
      </c>
      <c r="F8">
        <f>E8-D8</f>
        <v/>
      </c>
      <c r="G8">
        <f>IF(F8&gt;730,"LTCG","STCG")</f>
        <v/>
      </c>
      <c r="H8" s="3" t="n">
        <v>1094.16</v>
      </c>
      <c r="I8" s="3" t="n">
        <v>1065.4</v>
      </c>
      <c r="J8" s="3" t="n">
        <v>1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83.3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DXJ</t>
        </is>
      </c>
      <c r="B9" t="inlineStr">
        <is>
          <t>USD</t>
        </is>
      </c>
      <c r="C9" t="n">
        <v>15</v>
      </c>
      <c r="D9" s="2" t="n">
        <v>45545</v>
      </c>
      <c r="E9" s="2" t="n">
        <v>45863</v>
      </c>
      <c r="F9">
        <f>E9-D9</f>
        <v/>
      </c>
      <c r="G9">
        <f>IF(F9&gt;730,"LTCG","STCG")</f>
        <v/>
      </c>
      <c r="H9" s="3" t="n">
        <v>1796.25</v>
      </c>
      <c r="I9" s="3" t="n">
        <v>1500</v>
      </c>
      <c r="J9" s="3" t="n">
        <v>1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83.5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EMXC</t>
        </is>
      </c>
      <c r="B10" t="inlineStr">
        <is>
          <t>USD</t>
        </is>
      </c>
      <c r="C10" t="n">
        <v>30</v>
      </c>
      <c r="D10" s="2" t="n">
        <v>45545</v>
      </c>
      <c r="E10" s="2" t="n">
        <v>45863</v>
      </c>
      <c r="F10">
        <f>E10-D10</f>
        <v/>
      </c>
      <c r="G10">
        <f>IF(F10&gt;730,"LTCG","STCG")</f>
        <v/>
      </c>
      <c r="H10" s="3" t="n">
        <v>1911.45</v>
      </c>
      <c r="I10" s="3" t="n">
        <v>1759</v>
      </c>
      <c r="J10" s="3" t="n">
        <v>1.01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83.5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GE</t>
        </is>
      </c>
      <c r="B11" t="inlineStr">
        <is>
          <t>USD</t>
        </is>
      </c>
      <c r="C11" t="n">
        <v>9</v>
      </c>
      <c r="D11" s="2" t="n">
        <v>45545</v>
      </c>
      <c r="E11" s="2" t="n">
        <v>45863</v>
      </c>
      <c r="F11">
        <f>E11-D11</f>
        <v/>
      </c>
      <c r="G11">
        <f>IF(F11&gt;730,"LTCG","STCG")</f>
        <v/>
      </c>
      <c r="H11" s="3" t="n">
        <v>2438.37</v>
      </c>
      <c r="I11" s="3" t="n">
        <v>1481.5</v>
      </c>
      <c r="J11" s="3" t="n">
        <v>1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83.5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HON</t>
        </is>
      </c>
      <c r="B12" t="inlineStr">
        <is>
          <t>USD</t>
        </is>
      </c>
      <c r="C12" t="n">
        <v>12</v>
      </c>
      <c r="D12" s="2" t="n">
        <v>45545</v>
      </c>
      <c r="E12" s="2" t="n">
        <v>45863</v>
      </c>
      <c r="F12">
        <f>E12-D12</f>
        <v/>
      </c>
      <c r="G12">
        <f>IF(F12&gt;730,"LTCG","STCG")</f>
        <v/>
      </c>
      <c r="H12" s="3" t="n">
        <v>2668.42</v>
      </c>
      <c r="I12" s="3" t="n">
        <v>2389</v>
      </c>
      <c r="J12" s="3" t="n">
        <v>1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83.5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LLY</t>
        </is>
      </c>
      <c r="B13" t="inlineStr">
        <is>
          <t>USD</t>
        </is>
      </c>
      <c r="C13" t="n">
        <v>3</v>
      </c>
      <c r="D13" s="2" t="n">
        <v>45600</v>
      </c>
      <c r="E13" s="2" t="n">
        <v>45863</v>
      </c>
      <c r="F13">
        <f>E13-D13</f>
        <v/>
      </c>
      <c r="G13">
        <f>IF(F13&gt;730,"LTCG","STCG")</f>
        <v/>
      </c>
      <c r="H13" s="3" t="n">
        <v>2424.03</v>
      </c>
      <c r="I13" s="3" t="n">
        <v>2419</v>
      </c>
      <c r="J13" s="3" t="n">
        <v>1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83.68000000000001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LRCX</t>
        </is>
      </c>
      <c r="B14" t="inlineStr">
        <is>
          <t>USD</t>
        </is>
      </c>
      <c r="C14" t="n">
        <v>30</v>
      </c>
      <c r="D14" s="2" t="n">
        <v>45545</v>
      </c>
      <c r="E14" s="2" t="n">
        <v>45863</v>
      </c>
      <c r="F14">
        <f>E14-D14</f>
        <v/>
      </c>
      <c r="G14">
        <f>IF(F14&gt;730,"LTCG","STCG")</f>
        <v/>
      </c>
      <c r="H14" s="3" t="n">
        <v>2903.1</v>
      </c>
      <c r="I14" s="3" t="n">
        <v>2173</v>
      </c>
      <c r="J14" s="3" t="n">
        <v>1.01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83.5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>
        <is>
          <t>LRCX 10-for-1 split on 02/03-Oct-2024 reflected in FIFO qty</t>
        </is>
      </c>
    </row>
    <row r="15">
      <c r="A15" t="inlineStr">
        <is>
          <t>MSFT</t>
        </is>
      </c>
      <c r="B15" t="inlineStr">
        <is>
          <t>USD</t>
        </is>
      </c>
      <c r="C15" t="n">
        <v>6</v>
      </c>
      <c r="D15" s="2" t="n">
        <v>45596</v>
      </c>
      <c r="E15" s="2" t="n">
        <v>45863</v>
      </c>
      <c r="F15">
        <f>E15-D15</f>
        <v/>
      </c>
      <c r="G15">
        <f>IF(F15&gt;730,"LTCG","STCG")</f>
        <v/>
      </c>
      <c r="H15" s="3" t="n">
        <v>3076.33</v>
      </c>
      <c r="I15" s="3" t="n">
        <v>2462.26</v>
      </c>
      <c r="J15" s="3" t="n">
        <v>1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83.3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R6C0d</t>
        </is>
      </c>
      <c r="B16" t="inlineStr">
        <is>
          <t>EUR</t>
        </is>
      </c>
      <c r="C16" t="n">
        <v>33</v>
      </c>
      <c r="D16" s="2" t="n">
        <v>45561</v>
      </c>
      <c r="E16" s="2" t="n">
        <v>45863</v>
      </c>
      <c r="F16">
        <f>E16-D16</f>
        <v/>
      </c>
      <c r="G16">
        <f>IF(F16&gt;730,"LTCG","STCG")</f>
        <v/>
      </c>
      <c r="H16" s="3" t="n">
        <v>1011.95</v>
      </c>
      <c r="I16" s="3" t="n">
        <v>963.3</v>
      </c>
      <c r="J16" s="3" t="n">
        <v>3</v>
      </c>
      <c r="K16" s="3" t="n">
        <v>1</v>
      </c>
      <c r="L16">
        <f>H16*K16</f>
        <v/>
      </c>
      <c r="M16">
        <f>I16*K16</f>
        <v/>
      </c>
      <c r="N16" s="3" t="n">
        <v>98.92</v>
      </c>
      <c r="O16" s="3" t="n">
        <v>91.72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>
        <is>
          <t>EUR: FCY→USD=1; Sale/Cost FX = EUR/INR (Rule 115); Comm uses USD/INR</t>
        </is>
      </c>
    </row>
    <row r="17">
      <c r="A17" t="inlineStr">
        <is>
          <t>TSM</t>
        </is>
      </c>
      <c r="B17" t="inlineStr">
        <is>
          <t>USD</t>
        </is>
      </c>
      <c r="C17" t="n">
        <v>9</v>
      </c>
      <c r="D17" s="2" t="n">
        <v>45545</v>
      </c>
      <c r="E17" s="2" t="n">
        <v>45863</v>
      </c>
      <c r="F17">
        <f>E17-D17</f>
        <v/>
      </c>
      <c r="G17">
        <f>IF(F17&gt;730,"LTCG","STCG")</f>
        <v/>
      </c>
      <c r="H17" s="3" t="n">
        <v>2196.81</v>
      </c>
      <c r="I17" s="3" t="n">
        <v>1428.4</v>
      </c>
      <c r="J17" s="3" t="n">
        <v>1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83.5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SLV</t>
        </is>
      </c>
      <c r="B18" t="inlineStr">
        <is>
          <t>USD</t>
        </is>
      </c>
      <c r="C18" t="n">
        <v>33</v>
      </c>
      <c r="D18" s="2" t="n">
        <v>45644</v>
      </c>
      <c r="E18" s="2" t="n">
        <v>45863</v>
      </c>
      <c r="F18">
        <f>E18-D18</f>
        <v/>
      </c>
      <c r="G18">
        <f>IF(F18&gt;730,"LTCG","STCG")</f>
        <v/>
      </c>
      <c r="H18" s="3" t="n">
        <v>1151.2</v>
      </c>
      <c r="I18" s="3" t="n">
        <v>909.75</v>
      </c>
      <c r="J18" s="3" t="n">
        <v>1.01</v>
      </c>
      <c r="K18" s="3" t="n">
        <v>1</v>
      </c>
      <c r="L18">
        <f>H18*K18</f>
        <v/>
      </c>
      <c r="M18">
        <f>I18*K18</f>
        <v/>
      </c>
      <c r="N18" s="3" t="n">
        <v>85.09999999999999</v>
      </c>
      <c r="O18" s="3" t="n">
        <v>84.15000000000001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TGT</t>
        </is>
      </c>
      <c r="B19" t="inlineStr">
        <is>
          <t>USD</t>
        </is>
      </c>
      <c r="C19" t="n">
        <v>15</v>
      </c>
      <c r="D19" s="2" t="n">
        <v>45545</v>
      </c>
      <c r="E19" s="2" t="n">
        <v>45863</v>
      </c>
      <c r="F19">
        <f>E19-D19</f>
        <v/>
      </c>
      <c r="G19">
        <f>IF(F19&gt;730,"LTCG","STCG")</f>
        <v/>
      </c>
      <c r="H19" s="3" t="n">
        <v>1579.35</v>
      </c>
      <c r="I19" s="3" t="n">
        <v>2236</v>
      </c>
      <c r="J19" s="3" t="n">
        <v>1</v>
      </c>
      <c r="K19" s="3" t="n">
        <v>1</v>
      </c>
      <c r="L19">
        <f>H19*K19</f>
        <v/>
      </c>
      <c r="M19">
        <f>I19*K19</f>
        <v/>
      </c>
      <c r="N19" s="3" t="n">
        <v>85.09999999999999</v>
      </c>
      <c r="O19" s="3" t="n">
        <v>83.5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TSLA</t>
        </is>
      </c>
      <c r="B20" t="inlineStr">
        <is>
          <t>USD</t>
        </is>
      </c>
      <c r="C20" t="n">
        <v>3</v>
      </c>
      <c r="D20" s="2" t="n">
        <v>45644</v>
      </c>
      <c r="E20" s="2" t="n">
        <v>45863</v>
      </c>
      <c r="F20">
        <f>E20-D20</f>
        <v/>
      </c>
      <c r="G20">
        <f>IF(F20&gt;730,"LTCG","STCG")</f>
        <v/>
      </c>
      <c r="H20" s="3" t="n">
        <v>945.09</v>
      </c>
      <c r="I20" s="3" t="n">
        <v>1421.94</v>
      </c>
      <c r="J20" s="3" t="n">
        <v>1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84.15000000000001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/>
    <row r="22">
      <c r="G22" s="4" t="inlineStr">
        <is>
          <t>TOTAL STCG (INR)</t>
        </is>
      </c>
      <c r="T22" s="4">
        <f>SUMIF(G5:G20,"STCG",T5:T20)</f>
        <v/>
      </c>
    </row>
    <row r="23">
      <c r="G23" s="4" t="inlineStr">
        <is>
          <t>TOTAL LTCG (INR)</t>
        </is>
      </c>
      <c r="T23" s="4">
        <f>SUMIF(G5:G20,"LTCG",T5:T20)</f>
        <v/>
      </c>
    </row>
    <row r="24">
      <c r="G24" s="4" t="inlineStr">
        <is>
          <t>TOTAL CG (INR)</t>
        </is>
      </c>
      <c r="T24" s="4">
        <f>T22+T23</f>
        <v/>
      </c>
    </row>
    <row r="25"/>
    <row r="26">
      <c r="A26" t="inlineStr">
        <is>
          <t>How to reconcile before filing:</t>
        </is>
      </c>
    </row>
    <row r="27">
      <c r="A27" t="inlineStr">
        <is>
          <t>1. Check Sale Proceeds (FCY) / Cost Basis (FCY) vs IBKR trade Proceeds &amp; Basis.</t>
        </is>
      </c>
    </row>
    <row r="28">
      <c r="A28" t="inlineStr">
        <is>
          <t>2. Edit yellow FX cells (N Sale FX, O Cost FX, P Comm USD/INR) to exact SBI TT Buy card rates.</t>
        </is>
      </c>
    </row>
    <row r="29">
      <c r="A29" t="inlineStr">
        <is>
          <t>3. For HKD/JPY, edit FCY→USD (K) if using trade-date FX instead of 31-Dec-2025 IBKR close.</t>
        </is>
      </c>
    </row>
    <row r="30">
      <c r="A30" t="inlineStr">
        <is>
          <t>4. Gain/(Loss) cell formula: =Q-R-S i.e. Sale INR − Comm INR − Cost INR.</t>
        </is>
      </c>
    </row>
    <row r="31">
      <c r="A31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7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28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ACN</t>
        </is>
      </c>
      <c r="B5" t="inlineStr">
        <is>
          <t>USD</t>
        </is>
      </c>
      <c r="C5" t="n">
        <v>100</v>
      </c>
      <c r="D5" s="2" t="n">
        <v>45524</v>
      </c>
      <c r="E5" s="2" t="n">
        <v>45545</v>
      </c>
      <c r="F5">
        <f>E5-D5</f>
        <v/>
      </c>
      <c r="G5">
        <f>IF(F5&gt;730,"LTCG","STCG")</f>
        <v/>
      </c>
      <c r="H5" s="3" t="n">
        <v>34370</v>
      </c>
      <c r="I5" s="3" t="n">
        <v>3773.92</v>
      </c>
      <c r="J5" s="3" t="n">
        <v>1.98</v>
      </c>
      <c r="K5" s="3" t="n">
        <v>1</v>
      </c>
      <c r="L5">
        <f>H5*K5</f>
        <v/>
      </c>
      <c r="M5">
        <f>I5*K5</f>
        <v/>
      </c>
      <c r="N5" s="3" t="n">
        <v>83.5</v>
      </c>
      <c r="O5" s="3" t="n">
        <v>83.5</v>
      </c>
      <c r="P5" s="3" t="n">
        <v>83.5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ACN</t>
        </is>
      </c>
      <c r="B6" t="inlineStr">
        <is>
          <t>USD</t>
        </is>
      </c>
      <c r="C6" t="n">
        <v>10</v>
      </c>
      <c r="D6" s="2" t="n">
        <v>45524</v>
      </c>
      <c r="E6" s="2" t="n">
        <v>45644</v>
      </c>
      <c r="F6">
        <f>E6-D6</f>
        <v/>
      </c>
      <c r="G6">
        <f>IF(F6&gt;730,"LTCG","STCG")</f>
        <v/>
      </c>
      <c r="H6" s="3" t="n">
        <v>3563.45</v>
      </c>
      <c r="I6" s="3" t="n">
        <v>380.5</v>
      </c>
      <c r="J6" s="3" t="n">
        <v>1.1</v>
      </c>
      <c r="K6" s="3" t="n">
        <v>1</v>
      </c>
      <c r="L6">
        <f>H6*K6</f>
        <v/>
      </c>
      <c r="M6">
        <f>I6*K6</f>
        <v/>
      </c>
      <c r="N6" s="3" t="n">
        <v>84.15000000000001</v>
      </c>
      <c r="O6" s="3" t="n">
        <v>83.5</v>
      </c>
      <c r="P6" s="3" t="n">
        <v>84.15000000000001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/>
    <row r="8">
      <c r="G8" s="4" t="inlineStr">
        <is>
          <t>TOTAL STCG (INR)</t>
        </is>
      </c>
      <c r="T8" s="4">
        <f>SUMIF(G5:G6,"STCG",T5:T6)</f>
        <v/>
      </c>
    </row>
    <row r="9">
      <c r="G9" s="4" t="inlineStr">
        <is>
          <t>TOTAL LTCG (INR)</t>
        </is>
      </c>
      <c r="T9" s="4">
        <f>SUMIF(G5:G6,"LTCG",T5:T6)</f>
        <v/>
      </c>
    </row>
    <row r="10">
      <c r="G10" s="4" t="inlineStr">
        <is>
          <t>TOTAL CG (INR)</t>
        </is>
      </c>
      <c r="T10" s="4">
        <f>T8+T9</f>
        <v/>
      </c>
    </row>
    <row r="11"/>
    <row r="12">
      <c r="A12" t="inlineStr">
        <is>
          <t>How to reconcile before filing:</t>
        </is>
      </c>
    </row>
    <row r="13">
      <c r="A13" t="inlineStr">
        <is>
          <t>1. Check Sale Proceeds (FCY) / Cost Basis (FCY) vs IBKR trade Proceeds &amp; Basis.</t>
        </is>
      </c>
    </row>
    <row r="14">
      <c r="A14" t="inlineStr">
        <is>
          <t>2. Edit yellow FX cells (N Sale FX, O Cost FX, P Comm USD/INR) to exact SBI TT Buy card rates.</t>
        </is>
      </c>
    </row>
    <row r="15">
      <c r="A15" t="inlineStr">
        <is>
          <t>3. For HKD/JPY, edit FCY→USD (K) if using trade-date FX instead of 31-Dec-2025 IBKR close.</t>
        </is>
      </c>
    </row>
    <row r="16">
      <c r="A16" t="inlineStr">
        <is>
          <t>4. Gain/(Loss) cell formula: =Q-R-S i.e. Sale INR − Comm INR − Cost INR.</t>
        </is>
      </c>
    </row>
    <row r="17">
      <c r="A17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ACN</t>
        </is>
      </c>
      <c r="C3" t="n">
        <v>290</v>
      </c>
      <c r="D3" s="2" t="n">
        <v>45524</v>
      </c>
      <c r="E3" t="n">
        <v>23737.3058</v>
      </c>
      <c r="F3" t="inlineStr">
        <is>
          <t>USD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ACN</t>
        </is>
      </c>
      <c r="C4" t="n">
        <v>455</v>
      </c>
      <c r="D4" s="2" t="n">
        <v>45530</v>
      </c>
      <c r="E4" t="n">
        <v>37243.0142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ASML</t>
        </is>
      </c>
      <c r="C5" t="n">
        <v>6</v>
      </c>
      <c r="D5" s="2" t="n">
        <v>45587</v>
      </c>
      <c r="E5" t="n">
        <v>4340.6804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AVGO</t>
        </is>
      </c>
      <c r="C6" t="n">
        <v>9</v>
      </c>
      <c r="D6" s="2" t="n">
        <v>45545</v>
      </c>
      <c r="E6" t="n">
        <v>1305.636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AXP</t>
        </is>
      </c>
      <c r="C7" t="n">
        <v>9</v>
      </c>
      <c r="D7" s="2" t="n">
        <v>45545</v>
      </c>
      <c r="E7" t="n">
        <v>2192.5005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BAC</t>
        </is>
      </c>
      <c r="C8" t="n">
        <v>60</v>
      </c>
      <c r="D8" s="2" t="n">
        <v>45545</v>
      </c>
      <c r="E8" t="n">
        <v>2329.0031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BLBD</t>
        </is>
      </c>
      <c r="C9" t="n">
        <v>24</v>
      </c>
      <c r="D9" s="2" t="n">
        <v>45568</v>
      </c>
      <c r="E9" t="n">
        <v>1065.4017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31-Dec-2024 (CY2025 open)</t>
        </is>
      </c>
      <c r="B10" t="inlineStr">
        <is>
          <t>DXJ</t>
        </is>
      </c>
      <c r="C10" t="n">
        <v>15</v>
      </c>
      <c r="D10" s="2" t="n">
        <v>45545</v>
      </c>
      <c r="E10" t="n">
        <v>1501.0008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31-Dec-2024 (CY2025 open)</t>
        </is>
      </c>
      <c r="B11" t="inlineStr">
        <is>
          <t>EMXC</t>
        </is>
      </c>
      <c r="C11" t="n">
        <v>30</v>
      </c>
      <c r="D11" s="2" t="n">
        <v>45545</v>
      </c>
      <c r="E11" t="n">
        <v>1759.0016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31-Dec-2024 (CY2025 open)</t>
        </is>
      </c>
      <c r="B12" t="inlineStr">
        <is>
          <t>GE</t>
        </is>
      </c>
      <c r="C12" t="n">
        <v>9</v>
      </c>
      <c r="D12" s="2" t="n">
        <v>45545</v>
      </c>
      <c r="E12" t="n">
        <v>1481.5005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31-Dec-2024 (CY2025 open)</t>
        </is>
      </c>
      <c r="B13" t="inlineStr">
        <is>
          <t>HON</t>
        </is>
      </c>
      <c r="C13" t="n">
        <v>12</v>
      </c>
      <c r="D13" s="2" t="n">
        <v>45545</v>
      </c>
      <c r="E13" t="n">
        <v>2389.0006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31-Dec-2024 (CY2025 open)</t>
        </is>
      </c>
      <c r="B14" t="inlineStr">
        <is>
          <t>LLY</t>
        </is>
      </c>
      <c r="C14" t="n">
        <v>3</v>
      </c>
      <c r="D14" s="2" t="n">
        <v>45600</v>
      </c>
      <c r="E14" t="n">
        <v>2419.0001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31-Dec-2024 (CY2025 open)</t>
        </is>
      </c>
      <c r="B15" t="inlineStr">
        <is>
          <t>LRCX</t>
        </is>
      </c>
      <c r="C15" t="n">
        <v>30</v>
      </c>
      <c r="D15" s="2" t="n">
        <v>45545</v>
      </c>
      <c r="E15" t="n">
        <v>2173.0002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31-Dec-2024 (CY2025 open)</t>
        </is>
      </c>
      <c r="B16" t="inlineStr">
        <is>
          <t>MSFT</t>
        </is>
      </c>
      <c r="C16" t="n">
        <v>6</v>
      </c>
      <c r="D16" s="2" t="n">
        <v>45596</v>
      </c>
      <c r="E16" t="n">
        <v>2462.2604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31-Dec-2024 (CY2025 open)</t>
        </is>
      </c>
      <c r="B17" t="inlineStr">
        <is>
          <t>R6C0d</t>
        </is>
      </c>
      <c r="C17" t="n">
        <v>33</v>
      </c>
      <c r="D17" s="2" t="n">
        <v>45561</v>
      </c>
      <c r="E17" t="n">
        <v>963.3</v>
      </c>
      <c r="F17" t="inlineStr">
        <is>
          <t>EUR</t>
        </is>
      </c>
      <c r="G17" t="inlineStr">
        <is>
          <t>buy</t>
        </is>
      </c>
    </row>
    <row r="18">
      <c r="A18" t="inlineStr">
        <is>
          <t>31-Dec-2024 (CY2025 open)</t>
        </is>
      </c>
      <c r="B18" t="inlineStr">
        <is>
          <t>SLV</t>
        </is>
      </c>
      <c r="C18" t="n">
        <v>33</v>
      </c>
      <c r="D18" s="2" t="n">
        <v>45644</v>
      </c>
      <c r="E18" t="n">
        <v>909.75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31-Dec-2024 (CY2025 open)</t>
        </is>
      </c>
      <c r="B19" t="inlineStr">
        <is>
          <t>TGT</t>
        </is>
      </c>
      <c r="C19" t="n">
        <v>15</v>
      </c>
      <c r="D19" s="2" t="n">
        <v>45545</v>
      </c>
      <c r="E19" t="n">
        <v>2236.0008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31-Dec-2024 (CY2025 open)</t>
        </is>
      </c>
      <c r="B20" t="inlineStr">
        <is>
          <t>TSLA</t>
        </is>
      </c>
      <c r="C20" t="n">
        <v>3</v>
      </c>
      <c r="D20" s="2" t="n">
        <v>45644</v>
      </c>
      <c r="E20" t="n">
        <v>1421.9352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31-Dec-2024 (CY2025 open)</t>
        </is>
      </c>
      <c r="B21" t="inlineStr">
        <is>
          <t>TSM</t>
        </is>
      </c>
      <c r="C21" t="n">
        <v>9</v>
      </c>
      <c r="D21" s="2" t="n">
        <v>45545</v>
      </c>
      <c r="E21" t="n">
        <v>1428.4005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31-Dec-2024 (CY2025 open)</t>
        </is>
      </c>
      <c r="B22" t="inlineStr">
        <is>
          <t>XOM</t>
        </is>
      </c>
      <c r="C22" t="n">
        <v>12</v>
      </c>
      <c r="D22" s="2" t="n">
        <v>45545</v>
      </c>
      <c r="E22" t="n">
        <v>1336.6006</v>
      </c>
      <c r="F22" t="inlineStr">
        <is>
          <t>USD</t>
        </is>
      </c>
      <c r="G22" t="inlineStr">
        <is>
          <t>buy</t>
        </is>
      </c>
    </row>
    <row r="23">
      <c r="A23" t="inlineStr">
        <is>
          <t>31-Mar-2025 (FY2025-26 open)</t>
        </is>
      </c>
      <c r="B23" t="inlineStr">
        <is>
          <t>2914.T</t>
        </is>
      </c>
      <c r="C23" t="n">
        <v>100</v>
      </c>
      <c r="D23" s="2" t="n">
        <v>45726</v>
      </c>
      <c r="E23" t="n">
        <v>386108.64</v>
      </c>
      <c r="F23" t="inlineStr">
        <is>
          <t>JPY</t>
        </is>
      </c>
      <c r="G23" t="inlineStr">
        <is>
          <t>buy</t>
        </is>
      </c>
    </row>
    <row r="24">
      <c r="A24" t="inlineStr">
        <is>
          <t>31-Mar-2025 (FY2025-26 open)</t>
        </is>
      </c>
      <c r="B24" t="inlineStr">
        <is>
          <t>ACN</t>
        </is>
      </c>
      <c r="C24" t="n">
        <v>290</v>
      </c>
      <c r="D24" s="2" t="n">
        <v>45524</v>
      </c>
      <c r="E24" t="n">
        <v>23737.3058</v>
      </c>
      <c r="F24" t="inlineStr">
        <is>
          <t>USD</t>
        </is>
      </c>
      <c r="G24" t="inlineStr">
        <is>
          <t>buy</t>
        </is>
      </c>
    </row>
    <row r="25">
      <c r="A25" t="inlineStr">
        <is>
          <t>31-Mar-2025 (FY2025-26 open)</t>
        </is>
      </c>
      <c r="B25" t="inlineStr">
        <is>
          <t>ACN</t>
        </is>
      </c>
      <c r="C25" t="n">
        <v>455</v>
      </c>
      <c r="D25" s="2" t="n">
        <v>45530</v>
      </c>
      <c r="E25" t="n">
        <v>37243.0142</v>
      </c>
      <c r="F25" t="inlineStr">
        <is>
          <t>USD</t>
        </is>
      </c>
      <c r="G25" t="inlineStr">
        <is>
          <t>buy</t>
        </is>
      </c>
    </row>
    <row r="26">
      <c r="A26" t="inlineStr">
        <is>
          <t>31-Mar-2025 (FY2025-26 open)</t>
        </is>
      </c>
      <c r="B26" t="inlineStr">
        <is>
          <t>ASML</t>
        </is>
      </c>
      <c r="C26" t="n">
        <v>6</v>
      </c>
      <c r="D26" s="2" t="n">
        <v>45587</v>
      </c>
      <c r="E26" t="n">
        <v>4340.6804</v>
      </c>
      <c r="F26" t="inlineStr">
        <is>
          <t>USD</t>
        </is>
      </c>
      <c r="G26" t="inlineStr">
        <is>
          <t>buy</t>
        </is>
      </c>
    </row>
    <row r="27">
      <c r="A27" t="inlineStr">
        <is>
          <t>31-Mar-2025 (FY2025-26 open)</t>
        </is>
      </c>
      <c r="B27" t="inlineStr">
        <is>
          <t>AVGO</t>
        </is>
      </c>
      <c r="C27" t="n">
        <v>9</v>
      </c>
      <c r="D27" s="2" t="n">
        <v>45545</v>
      </c>
      <c r="E27" t="n">
        <v>1305.636</v>
      </c>
      <c r="F27" t="inlineStr">
        <is>
          <t>USD</t>
        </is>
      </c>
      <c r="G27" t="inlineStr">
        <is>
          <t>buy</t>
        </is>
      </c>
    </row>
    <row r="28">
      <c r="A28" t="inlineStr">
        <is>
          <t>31-Mar-2025 (FY2025-26 open)</t>
        </is>
      </c>
      <c r="B28" t="inlineStr">
        <is>
          <t>AXP</t>
        </is>
      </c>
      <c r="C28" t="n">
        <v>9</v>
      </c>
      <c r="D28" s="2" t="n">
        <v>45545</v>
      </c>
      <c r="E28" t="n">
        <v>2192.5005</v>
      </c>
      <c r="F28" t="inlineStr">
        <is>
          <t>USD</t>
        </is>
      </c>
      <c r="G28" t="inlineStr">
        <is>
          <t>buy</t>
        </is>
      </c>
    </row>
    <row r="29">
      <c r="A29" t="inlineStr">
        <is>
          <t>31-Mar-2025 (FY2025-26 open)</t>
        </is>
      </c>
      <c r="B29" t="inlineStr">
        <is>
          <t>BAC</t>
        </is>
      </c>
      <c r="C29" t="n">
        <v>60</v>
      </c>
      <c r="D29" s="2" t="n">
        <v>45545</v>
      </c>
      <c r="E29" t="n">
        <v>2329.0031</v>
      </c>
      <c r="F29" t="inlineStr">
        <is>
          <t>USD</t>
        </is>
      </c>
      <c r="G29" t="inlineStr">
        <is>
          <t>buy</t>
        </is>
      </c>
    </row>
    <row r="30">
      <c r="A30" t="inlineStr">
        <is>
          <t>31-Mar-2025 (FY2025-26 open)</t>
        </is>
      </c>
      <c r="B30" t="inlineStr">
        <is>
          <t>BLBD</t>
        </is>
      </c>
      <c r="C30" t="n">
        <v>24</v>
      </c>
      <c r="D30" s="2" t="n">
        <v>45568</v>
      </c>
      <c r="E30" t="n">
        <v>1065.4017</v>
      </c>
      <c r="F30" t="inlineStr">
        <is>
          <t>USD</t>
        </is>
      </c>
      <c r="G30" t="inlineStr">
        <is>
          <t>buy</t>
        </is>
      </c>
    </row>
    <row r="31">
      <c r="A31" t="inlineStr">
        <is>
          <t>31-Mar-2025 (FY2025-26 open)</t>
        </is>
      </c>
      <c r="B31" t="inlineStr">
        <is>
          <t>DXJ</t>
        </is>
      </c>
      <c r="C31" t="n">
        <v>15</v>
      </c>
      <c r="D31" s="2" t="n">
        <v>45545</v>
      </c>
      <c r="E31" t="n">
        <v>1501.0008</v>
      </c>
      <c r="F31" t="inlineStr">
        <is>
          <t>USD</t>
        </is>
      </c>
      <c r="G31" t="inlineStr">
        <is>
          <t>buy</t>
        </is>
      </c>
    </row>
    <row r="32">
      <c r="A32" t="inlineStr">
        <is>
          <t>31-Mar-2025 (FY2025-26 open)</t>
        </is>
      </c>
      <c r="B32" t="inlineStr">
        <is>
          <t>EMXC</t>
        </is>
      </c>
      <c r="C32" t="n">
        <v>30</v>
      </c>
      <c r="D32" s="2" t="n">
        <v>45545</v>
      </c>
      <c r="E32" t="n">
        <v>1759.0016</v>
      </c>
      <c r="F32" t="inlineStr">
        <is>
          <t>USD</t>
        </is>
      </c>
      <c r="G32" t="inlineStr">
        <is>
          <t>buy</t>
        </is>
      </c>
    </row>
    <row r="33">
      <c r="A33" t="inlineStr">
        <is>
          <t>31-Mar-2025 (FY2025-26 open)</t>
        </is>
      </c>
      <c r="B33" t="inlineStr">
        <is>
          <t>GE</t>
        </is>
      </c>
      <c r="C33" t="n">
        <v>9</v>
      </c>
      <c r="D33" s="2" t="n">
        <v>45545</v>
      </c>
      <c r="E33" t="n">
        <v>1481.5005</v>
      </c>
      <c r="F33" t="inlineStr">
        <is>
          <t>USD</t>
        </is>
      </c>
      <c r="G33" t="inlineStr">
        <is>
          <t>buy</t>
        </is>
      </c>
    </row>
    <row r="34">
      <c r="A34" t="inlineStr">
        <is>
          <t>31-Mar-2025 (FY2025-26 open)</t>
        </is>
      </c>
      <c r="B34" t="inlineStr">
        <is>
          <t>HON</t>
        </is>
      </c>
      <c r="C34" t="n">
        <v>12</v>
      </c>
      <c r="D34" s="2" t="n">
        <v>45545</v>
      </c>
      <c r="E34" t="n">
        <v>2389.0006</v>
      </c>
      <c r="F34" t="inlineStr">
        <is>
          <t>USD</t>
        </is>
      </c>
      <c r="G34" t="inlineStr">
        <is>
          <t>buy</t>
        </is>
      </c>
    </row>
    <row r="35">
      <c r="A35" t="inlineStr">
        <is>
          <t>31-Mar-2025 (FY2025-26 open)</t>
        </is>
      </c>
      <c r="B35" t="inlineStr">
        <is>
          <t>LLY</t>
        </is>
      </c>
      <c r="C35" t="n">
        <v>3</v>
      </c>
      <c r="D35" s="2" t="n">
        <v>45600</v>
      </c>
      <c r="E35" t="n">
        <v>2419.0001</v>
      </c>
      <c r="F35" t="inlineStr">
        <is>
          <t>USD</t>
        </is>
      </c>
      <c r="G35" t="inlineStr">
        <is>
          <t>buy</t>
        </is>
      </c>
    </row>
    <row r="36">
      <c r="A36" t="inlineStr">
        <is>
          <t>31-Mar-2025 (FY2025-26 open)</t>
        </is>
      </c>
      <c r="B36" t="inlineStr">
        <is>
          <t>LRCX</t>
        </is>
      </c>
      <c r="C36" t="n">
        <v>30</v>
      </c>
      <c r="D36" s="2" t="n">
        <v>45545</v>
      </c>
      <c r="E36" t="n">
        <v>2173.0002</v>
      </c>
      <c r="F36" t="inlineStr">
        <is>
          <t>USD</t>
        </is>
      </c>
      <c r="G36" t="inlineStr">
        <is>
          <t>buy</t>
        </is>
      </c>
    </row>
    <row r="37">
      <c r="A37" t="inlineStr">
        <is>
          <t>31-Mar-2025 (FY2025-26 open)</t>
        </is>
      </c>
      <c r="B37" t="inlineStr">
        <is>
          <t>MSFT</t>
        </is>
      </c>
      <c r="C37" t="n">
        <v>6</v>
      </c>
      <c r="D37" s="2" t="n">
        <v>45596</v>
      </c>
      <c r="E37" t="n">
        <v>2462.2604</v>
      </c>
      <c r="F37" t="inlineStr">
        <is>
          <t>USD</t>
        </is>
      </c>
      <c r="G37" t="inlineStr">
        <is>
          <t>buy</t>
        </is>
      </c>
    </row>
    <row r="38">
      <c r="A38" t="inlineStr">
        <is>
          <t>31-Mar-2025 (FY2025-26 open)</t>
        </is>
      </c>
      <c r="B38" t="inlineStr">
        <is>
          <t>R6C0d</t>
        </is>
      </c>
      <c r="C38" t="n">
        <v>33</v>
      </c>
      <c r="D38" s="2" t="n">
        <v>45561</v>
      </c>
      <c r="E38" t="n">
        <v>963.3</v>
      </c>
      <c r="F38" t="inlineStr">
        <is>
          <t>EUR</t>
        </is>
      </c>
      <c r="G38" t="inlineStr">
        <is>
          <t>buy</t>
        </is>
      </c>
    </row>
    <row r="39">
      <c r="A39" t="inlineStr">
        <is>
          <t>31-Mar-2025 (FY2025-26 open)</t>
        </is>
      </c>
      <c r="B39" t="inlineStr">
        <is>
          <t>SLV</t>
        </is>
      </c>
      <c r="C39" t="n">
        <v>33</v>
      </c>
      <c r="D39" s="2" t="n">
        <v>45644</v>
      </c>
      <c r="E39" t="n">
        <v>909.75</v>
      </c>
      <c r="F39" t="inlineStr">
        <is>
          <t>USD</t>
        </is>
      </c>
      <c r="G39" t="inlineStr">
        <is>
          <t>buy</t>
        </is>
      </c>
    </row>
    <row r="40">
      <c r="A40" t="inlineStr">
        <is>
          <t>31-Mar-2025 (FY2025-26 open)</t>
        </is>
      </c>
      <c r="B40" t="inlineStr">
        <is>
          <t>TGT</t>
        </is>
      </c>
      <c r="C40" t="n">
        <v>15</v>
      </c>
      <c r="D40" s="2" t="n">
        <v>45545</v>
      </c>
      <c r="E40" t="n">
        <v>2236.0008</v>
      </c>
      <c r="F40" t="inlineStr">
        <is>
          <t>USD</t>
        </is>
      </c>
      <c r="G40" t="inlineStr">
        <is>
          <t>buy</t>
        </is>
      </c>
    </row>
    <row r="41">
      <c r="A41" t="inlineStr">
        <is>
          <t>31-Mar-2025 (FY2025-26 open)</t>
        </is>
      </c>
      <c r="B41" t="inlineStr">
        <is>
          <t>TSLA</t>
        </is>
      </c>
      <c r="C41" t="n">
        <v>3</v>
      </c>
      <c r="D41" s="2" t="n">
        <v>45644</v>
      </c>
      <c r="E41" t="n">
        <v>1421.9352</v>
      </c>
      <c r="F41" t="inlineStr">
        <is>
          <t>USD</t>
        </is>
      </c>
      <c r="G41" t="inlineStr">
        <is>
          <t>buy</t>
        </is>
      </c>
    </row>
    <row r="42">
      <c r="A42" t="inlineStr">
        <is>
          <t>31-Mar-2025 (FY2025-26 open)</t>
        </is>
      </c>
      <c r="B42" t="inlineStr">
        <is>
          <t>TSM</t>
        </is>
      </c>
      <c r="C42" t="n">
        <v>9</v>
      </c>
      <c r="D42" s="2" t="n">
        <v>45545</v>
      </c>
      <c r="E42" t="n">
        <v>1428.4005</v>
      </c>
      <c r="F42" t="inlineStr">
        <is>
          <t>USD</t>
        </is>
      </c>
      <c r="G42" t="inlineStr">
        <is>
          <t>buy</t>
        </is>
      </c>
    </row>
    <row r="43">
      <c r="A43" t="inlineStr">
        <is>
          <t>31-Mar-2025 (FY2025-26 open)</t>
        </is>
      </c>
      <c r="B43" t="inlineStr">
        <is>
          <t>XOM</t>
        </is>
      </c>
      <c r="C43" t="n">
        <v>12</v>
      </c>
      <c r="D43" s="2" t="n">
        <v>45545</v>
      </c>
      <c r="E43" t="n">
        <v>1336.6006</v>
      </c>
      <c r="F43" t="inlineStr">
        <is>
          <t>USD</t>
        </is>
      </c>
      <c r="G4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AVGO</t>
        </is>
      </c>
      <c r="B2" t="n">
        <v>112224</v>
      </c>
      <c r="C2" t="n">
        <v>0</v>
      </c>
      <c r="D2" t="n">
        <v>112224</v>
      </c>
      <c r="E2" t="n">
        <v>2600.82</v>
      </c>
      <c r="F2" t="n">
        <v>1305.64</v>
      </c>
    </row>
    <row r="3">
      <c r="A3" t="inlineStr">
        <is>
          <t>AXP</t>
        </is>
      </c>
      <c r="B3" t="n">
        <v>54262</v>
      </c>
      <c r="C3" t="n">
        <v>0</v>
      </c>
      <c r="D3" t="n">
        <v>54262</v>
      </c>
      <c r="E3" t="n">
        <v>2789.91</v>
      </c>
      <c r="F3" t="n">
        <v>2192.5</v>
      </c>
    </row>
    <row r="4">
      <c r="A4" t="inlineStr">
        <is>
          <t>BAC</t>
        </is>
      </c>
      <c r="B4" t="n">
        <v>51708</v>
      </c>
      <c r="C4" t="n">
        <v>0</v>
      </c>
      <c r="D4" t="n">
        <v>51708</v>
      </c>
      <c r="E4" t="n">
        <v>2893.84</v>
      </c>
      <c r="F4" t="n">
        <v>2329</v>
      </c>
    </row>
    <row r="5">
      <c r="A5" t="inlineStr">
        <is>
          <t>BLBD</t>
        </is>
      </c>
      <c r="B5" t="n">
        <v>4280</v>
      </c>
      <c r="C5" t="n">
        <v>0</v>
      </c>
      <c r="D5" t="n">
        <v>4280</v>
      </c>
      <c r="E5" t="n">
        <v>1094.16</v>
      </c>
      <c r="F5" t="n">
        <v>1065.4</v>
      </c>
    </row>
    <row r="6">
      <c r="A6" t="inlineStr">
        <is>
          <t>DXJ</t>
        </is>
      </c>
      <c r="B6" t="n">
        <v>27526</v>
      </c>
      <c r="C6" t="n">
        <v>0</v>
      </c>
      <c r="D6" t="n">
        <v>27526</v>
      </c>
      <c r="E6" t="n">
        <v>1796.25</v>
      </c>
      <c r="F6" t="n">
        <v>1500</v>
      </c>
    </row>
    <row r="7">
      <c r="A7" t="inlineStr">
        <is>
          <t>EMXC</t>
        </is>
      </c>
      <c r="B7" t="n">
        <v>15702</v>
      </c>
      <c r="C7" t="n">
        <v>0</v>
      </c>
      <c r="D7" t="n">
        <v>15702</v>
      </c>
      <c r="E7" t="n">
        <v>1911.45</v>
      </c>
      <c r="F7" t="n">
        <v>1759</v>
      </c>
    </row>
    <row r="8">
      <c r="A8" t="inlineStr">
        <is>
          <t>GE</t>
        </is>
      </c>
      <c r="B8" t="n">
        <v>83715</v>
      </c>
      <c r="C8" t="n">
        <v>0</v>
      </c>
      <c r="D8" t="n">
        <v>83715</v>
      </c>
      <c r="E8" t="n">
        <v>2438.37</v>
      </c>
      <c r="F8" t="n">
        <v>1481.5</v>
      </c>
    </row>
    <row r="9">
      <c r="A9" t="inlineStr">
        <is>
          <t>HON</t>
        </is>
      </c>
      <c r="B9" t="n">
        <v>27515</v>
      </c>
      <c r="C9" t="n">
        <v>0</v>
      </c>
      <c r="D9" t="n">
        <v>27515</v>
      </c>
      <c r="E9" t="n">
        <v>2668.42</v>
      </c>
      <c r="F9" t="n">
        <v>2389</v>
      </c>
    </row>
    <row r="10">
      <c r="A10" t="inlineStr">
        <is>
          <t>LLY</t>
        </is>
      </c>
      <c r="B10" t="n">
        <v>3778</v>
      </c>
      <c r="C10" t="n">
        <v>0</v>
      </c>
      <c r="D10" t="n">
        <v>3778</v>
      </c>
      <c r="E10" t="n">
        <v>2424.03</v>
      </c>
      <c r="F10" t="n">
        <v>2419</v>
      </c>
    </row>
    <row r="11">
      <c r="A11" t="inlineStr">
        <is>
          <t>LRCX</t>
        </is>
      </c>
      <c r="B11" t="n">
        <v>65523</v>
      </c>
      <c r="C11" t="n">
        <v>0</v>
      </c>
      <c r="D11" t="n">
        <v>65523</v>
      </c>
      <c r="E11" t="n">
        <v>2903.1</v>
      </c>
      <c r="F11" t="n">
        <v>2173</v>
      </c>
    </row>
    <row r="12">
      <c r="A12" t="inlineStr">
        <is>
          <t>MSFT</t>
        </is>
      </c>
      <c r="B12" t="n">
        <v>56604</v>
      </c>
      <c r="C12" t="n">
        <v>0</v>
      </c>
      <c r="D12" t="n">
        <v>56604</v>
      </c>
      <c r="E12" t="n">
        <v>3076.33</v>
      </c>
      <c r="F12" t="n">
        <v>2462.26</v>
      </c>
    </row>
    <row r="13">
      <c r="A13" t="inlineStr">
        <is>
          <t>R6C0d</t>
        </is>
      </c>
      <c r="B13" t="n">
        <v>11492</v>
      </c>
      <c r="C13" t="n">
        <v>0</v>
      </c>
      <c r="D13" t="n">
        <v>11492</v>
      </c>
      <c r="E13" t="n">
        <v>1188.63</v>
      </c>
      <c r="F13" t="n">
        <v>1131.49</v>
      </c>
    </row>
    <row r="14">
      <c r="A14" t="inlineStr">
        <is>
          <t>SLV</t>
        </is>
      </c>
      <c r="B14" t="n">
        <v>21326</v>
      </c>
      <c r="C14" t="n">
        <v>0</v>
      </c>
      <c r="D14" t="n">
        <v>21326</v>
      </c>
      <c r="E14" t="n">
        <v>1151.2</v>
      </c>
      <c r="F14" t="n">
        <v>909.75</v>
      </c>
    </row>
    <row r="15">
      <c r="A15" t="inlineStr">
        <is>
          <t>TGT</t>
        </is>
      </c>
      <c r="B15" t="n">
        <v>-52389</v>
      </c>
      <c r="C15" t="n">
        <v>0</v>
      </c>
      <c r="D15" t="n">
        <v>-52389</v>
      </c>
      <c r="E15" t="n">
        <v>1579.35</v>
      </c>
      <c r="F15" t="n">
        <v>2236</v>
      </c>
    </row>
    <row r="16">
      <c r="A16" t="inlineStr">
        <is>
          <t>TSLA</t>
        </is>
      </c>
      <c r="B16" t="n">
        <v>-39314</v>
      </c>
      <c r="C16" t="n">
        <v>0</v>
      </c>
      <c r="D16" t="n">
        <v>-39314</v>
      </c>
      <c r="E16" t="n">
        <v>945.09</v>
      </c>
      <c r="F16" t="n">
        <v>1421.94</v>
      </c>
    </row>
    <row r="17">
      <c r="A17" t="inlineStr">
        <is>
          <t>TSM</t>
        </is>
      </c>
      <c r="B17" t="n">
        <v>67592</v>
      </c>
      <c r="C17" t="n">
        <v>0</v>
      </c>
      <c r="D17" t="n">
        <v>67592</v>
      </c>
      <c r="E17" t="n">
        <v>2196.81</v>
      </c>
      <c r="F17" t="n">
        <v>1428.4</v>
      </c>
    </row>
    <row r="18"/>
    <row r="19">
      <c r="A19" t="inlineStr">
        <is>
          <t>Note</t>
        </is>
      </c>
      <c r="B19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Aditya Malik</t>
        </is>
      </c>
    </row>
    <row r="2">
      <c r="A2" t="inlineStr">
        <is>
          <t>Assessee</t>
        </is>
      </c>
      <c r="B2" t="inlineStr">
        <is>
          <t>Aditya Malik — IBKR U15181144 — Advisor: MATCAP WEALTH ADVISORS PRIVATE LIMITED</t>
        </is>
      </c>
    </row>
    <row r="3">
      <c r="A3" t="inlineStr">
        <is>
          <t>Account opening</t>
        </is>
      </c>
      <c r="B3" t="inlineStr">
        <is>
          <t>First activity 20-Aug-2024 via FOP transfer of ACN (400 + 455 shares). IBKR cost basis used for remaining ACN lots; CG uses IBKR sell Basis.</t>
        </is>
      </c>
    </row>
    <row r="4">
      <c r="A4" t="inlineStr">
        <is>
          <t>Annual CY2025 statement</t>
        </is>
      </c>
      <c r="B4" t="inlineStr">
        <is>
          <t>Not furnished. CY2025 synthesized from FY statements. YE2025 closing prices proxied from 31-Mar-2025 marks (if still held) else cost — prefer IBKR Annual / PortfolioAnalyst for filing-quality peak &amp; YE values.</t>
        </is>
      </c>
    </row>
    <row r="5">
      <c r="A5" t="inlineStr">
        <is>
          <t>LRCX split</t>
        </is>
      </c>
      <c r="B5" t="inlineStr">
        <is>
          <t>10-for-1 split on 02/03-Oct-2024 applied in FIFO</t>
        </is>
      </c>
    </row>
    <row r="6">
      <c r="A6" t="inlineStr">
        <is>
          <t>Shell</t>
        </is>
      </c>
      <c r="B6" t="inlineStr">
        <is>
          <t>R6C0d / SHELL treated as one security (Shell plc); dividend rights excluded from CG</t>
        </is>
      </c>
    </row>
    <row r="7">
      <c r="A7" t="inlineStr">
        <is>
          <t>JPY holdings</t>
        </is>
      </c>
      <c r="B7" t="inlineStr">
        <is>
          <t>2914.T / 4568.T / 7203.T converted via IBKR YE JPY→USD then Rule 115 USD/INR (editable on CG)</t>
        </is>
      </c>
    </row>
    <row r="8">
      <c r="A8" t="inlineStr">
        <is>
          <t>Assessee</t>
        </is>
      </c>
      <c r="B8" t="inlineStr">
        <is>
          <t>Aditya Malik</t>
        </is>
      </c>
    </row>
    <row r="9">
      <c r="A9" t="inlineStr">
        <is>
          <t>Account</t>
        </is>
      </c>
      <c r="B9" t="inlineStr">
        <is>
          <t>U15181144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2024-12-18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0.00</t>
        </is>
      </c>
    </row>
    <row r="20">
      <c r="A20" t="inlineStr">
        <is>
          <t>Ending NAV CY2025</t>
        </is>
      </c>
      <c r="B20" t="inlineStr">
        <is>
          <t>USD 244,242.48</t>
        </is>
      </c>
    </row>
    <row r="21">
      <c r="A21" t="inlineStr">
        <is>
          <t>Deposits CY2025</t>
        </is>
      </c>
      <c r="B21" t="inlineStr">
        <is>
          <t>USD -11,000.00</t>
        </is>
      </c>
    </row>
    <row r="22">
      <c r="A22" t="inlineStr">
        <is>
          <t>Deposits since inception (to 31-Mar-2025)</t>
        </is>
      </c>
      <c r="B22" t="inlineStr">
        <is>
          <t>USD 0.01</t>
        </is>
      </c>
    </row>
    <row r="23">
      <c r="A23" t="inlineStr">
        <is>
          <t>Dividends CY2025</t>
        </is>
      </c>
      <c r="B23" t="inlineStr">
        <is>
          <t>USD 4,991.67 / INR 431,760 (Rule 115)</t>
        </is>
      </c>
    </row>
    <row r="24">
      <c r="A24" t="inlineStr">
        <is>
          <t>Interest CY2025</t>
        </is>
      </c>
      <c r="B24" t="inlineStr">
        <is>
          <t>USD 220.01 / INR 19,393 (Rule 115)</t>
        </is>
      </c>
    </row>
    <row r="25">
      <c r="A25" t="inlineStr">
        <is>
          <t>Dividends FY2025-26</t>
        </is>
      </c>
      <c r="B25" t="inlineStr">
        <is>
          <t>USD 5,094.11 / INR 447,269</t>
        </is>
      </c>
    </row>
    <row r="26">
      <c r="A26" t="inlineStr">
        <is>
          <t>Interest FY2025-26</t>
        </is>
      </c>
      <c r="B26" t="inlineStr">
        <is>
          <t>USD 330.45 / INR 29,382</t>
        </is>
      </c>
    </row>
    <row r="27">
      <c r="A27" t="inlineStr">
        <is>
          <t>STCG FY2025-26 (INR)</t>
        </is>
      </c>
      <c r="B27" t="inlineStr">
        <is>
          <t>511,544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2,822,608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2024-08-20 (first inbound FOP transfer — ACN)</t>
        </is>
      </c>
    </row>
    <row r="33">
      <c r="A33" t="inlineStr">
        <is>
          <t>A3 Equity &amp; Debt Interest</t>
        </is>
      </c>
      <c r="B33" t="inlineStr">
        <is>
          <t>Applicable — 24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2026-08-20T13:28:02Z</dcterms:created>
  <dcterms:modified xsi:type="dcterms:W3CDTF">2026-08-20T13:28:02Z</dcterms:modified>
</cp:coreProperties>
</file>