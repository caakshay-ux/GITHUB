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X Lookup" sheetId="1" state="visible" r:id="rId1"/>
    <sheet name="A3" sheetId="2" state="visible" r:id="rId2"/>
    <sheet name="A3 (USD reference)" sheetId="3" state="visible" r:id="rId3"/>
    <sheet name="FX Rates (USD-INR)" sheetId="4" state="visible" r:id="rId4"/>
    <sheet name="A2 Custodial Account" sheetId="5" state="visible" r:id="rId5"/>
    <sheet name="Schedule OS - CY2025" sheetId="6" state="visible" r:id="rId6"/>
    <sheet name="Schedule OS - FY2025-26" sheetId="7" state="visible" r:id="rId7"/>
    <sheet name="FTC - Withholding Tax" sheetId="8" state="visible" r:id="rId8"/>
    <sheet name="Capital Gains FY2025-26" sheetId="9" state="visible" r:id="rId9"/>
    <sheet name="Capital Gains FY2024-25" sheetId="10" state="visible" r:id="rId10"/>
    <sheet name="FIFO Lots Register" sheetId="11" state="visible" r:id="rId11"/>
    <sheet name="CG Summary by Symbol" sheetId="12" state="visible" r:id="rId12"/>
    <sheet name="Notes for CA" sheetId="13" state="visible" r:id="rId13"/>
    <sheet name="Capital Gains FY2026-27" sheetId="14" state="visible" r:id="rId14"/>
    <sheet name="Schedule OS - FY2026-27" sheetId="15" state="visible" r:id="rId15"/>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sz val="10"/>
    </font>
    <font>
      <b val="1"/>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0"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48" customWidth="1" min="1" max="1"/>
    <col width="23" customWidth="1" min="2" max="2"/>
    <col width="22" customWidth="1" min="3" max="3"/>
    <col width="48" customWidth="1" min="4" max="4"/>
    <col width="10" customWidth="1" min="5" max="5"/>
  </cols>
  <sheetData>
    <row r="1">
      <c r="A1" t="inlineStr">
        <is>
          <t>EDITABLE FX LOOKUP — change rates in column B/C; capital-gain sheets recalculate via VLOOKUP. Rule 115: use TT Buy on last day of month preceding the month of sale / acquisition.</t>
        </is>
      </c>
    </row>
    <row r="2">
      <c r="A2" t="inlineStr">
        <is>
          <t>Table range for VLOOKUP: A4:C33</t>
        </is>
      </c>
    </row>
    <row r="3">
      <c r="A3" s="1" t="inlineStr">
        <is>
          <t>Rate Date (month-end)</t>
        </is>
      </c>
      <c r="B3" s="1" t="inlineStr">
        <is>
          <t>USD/INR (SBI TT Buy)</t>
        </is>
      </c>
      <c r="C3" s="1" t="inlineStr">
        <is>
          <t>EUR/INR (SBI TT Buy)</t>
        </is>
      </c>
      <c r="D3" s="1" t="inlineStr">
        <is>
          <t>Notes</t>
        </is>
      </c>
    </row>
    <row r="4">
      <c r="A4" s="2" t="n">
        <v>45535</v>
      </c>
      <c r="B4" s="3" t="n">
        <v>83.5</v>
      </c>
      <c r="C4" s="3" t="n">
        <v>91.72</v>
      </c>
      <c r="D4" t="inlineStr">
        <is>
          <t>Month-end card — replace with exact SBI card rate if different</t>
        </is>
      </c>
    </row>
    <row r="5">
      <c r="A5" s="2" t="n">
        <v>45565</v>
      </c>
      <c r="B5" s="3" t="n">
        <v>83.3</v>
      </c>
      <c r="C5" s="3" t="n">
        <v>92.34</v>
      </c>
      <c r="D5" t="inlineStr">
        <is>
          <t>Month-end card — replace with exact SBI card rate if different</t>
        </is>
      </c>
    </row>
    <row r="6">
      <c r="A6" s="2" t="n">
        <v>45596</v>
      </c>
      <c r="B6" s="3" t="n">
        <v>83.68000000000001</v>
      </c>
      <c r="C6" s="3" t="n">
        <v>90.06999999999999</v>
      </c>
      <c r="D6" t="inlineStr">
        <is>
          <t>Month-end card — replace with exact SBI card rate if different</t>
        </is>
      </c>
    </row>
    <row r="7">
      <c r="A7" s="2" t="n">
        <v>45626</v>
      </c>
      <c r="B7" s="3" t="n">
        <v>84.15000000000001</v>
      </c>
      <c r="C7" s="3" t="n">
        <v>88.26000000000001</v>
      </c>
      <c r="D7" t="inlineStr">
        <is>
          <t>Month-end card — replace with exact SBI card rate if different</t>
        </is>
      </c>
    </row>
    <row r="8">
      <c r="A8" s="2" t="n">
        <v>45657</v>
      </c>
      <c r="B8" s="3" t="n">
        <v>85.2</v>
      </c>
      <c r="C8" s="3" t="n">
        <v>87.93000000000001</v>
      </c>
      <c r="D8" t="inlineStr">
        <is>
          <t>Month-end card — replace with exact SBI card rate if different</t>
        </is>
      </c>
    </row>
    <row r="9">
      <c r="A9" s="2" t="n">
        <v>45688</v>
      </c>
      <c r="B9" s="3" t="n">
        <v>86.2</v>
      </c>
      <c r="C9" s="3" t="n">
        <v>88.78</v>
      </c>
      <c r="D9" t="inlineStr">
        <is>
          <t>Month-end card — replace with exact SBI card rate if different</t>
        </is>
      </c>
    </row>
    <row r="10">
      <c r="A10" s="2" t="n">
        <v>45716</v>
      </c>
      <c r="B10" s="3" t="n">
        <v>86.95</v>
      </c>
      <c r="C10" s="3" t="n">
        <v>89.55</v>
      </c>
      <c r="D10" t="inlineStr">
        <is>
          <t>Month-end card — replace with exact SBI card rate if different</t>
        </is>
      </c>
    </row>
    <row r="11">
      <c r="A11" s="2" t="n">
        <v>45745</v>
      </c>
      <c r="B11" s="3" t="n">
        <v>85.09999999999999</v>
      </c>
      <c r="C11" s="3" t="n"/>
      <c r="D11" t="inlineStr">
        <is>
          <t>Month-end card — replace with exact SBI card rate if different</t>
        </is>
      </c>
    </row>
    <row r="12">
      <c r="A12" s="2" t="n">
        <v>45747</v>
      </c>
      <c r="B12" s="3" t="n">
        <v>85.09999999999999</v>
      </c>
      <c r="C12" s="3" t="n">
        <v>91.86</v>
      </c>
      <c r="D12" t="inlineStr">
        <is>
          <t>Month-end card — replace with exact SBI card rate if different</t>
        </is>
      </c>
    </row>
    <row r="13">
      <c r="A13" s="2" t="n">
        <v>45777</v>
      </c>
      <c r="B13" s="3" t="n">
        <v>84.25</v>
      </c>
      <c r="C13" s="3" t="n">
        <v>94.97</v>
      </c>
      <c r="D13" t="inlineStr">
        <is>
          <t>Month-end card — replace with exact SBI card rate if different</t>
        </is>
      </c>
    </row>
    <row r="14">
      <c r="A14" s="2" t="n">
        <v>45808</v>
      </c>
      <c r="B14" s="3" t="n">
        <v>85.09999999999999</v>
      </c>
      <c r="C14" s="3" t="n">
        <v>95.78</v>
      </c>
      <c r="D14" t="inlineStr">
        <is>
          <t>Month-end card — replace with exact SBI card rate if different</t>
        </is>
      </c>
    </row>
    <row r="15">
      <c r="A15" s="2" t="n">
        <v>45838</v>
      </c>
      <c r="B15" s="3" t="n">
        <v>85.09999999999999</v>
      </c>
      <c r="C15" s="3" t="n">
        <v>98.92</v>
      </c>
      <c r="D15" t="inlineStr">
        <is>
          <t>Month-end card — replace with exact SBI card rate if different</t>
        </is>
      </c>
    </row>
    <row r="16">
      <c r="A16" s="2" t="n">
        <v>45869</v>
      </c>
      <c r="B16" s="3" t="n">
        <v>87.15000000000001</v>
      </c>
      <c r="C16" s="3" t="n">
        <v>99.02</v>
      </c>
      <c r="D16" t="inlineStr">
        <is>
          <t>Month-end card — replace with exact SBI card rate if different</t>
        </is>
      </c>
    </row>
    <row r="17">
      <c r="A17" s="2" t="n">
        <v>45899</v>
      </c>
      <c r="B17" s="3" t="n">
        <v>87.7</v>
      </c>
      <c r="C17" s="3" t="n"/>
      <c r="D17" t="inlineStr">
        <is>
          <t>Month-end card — replace with exact SBI card rate if different</t>
        </is>
      </c>
    </row>
    <row r="18">
      <c r="A18" s="2" t="n">
        <v>45900</v>
      </c>
      <c r="B18" s="3" t="n">
        <v>87.7</v>
      </c>
      <c r="C18" s="3" t="n">
        <v>101.7</v>
      </c>
      <c r="D18" t="inlineStr">
        <is>
          <t>Month-end card — replace with exact SBI card rate if different</t>
        </is>
      </c>
    </row>
    <row r="19">
      <c r="A19" s="2" t="n">
        <v>45930</v>
      </c>
      <c r="B19" s="3" t="n">
        <v>88.34999999999999</v>
      </c>
      <c r="C19" s="3" t="n">
        <v>103.09</v>
      </c>
      <c r="D19" t="inlineStr">
        <is>
          <t>Month-end card — replace with exact SBI card rate if different</t>
        </is>
      </c>
    </row>
    <row r="20">
      <c r="A20" s="2" t="n">
        <v>45961</v>
      </c>
      <c r="B20" s="3" t="n">
        <v>88.2</v>
      </c>
      <c r="C20" s="3" t="n">
        <v>101.23</v>
      </c>
      <c r="D20" t="inlineStr">
        <is>
          <t>Month-end card — replace with exact SBI card rate if different</t>
        </is>
      </c>
    </row>
    <row r="21">
      <c r="A21" s="2" t="n">
        <v>45990</v>
      </c>
      <c r="B21" s="3" t="n">
        <v>88.95</v>
      </c>
      <c r="C21" s="3" t="n"/>
      <c r="D21" t="inlineStr">
        <is>
          <t>Month-end card — replace with exact SBI card rate if different</t>
        </is>
      </c>
    </row>
    <row r="22">
      <c r="A22" s="2" t="n">
        <v>45991</v>
      </c>
      <c r="B22" s="3" t="n">
        <v>88.95</v>
      </c>
      <c r="C22" s="3" t="n">
        <v>102.4</v>
      </c>
      <c r="D22" t="inlineStr">
        <is>
          <t>Month-end card — replace with exact SBI card rate if different</t>
        </is>
      </c>
    </row>
    <row r="23">
      <c r="A23" s="2" t="n">
        <v>46022</v>
      </c>
      <c r="B23" s="3" t="n">
        <v>89.47</v>
      </c>
      <c r="C23" s="3" t="n">
        <v>104.2</v>
      </c>
      <c r="D23" t="inlineStr">
        <is>
          <t>Month-end card — replace with exact SBI card rate if different</t>
        </is>
      </c>
    </row>
    <row r="24">
      <c r="A24" s="2" t="n">
        <v>46053</v>
      </c>
      <c r="B24" s="3" t="n">
        <v>91.34999999999999</v>
      </c>
      <c r="C24" s="3" t="n">
        <v>105</v>
      </c>
      <c r="D24" t="inlineStr">
        <is>
          <t>Month-end card — replace with exact SBI card rate if different</t>
        </is>
      </c>
    </row>
    <row r="25">
      <c r="A25" s="2" t="n">
        <v>46081</v>
      </c>
      <c r="B25" s="3" t="n">
        <v>90.56</v>
      </c>
      <c r="C25" s="3" t="n">
        <v>104.5</v>
      </c>
      <c r="D25" t="inlineStr">
        <is>
          <t>Month-end card — replace with exact SBI card rate if different</t>
        </is>
      </c>
    </row>
    <row r="26">
      <c r="A26" s="2" t="n">
        <v>46112</v>
      </c>
      <c r="B26" s="3" t="n">
        <v>93.15000000000001</v>
      </c>
      <c r="C26" s="3" t="n">
        <v>106</v>
      </c>
      <c r="D26" t="inlineStr">
        <is>
          <t>Month-end card — replace with exact SBI card rate if different</t>
        </is>
      </c>
    </row>
    <row r="27">
      <c r="A27" s="2" t="n">
        <v>46142</v>
      </c>
      <c r="B27" s="3" t="n">
        <v>94.8</v>
      </c>
      <c r="C27" s="3" t="n">
        <v>109.7</v>
      </c>
      <c r="D27" t="inlineStr">
        <is>
          <t>Month-end card — replace with exact SBI card rate if different</t>
        </is>
      </c>
    </row>
    <row r="28">
      <c r="A28" s="2" t="n">
        <v>46172</v>
      </c>
      <c r="B28" s="3" t="n">
        <v>94.59999999999999</v>
      </c>
      <c r="C28" s="3" t="n">
        <v>109.4</v>
      </c>
      <c r="D28" t="inlineStr">
        <is>
          <t>Month-end card — replace with exact SBI card rate if different</t>
        </is>
      </c>
    </row>
    <row r="29">
      <c r="A29" s="2" t="n">
        <v>46173</v>
      </c>
      <c r="B29" s="3" t="n">
        <v>94.59999999999999</v>
      </c>
      <c r="C29" s="3" t="n">
        <v>109.4</v>
      </c>
      <c r="D29" t="inlineStr">
        <is>
          <t>Month-end card — replace with exact SBI card rate if different</t>
        </is>
      </c>
    </row>
    <row r="30">
      <c r="A30" s="2" t="n">
        <v>46202</v>
      </c>
      <c r="B30" s="3" t="n">
        <v>93.95</v>
      </c>
      <c r="C30" s="3" t="n">
        <v>106.2</v>
      </c>
      <c r="D30" t="inlineStr">
        <is>
          <t>Month-end card — replace with exact SBI card rate if different</t>
        </is>
      </c>
    </row>
    <row r="31">
      <c r="A31" s="2" t="n">
        <v>46203</v>
      </c>
      <c r="B31" s="3" t="n">
        <v>93.95</v>
      </c>
      <c r="C31" s="3" t="n">
        <v>106.2</v>
      </c>
      <c r="D31" t="inlineStr">
        <is>
          <t>Month-end card — replace with exact SBI card rate if different</t>
        </is>
      </c>
    </row>
    <row r="32">
      <c r="A32" s="2" t="n">
        <v>46234</v>
      </c>
      <c r="B32" s="3" t="n">
        <v>95.2</v>
      </c>
      <c r="C32" s="3" t="n">
        <v>106.2</v>
      </c>
      <c r="D32" t="inlineStr">
        <is>
          <t>Month-end card — replace with exact SBI card rate if different</t>
        </is>
      </c>
    </row>
    <row r="33">
      <c r="A33" s="2" t="n">
        <v>46265</v>
      </c>
      <c r="B33" s="3" t="n">
        <v>95</v>
      </c>
      <c r="C33" s="3" t="n">
        <v>106.2</v>
      </c>
      <c r="D33" t="inlineStr">
        <is>
          <t>Month-end card — replace with exact SBI card rate if different</t>
        </is>
      </c>
    </row>
    <row r="35">
      <c r="A35" t="inlineStr">
        <is>
          <t>FCY→USD cross rates (IBKR 31-Dec-2025 close — edit if using trade-date FX)</t>
        </is>
      </c>
    </row>
    <row r="36">
      <c r="A36" s="1" t="inlineStr">
        <is>
          <t>Currency</t>
        </is>
      </c>
      <c r="B36" s="1" t="inlineStr">
        <is>
          <t>Units per 1 FCY → USD</t>
        </is>
      </c>
    </row>
    <row r="37">
      <c r="A37" t="inlineStr">
        <is>
          <t>CHF</t>
        </is>
      </c>
      <c r="B37" s="3" t="n">
        <v>1.2615</v>
      </c>
    </row>
    <row r="38">
      <c r="A38" t="inlineStr">
        <is>
          <t>CNH</t>
        </is>
      </c>
      <c r="B38" s="3" t="n">
        <v>0.14905</v>
      </c>
    </row>
    <row r="39">
      <c r="A39" t="inlineStr">
        <is>
          <t>CNY</t>
        </is>
      </c>
      <c r="B39" s="3" t="n">
        <v>0.14905</v>
      </c>
    </row>
    <row r="40">
      <c r="A40" t="inlineStr">
        <is>
          <t>DKK</t>
        </is>
      </c>
      <c r="B40" s="3" t="n">
        <v>0.15726</v>
      </c>
    </row>
    <row r="41">
      <c r="A41" t="inlineStr">
        <is>
          <t>EUR</t>
        </is>
      </c>
      <c r="B41" s="3" t="n">
        <v>1.1746</v>
      </c>
    </row>
    <row r="42">
      <c r="A42" t="inlineStr">
        <is>
          <t>GBP</t>
        </is>
      </c>
      <c r="B42" s="3" t="n">
        <v>1.342</v>
      </c>
    </row>
    <row r="43">
      <c r="A43" t="inlineStr">
        <is>
          <t>HKD</t>
        </is>
      </c>
      <c r="B43" s="3" t="n">
        <v>0.12849</v>
      </c>
    </row>
    <row r="44">
      <c r="A44" t="inlineStr">
        <is>
          <t>JPY</t>
        </is>
      </c>
      <c r="B44" s="3" t="n">
        <v>0.0063827</v>
      </c>
    </row>
    <row r="45">
      <c r="A45" t="inlineStr">
        <is>
          <t>SGD</t>
        </is>
      </c>
      <c r="B45" s="3" t="n">
        <v>0.7776049766718507</v>
      </c>
    </row>
    <row r="46">
      <c r="A46" t="inlineStr">
        <is>
          <t>TWD</t>
        </is>
      </c>
      <c r="B46" s="3" t="n">
        <v>0.031725</v>
      </c>
    </row>
    <row r="47">
      <c r="A47" t="inlineStr">
        <is>
          <t>USD</t>
        </is>
      </c>
      <c r="B47" s="3" t="n">
        <v>1</v>
      </c>
    </row>
    <row r="49">
      <c r="A49" t="inlineStr">
        <is>
          <t>Yellow/input cells on CG sheets: Sale/Cost FCY, Comm USD, FX rates. All P&amp;L columns are formulas.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48" customWidth="1" min="1" max="1"/>
    <col width="14" customWidth="1" min="2" max="2"/>
    <col width="16" customWidth="1" min="3" max="3"/>
    <col width="19" customWidth="1" min="4" max="4"/>
    <col width="10" customWidth="1" min="5" max="5"/>
    <col width="18" customWidth="1" min="6" max="6"/>
    <col width="32" customWidth="1" min="7" max="7"/>
    <col width="33" customWidth="1" min="8" max="8"/>
    <col width="44" customWidth="1" min="9" max="9"/>
    <col width="17" customWidth="1" min="10" max="10"/>
    <col width="48" customWidth="1" min="11" max="11"/>
    <col width="48" customWidth="1" min="12" max="12"/>
  </cols>
  <sheetData>
    <row r="1">
      <c r="A1" t="inlineStr">
        <is>
          <t>A3. Details of Foreign Equity and Debt Interest held (including any beneficial interest) in any entity at any time during the calendar year 2025</t>
        </is>
      </c>
    </row>
    <row r="2">
      <c r="A2" s="1" t="inlineStr">
        <is>
          <t>Country name</t>
        </is>
      </c>
      <c r="B2" s="1" t="inlineStr">
        <is>
          <t>Country code</t>
        </is>
      </c>
      <c r="C2" s="1" t="inlineStr">
        <is>
          <t>Name of entity</t>
        </is>
      </c>
      <c r="D2" s="1" t="inlineStr">
        <is>
          <t>Address of entity</t>
        </is>
      </c>
      <c r="E2" s="1" t="inlineStr">
        <is>
          <t>ZIP code</t>
        </is>
      </c>
      <c r="F2" s="1" t="inlineStr">
        <is>
          <t>Nature of entity</t>
        </is>
      </c>
      <c r="G2" s="1" t="inlineStr">
        <is>
          <t>Date of acquiring the interest</t>
        </is>
      </c>
      <c r="H2" s="1" t="inlineStr">
        <is>
          <t>Initial value of the investment</t>
        </is>
      </c>
      <c r="I2" s="1" t="inlineStr">
        <is>
          <t>Peak value of investment during the period</t>
        </is>
      </c>
      <c r="J2" s="1" t="inlineStr">
        <is>
          <t>Closing balance</t>
        </is>
      </c>
      <c r="K2" s="1" t="inlineStr">
        <is>
          <t>Total gross amount paid/credited with respect to the holding during the period</t>
        </is>
      </c>
      <c r="L2" s="1" t="inlineStr">
        <is>
          <t>Total gross proceeds from sale or redemption of investment during the period</t>
        </is>
      </c>
    </row>
    <row r="4">
      <c r="A4" t="n">
        <v>1</v>
      </c>
      <c r="B4" t="n">
        <v>2</v>
      </c>
      <c r="C4" t="n">
        <v>3</v>
      </c>
      <c r="D4" t="n">
        <v>4</v>
      </c>
      <c r="E4" t="n">
        <v>5</v>
      </c>
      <c r="F4" t="n">
        <v>6</v>
      </c>
      <c r="G4" t="n">
        <v>7</v>
      </c>
      <c r="H4" t="n">
        <v>8</v>
      </c>
      <c r="I4" t="n">
        <v>9</v>
      </c>
      <c r="J4" t="n">
        <v>10</v>
      </c>
      <c r="K4" t="n">
        <v>11</v>
      </c>
      <c r="L4" t="n">
        <v>12</v>
      </c>
    </row>
    <row r="6">
      <c r="G6" t="inlineStr">
        <is>
          <t>TOTAL (Rs.)</t>
        </is>
      </c>
      <c r="H6" s="4" t="n">
        <v>0</v>
      </c>
      <c r="I6" s="4" t="n">
        <v>0</v>
      </c>
      <c r="J6" s="4" t="n">
        <v>0</v>
      </c>
      <c r="K6" s="4" t="n">
        <v>0</v>
      </c>
      <c r="L6" s="4" t="n">
        <v>0</v>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0" customWidth="1" min="1" max="1"/>
    <col width="10" customWidth="1" min="2" max="2"/>
    <col width="14" customWidth="1" min="3" max="3"/>
    <col width="10" customWidth="1" min="4" max="4"/>
    <col width="13" customWidth="1" min="5" max="5"/>
    <col width="10" customWidth="1" min="6" max="6"/>
    <col width="11" customWidth="1" min="7" max="7"/>
    <col width="21" customWidth="1" min="8" max="8"/>
    <col width="21" customWidth="1" min="9" max="9"/>
    <col width="18" customWidth="1" min="10" max="10"/>
    <col width="21" customWidth="1" min="11" max="11"/>
    <col width="24" customWidth="1" min="12" max="12"/>
    <col width="21" customWidth="1" min="13" max="13"/>
  </cols>
  <sheetData>
    <row r="1">
      <c r="A1" s="1" t="inlineStr">
        <is>
          <t>S.No</t>
        </is>
      </c>
      <c r="B1" s="1" t="inlineStr">
        <is>
          <t>Country</t>
        </is>
      </c>
      <c r="C1" s="1" t="inlineStr">
        <is>
          <t>Country Code</t>
        </is>
      </c>
      <c r="D1" s="1" t="inlineStr">
        <is>
          <t>Symbol</t>
        </is>
      </c>
      <c r="E1" s="1" t="inlineStr">
        <is>
          <t>Description</t>
        </is>
      </c>
      <c r="F1" s="1" t="inlineStr">
        <is>
          <t>Nature</t>
        </is>
      </c>
      <c r="G1" s="1" t="inlineStr">
        <is>
          <t>Qty Close</t>
        </is>
      </c>
      <c r="H1" s="1" t="inlineStr">
        <is>
          <t>Date of Acquisition</t>
        </is>
      </c>
      <c r="I1" s="1" t="inlineStr">
        <is>
          <t>Initial Value (USD)</t>
        </is>
      </c>
      <c r="J1" s="1" t="inlineStr">
        <is>
          <t>Peak Value (USD)</t>
        </is>
      </c>
      <c r="K1" s="1" t="inlineStr">
        <is>
          <t>Closing Value (USD)</t>
        </is>
      </c>
      <c r="L1" s="1" t="inlineStr">
        <is>
          <t>Dividends CY2025 (USD)</t>
        </is>
      </c>
      <c r="M1" s="1" t="inlineStr">
        <is>
          <t>Sale Proceeds (USD)</t>
        </is>
      </c>
    </row>
    <row r="2">
      <c r="H2" t="inlineStr">
        <is>
          <t>TOTAL (USD)</t>
        </is>
      </c>
      <c r="I2" t="n">
        <v>0</v>
      </c>
      <c r="J2" t="n">
        <v>0</v>
      </c>
      <c r="K2" t="n">
        <v>0</v>
      </c>
      <c r="L2" t="n">
        <v>0</v>
      </c>
      <c r="M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8" customWidth="1" min="1" max="1"/>
    <col width="48" customWidth="1" min="2" max="2"/>
    <col width="15" customWidth="1" min="3" max="3"/>
    <col width="48" customWidth="1" min="4" max="4"/>
  </cols>
  <sheetData>
    <row r="1">
      <c r="A1" t="inlineStr">
        <is>
          <t>USD / INR SBI TT Buying rates used (month-end card rates — CA to verify exact date rates). Prefer editing 'FX Lookup' sheet for live CG formulas.</t>
        </is>
      </c>
    </row>
    <row r="3">
      <c r="A3" s="1" t="inlineStr">
        <is>
          <t>Date</t>
        </is>
      </c>
      <c r="B3" s="1" t="inlineStr">
        <is>
          <t>Purpose</t>
        </is>
      </c>
      <c r="C3" s="1" t="inlineStr">
        <is>
          <t>USD/INR (Rs.)</t>
        </is>
      </c>
      <c r="D3" s="1" t="inlineStr">
        <is>
          <t>Source</t>
        </is>
      </c>
    </row>
    <row r="4">
      <c r="A4" s="2" t="n">
        <v>45657</v>
      </c>
      <c r="B4" t="inlineStr">
        <is>
          <t>Initial value for securities held on 01-Jan-2025</t>
        </is>
      </c>
      <c r="C4" t="n">
        <v>85.2</v>
      </c>
      <c r="D4" t="inlineStr">
        <is>
          <t>SBI TTBR month-end compilation — verify on sbi.co.in</t>
        </is>
      </c>
    </row>
    <row r="5">
      <c r="A5" s="2" t="n">
        <v>46022</v>
      </c>
      <c r="B5" t="inlineStr">
        <is>
          <t>Closing balance (year-end) / peak proxy</t>
        </is>
      </c>
      <c r="C5" t="n">
        <v>89.47</v>
      </c>
      <c r="D5" t="inlineStr">
        <is>
          <t>SBI TTBR month-end compilation — verify on sbi.co.in</t>
        </is>
      </c>
    </row>
    <row r="6">
      <c r="A6" s="2" t="n">
        <v>45747</v>
      </c>
      <c r="B6" t="inlineStr">
        <is>
          <t>Rule 115 rate for Apr-2025 events</t>
        </is>
      </c>
      <c r="C6" t="n">
        <v>85.09999999999999</v>
      </c>
      <c r="D6" t="inlineStr">
        <is>
          <t>SBI TTBR month-end compilation — verify on sbi.co.in</t>
        </is>
      </c>
    </row>
    <row r="7">
      <c r="A7" s="2" t="n">
        <v>45838</v>
      </c>
      <c r="B7" t="inlineStr">
        <is>
          <t>Rule 115 rate for Jul-2025 events</t>
        </is>
      </c>
      <c r="C7" t="n">
        <v>85.09999999999999</v>
      </c>
      <c r="D7" t="inlineStr">
        <is>
          <t>SBI TTBR month-end compilation — verify on sbi.co.in</t>
        </is>
      </c>
    </row>
    <row r="8">
      <c r="A8" s="2" t="n">
        <v>45869</v>
      </c>
      <c r="B8" t="inlineStr">
        <is>
          <t>Rule 115 rate for Aug-2025 events</t>
        </is>
      </c>
      <c r="C8" t="n">
        <v>87.15000000000001</v>
      </c>
      <c r="D8" t="inlineStr">
        <is>
          <t>SBI TTBR month-end compilation — verify on sbi.co.in</t>
        </is>
      </c>
    </row>
    <row r="9">
      <c r="A9" s="2" t="n">
        <v>45991</v>
      </c>
      <c r="B9" t="inlineStr">
        <is>
          <t>Rule 115 rate for Dec-2025 events</t>
        </is>
      </c>
      <c r="C9" t="n">
        <v>88.95</v>
      </c>
      <c r="D9" t="inlineStr">
        <is>
          <t>SBI TTBR month-end compilation — verify on sbi.co.in</t>
        </is>
      </c>
    </row>
    <row r="10">
      <c r="A10" s="2" t="n">
        <v>46081</v>
      </c>
      <c r="B10" t="inlineStr">
        <is>
          <t>Rule 115 rate for Mar-2026 events</t>
        </is>
      </c>
      <c r="C10" t="n">
        <v>90.56</v>
      </c>
      <c r="D10" t="inlineStr">
        <is>
          <t>SBI TTBR month-end compilation — verify on sbi.co.in</t>
        </is>
      </c>
    </row>
    <row r="12">
      <c r="A12" t="inlineStr">
        <is>
          <t>NOTES:</t>
        </is>
      </c>
    </row>
    <row r="13">
      <c r="A13" t="inlineStr">
        <is>
          <t>1. Schedule FA: convert at SBI TT Buy on acquisition date (initial), peak date (peak), and 31-Dec (closing).</t>
        </is>
      </c>
    </row>
    <row r="14">
      <c r="A14" t="inlineStr">
        <is>
          <t>2. Income (dividends/interest/capital gains): Rule 115 — TT Buy on last day of month preceding the month of receipt/transfer.</t>
        </is>
      </c>
    </row>
    <row r="15">
      <c r="A15" t="inlineStr">
        <is>
          <t>3. Non-USD holdings converted to USD using IBKR 31-Dec-2025 FX (EUR 1.1746, HKD 0.12849, JPY 0.0063827, DKK 0.15726), then to INR — editable on CG sheets.</t>
        </is>
      </c>
    </row>
    <row r="16">
      <c r="A16" t="inlineStr">
        <is>
          <t>4. Peak per security estimated as MAX(initial, closing, sale proceeds) — IBKR Activity Statement does not publish daily per-symbol peaks.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8" customWidth="1" min="1" max="1"/>
    <col width="20" customWidth="1" min="2" max="2"/>
    <col width="48" customWidth="1" min="3" max="3"/>
    <col width="40" customWidth="1" min="4" max="4"/>
    <col width="31" customWidth="1" min="5" max="5"/>
    <col width="31" customWidth="1" min="6" max="6"/>
    <col width="34" customWidth="1" min="7" max="7"/>
    <col width="48" customWidth="1" min="8" max="8"/>
  </cols>
  <sheetData>
    <row r="1">
      <c r="A1" t="inlineStr">
        <is>
          <t>A2. Details of Foreign Custodial Accounts held (including any beneficial interest) at any time during the calendar year 2025</t>
        </is>
      </c>
    </row>
    <row r="2">
      <c r="A2" s="1" t="inlineStr">
        <is>
          <t>Country name</t>
        </is>
      </c>
      <c r="B2" s="1" t="inlineStr">
        <is>
          <t>Country code</t>
        </is>
      </c>
      <c r="C2" s="1" t="inlineStr">
        <is>
          <t>Name of Financial Institution</t>
        </is>
      </c>
      <c r="D2" s="1" t="inlineStr">
        <is>
          <t>Address of Financial Institution</t>
        </is>
      </c>
      <c r="E2" s="1" t="inlineStr">
        <is>
          <t>ZIP Code</t>
        </is>
      </c>
      <c r="F2" s="1" t="inlineStr">
        <is>
          <t>Account Number</t>
        </is>
      </c>
      <c r="G2" s="1" t="inlineStr">
        <is>
          <t>Status</t>
        </is>
      </c>
      <c r="H2" s="1" t="inlineStr">
        <is>
          <t>Account opening date</t>
        </is>
      </c>
    </row>
    <row r="3">
      <c r="A3" t="inlineStr">
        <is>
          <t>United States of America</t>
        </is>
      </c>
      <c r="B3" t="n">
        <v>2</v>
      </c>
      <c r="C3" t="inlineStr">
        <is>
          <t>Interactive Brokers LLC (Clearing Broker), Advisor Client via Interactive Brokers (India) / Investment Advisor: MATCAP WEALTH ADVISORS PRIVATE LIMITED</t>
        </is>
      </c>
      <c r="D3" t="inlineStr">
        <is>
          <t>One Pickwick Plaza, Greenwich, CT, USA</t>
        </is>
      </c>
      <c r="E3" t="inlineStr">
        <is>
          <t>06830</t>
        </is>
      </c>
      <c r="F3" t="inlineStr">
        <is>
          <t>U21864112</t>
        </is>
      </c>
      <c r="G3" t="inlineStr">
        <is>
          <t>Owner - Joint beneficial owners</t>
        </is>
      </c>
      <c r="H3" t="inlineStr">
        <is>
          <t>2026-01-30 (Internal transfer In of AVGO from U16003525)</t>
        </is>
      </c>
    </row>
    <row r="5">
      <c r="A5" s="1" t="inlineStr">
        <is>
          <t>Peak balance in account during period (USD)</t>
        </is>
      </c>
      <c r="B5" s="1" t="inlineStr">
        <is>
          <t>Peak balance (INR)</t>
        </is>
      </c>
      <c r="C5" s="1" t="inlineStr">
        <is>
          <t>Closing balance (USD)</t>
        </is>
      </c>
      <c r="D5" s="1" t="inlineStr">
        <is>
          <t>Closing balance (INR)</t>
        </is>
      </c>
      <c r="E5" s="1" t="inlineStr">
        <is>
          <t>Gross interest received (USD)</t>
        </is>
      </c>
      <c r="F5" s="1" t="inlineStr">
        <is>
          <t>Gross interest received (INR)</t>
        </is>
      </c>
      <c r="G5" s="1" t="inlineStr">
        <is>
          <t>Gross amount paid/credited (USD)</t>
        </is>
      </c>
      <c r="H5" s="1" t="inlineStr">
        <is>
          <t>Gross amount paid/credited (INR)</t>
        </is>
      </c>
    </row>
    <row r="6">
      <c r="A6" t="n">
        <v>0</v>
      </c>
      <c r="B6" t="n">
        <v>0</v>
      </c>
      <c r="C6" t="n">
        <v>0</v>
      </c>
      <c r="D6" t="n">
        <v>0</v>
      </c>
      <c r="E6" t="n">
        <v>0</v>
      </c>
      <c r="F6" t="n">
        <v>0</v>
      </c>
      <c r="G6" t="n">
        <v>0</v>
      </c>
      <c r="H6" t="n">
        <v>0</v>
      </c>
    </row>
    <row r="8">
      <c r="A8" t="inlineStr">
        <is>
          <t>NOTES:</t>
        </is>
      </c>
    </row>
    <row r="9">
      <c r="A9" t="inlineStr">
        <is>
          <t>Account: IBKR U21864112 — Rajani J Vallath and Sanjeev K Nair (Joint, USD base, Cash).</t>
        </is>
      </c>
    </row>
    <row r="10">
      <c r="A10" t="inlineStr">
        <is>
          <t>Starting NAV 01-Jan-2025: USD 0.00; Ending NAV 31-Dec-2025: USD 0.00.</t>
        </is>
      </c>
    </row>
    <row r="11">
      <c r="A11" t="inlineStr">
        <is>
          <t>Peak NAV: Activity Statement does not include daily NAV — shown as max(start, end). Obtain PortfolioAnalyst for true peak.</t>
        </is>
      </c>
    </row>
    <row r="12">
      <c r="A12" t="inlineStr">
        <is>
          <t>Deposits CY2025: USD 0.00 ().</t>
        </is>
      </c>
    </row>
    <row r="13">
      <c r="A13" t="inlineStr">
        <is>
          <t>Gross amount paid/credited = interest + dividends credited in the custodial account during CY2025.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8" customWidth="1" min="1" max="1"/>
    <col width="17" customWidth="1" min="2" max="2"/>
    <col width="10" customWidth="1" min="3" max="3"/>
    <col width="14" customWidth="1" min="4" max="4"/>
    <col width="14" customWidth="1" min="5" max="5"/>
    <col width="20" customWidth="1" min="6" max="6"/>
    <col width="14" customWidth="1" min="7" max="7"/>
  </cols>
  <sheetData>
    <row r="1">
      <c r="A1" t="inlineStr">
        <is>
          <t>Interest &amp; Dividend income from foreign sources — Calendar Year 2025 (Schedule FA cross-ref / Schedule OS)</t>
        </is>
      </c>
    </row>
    <row r="2">
      <c r="A2" s="1" t="inlineStr">
        <is>
          <t>Date</t>
        </is>
      </c>
      <c r="B2" s="1" t="inlineStr">
        <is>
          <t>Description</t>
        </is>
      </c>
      <c r="C2" s="1" t="inlineStr">
        <is>
          <t>Currency</t>
        </is>
      </c>
      <c r="D2" s="1" t="inlineStr">
        <is>
          <t>Amount (FCY)</t>
        </is>
      </c>
      <c r="E2" s="1" t="inlineStr">
        <is>
          <t>Amount (USD)</t>
        </is>
      </c>
      <c r="F2" s="1" t="inlineStr">
        <is>
          <t>USD/INR (Rule 115)</t>
        </is>
      </c>
      <c r="G2" s="1" t="inlineStr">
        <is>
          <t>Amount (INR)</t>
        </is>
      </c>
    </row>
    <row r="3">
      <c r="A3" t="inlineStr">
        <is>
          <t>— INTEREST —</t>
        </is>
      </c>
    </row>
    <row r="4">
      <c r="B4" t="inlineStr">
        <is>
          <t>TOTAL INTEREST</t>
        </is>
      </c>
      <c r="E4" t="n">
        <v>0</v>
      </c>
      <c r="G4" t="n">
        <v>0</v>
      </c>
    </row>
    <row r="6">
      <c r="A6" t="inlineStr">
        <is>
          <t>— DIVIDENDS —</t>
        </is>
      </c>
    </row>
    <row r="7">
      <c r="B7" t="inlineStr">
        <is>
          <t>TOTAL DIVIDENDS</t>
        </is>
      </c>
      <c r="E7" t="n">
        <v>0</v>
      </c>
      <c r="G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8" customWidth="1" min="1" max="1"/>
    <col width="48" customWidth="1" min="2" max="2"/>
    <col width="10" customWidth="1" min="3" max="3"/>
    <col width="14" customWidth="1" min="4" max="4"/>
    <col width="14" customWidth="1" min="5" max="5"/>
    <col width="20" customWidth="1" min="6" max="6"/>
    <col width="14" customWidth="1" min="7" max="7"/>
  </cols>
  <sheetData>
    <row r="1">
      <c r="A1" t="inlineStr">
        <is>
          <t>Interest &amp; Dividend income — Financial Year 2025-26 (01-Apr-2025 to 31-Mar-2026) for ITR income schedules</t>
        </is>
      </c>
    </row>
    <row r="2">
      <c r="A2" s="1" t="inlineStr">
        <is>
          <t>Date</t>
        </is>
      </c>
      <c r="B2" s="1" t="inlineStr">
        <is>
          <t>Description</t>
        </is>
      </c>
      <c r="C2" s="1" t="inlineStr">
        <is>
          <t>Currency</t>
        </is>
      </c>
      <c r="D2" s="1" t="inlineStr">
        <is>
          <t>Amount (FCY)</t>
        </is>
      </c>
      <c r="E2" s="1" t="inlineStr">
        <is>
          <t>Amount (USD)</t>
        </is>
      </c>
      <c r="F2" s="1" t="inlineStr">
        <is>
          <t>USD/INR (Rule 115)</t>
        </is>
      </c>
      <c r="G2" s="1" t="inlineStr">
        <is>
          <t>Amount (INR)</t>
        </is>
      </c>
    </row>
    <row r="3">
      <c r="A3" t="inlineStr">
        <is>
          <t>— INTEREST —</t>
        </is>
      </c>
    </row>
    <row r="4">
      <c r="B4" t="inlineStr">
        <is>
          <t>TOTAL INTEREST</t>
        </is>
      </c>
      <c r="E4" t="n">
        <v>0</v>
      </c>
      <c r="G4" t="n">
        <v>0</v>
      </c>
    </row>
    <row r="6">
      <c r="A6" t="inlineStr">
        <is>
          <t>— DIVIDENDS —</t>
        </is>
      </c>
    </row>
    <row r="7">
      <c r="A7" s="2" t="n">
        <v>46112</v>
      </c>
      <c r="B7" t="inlineStr">
        <is>
          <t>AVGO(US11135F1012) Cash Dividend USD 0.65 per Share (Ordinary Dividend)</t>
        </is>
      </c>
      <c r="C7" t="inlineStr">
        <is>
          <t>USD</t>
        </is>
      </c>
      <c r="D7" t="n">
        <v>116.35</v>
      </c>
      <c r="E7" t="n">
        <v>116.35</v>
      </c>
      <c r="F7" t="n">
        <v>90.56</v>
      </c>
      <c r="G7" t="n">
        <v>10537</v>
      </c>
    </row>
    <row r="8">
      <c r="B8" t="inlineStr">
        <is>
          <t>TOTAL DIVIDENDS</t>
        </is>
      </c>
      <c r="E8" t="n">
        <v>116.35</v>
      </c>
      <c r="G8" t="n">
        <v>10537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2" customWidth="1" min="2" max="2"/>
    <col width="48" customWidth="1" min="3" max="3"/>
    <col width="10" customWidth="1" min="4" max="4"/>
    <col width="14" customWidth="1" min="5" max="5"/>
    <col width="14" customWidth="1" min="6" max="6"/>
    <col width="10" customWidth="1" min="7" max="7"/>
    <col width="14" customWidth="1" min="8" max="8"/>
  </cols>
  <sheetData>
    <row r="1">
      <c r="A1" t="inlineStr">
        <is>
          <t>Foreign tax withheld (for Schedule FSI / TR) — review credit eligibility under DTAA</t>
        </is>
      </c>
    </row>
    <row r="2">
      <c r="A2" s="1" t="inlineStr">
        <is>
          <t>Period</t>
        </is>
      </c>
      <c r="B2" s="1" t="inlineStr">
        <is>
          <t>Date</t>
        </is>
      </c>
      <c r="C2" s="1" t="inlineStr">
        <is>
          <t>Description</t>
        </is>
      </c>
      <c r="D2" s="1" t="inlineStr">
        <is>
          <t>Currency</t>
        </is>
      </c>
      <c r="E2" s="1" t="inlineStr">
        <is>
          <t>Amount (FCY)</t>
        </is>
      </c>
      <c r="F2" s="1" t="inlineStr">
        <is>
          <t>Amount (USD)</t>
        </is>
      </c>
      <c r="G2" s="1" t="inlineStr">
        <is>
          <t>USD/INR</t>
        </is>
      </c>
      <c r="H2" s="1" t="inlineStr">
        <is>
          <t>Amount (INR)</t>
        </is>
      </c>
    </row>
    <row r="3">
      <c r="A3" t="inlineStr">
        <is>
          <t>FY2025-26</t>
        </is>
      </c>
      <c r="B3" s="2" t="n">
        <v>46112</v>
      </c>
      <c r="C3" t="inlineStr">
        <is>
          <t>AVGO(US11135F1012) Cash Dividend USD 0.65 per Share - US Tax</t>
        </is>
      </c>
      <c r="D3" t="inlineStr">
        <is>
          <t>USD</t>
        </is>
      </c>
      <c r="E3" t="n">
        <v>-29.09</v>
      </c>
      <c r="F3" t="n">
        <v>-29.09</v>
      </c>
      <c r="G3" t="n">
        <v>90.56</v>
      </c>
      <c r="H3" t="n">
        <v>-2634</v>
      </c>
    </row>
    <row r="4">
      <c r="A4" t="inlineStr">
        <is>
          <t>FY2026-27 YTD</t>
        </is>
      </c>
      <c r="B4" s="2" t="n">
        <v>46252</v>
      </c>
      <c r="C4" t="inlineStr">
        <is>
          <t>NOVO B(DK0062498333) Cash Dividend DKK 3.75 per Share - DK Tax</t>
        </is>
      </c>
      <c r="D4" t="inlineStr">
        <is>
          <t>DKK</t>
        </is>
      </c>
      <c r="E4" t="n">
        <v>-15.19</v>
      </c>
      <c r="F4" t="n">
        <v>-2.3888</v>
      </c>
      <c r="G4" t="n">
        <v>95.2</v>
      </c>
      <c r="H4" t="n">
        <v>-227</v>
      </c>
    </row>
    <row r="5">
      <c r="A5" t="inlineStr">
        <is>
          <t>FY2026-27 YTD</t>
        </is>
      </c>
      <c r="B5" s="2" t="n">
        <v>46258</v>
      </c>
      <c r="C5" t="inlineStr">
        <is>
          <t>2890(TW0002890001) Cash Dividend TWD 1.1 per Share - TW Tax</t>
        </is>
      </c>
      <c r="D5" t="inlineStr">
        <is>
          <t>TWD</t>
        </is>
      </c>
      <c r="E5" t="n">
        <v>-69.3</v>
      </c>
      <c r="F5" t="n">
        <v>-2.1985</v>
      </c>
      <c r="G5" t="n">
        <v>95.2</v>
      </c>
      <c r="H5" t="n">
        <v>-209</v>
      </c>
    </row>
    <row r="6">
      <c r="A6" t="inlineStr">
        <is>
          <t>FY2026-27 YTD</t>
        </is>
      </c>
      <c r="B6" s="2" t="n">
        <v>46198</v>
      </c>
      <c r="C6" t="inlineStr">
        <is>
          <t>QTUM(US26922A4206) Cash Dividend USD 0.269935 per Share - US Tax</t>
        </is>
      </c>
      <c r="D6" t="inlineStr">
        <is>
          <t>USD</t>
        </is>
      </c>
      <c r="E6" t="n">
        <v>-0.2</v>
      </c>
      <c r="F6" t="n">
        <v>-0.2</v>
      </c>
      <c r="G6" t="n">
        <v>94.59999999999999</v>
      </c>
      <c r="H6" t="n">
        <v>-19</v>
      </c>
    </row>
    <row r="7">
      <c r="A7" t="inlineStr">
        <is>
          <t>FY2026-27 YTD</t>
        </is>
      </c>
      <c r="B7" s="2" t="n">
        <v>46275</v>
      </c>
      <c r="C7" t="inlineStr">
        <is>
          <t>LLY(US5324571083) Cash Dividend USD 1.73 per Share - US Tax</t>
        </is>
      </c>
      <c r="D7" t="inlineStr">
        <is>
          <t>USD</t>
        </is>
      </c>
      <c r="E7" t="n">
        <v>-0.3</v>
      </c>
      <c r="F7" t="n">
        <v>-0.3</v>
      </c>
      <c r="G7" t="n">
        <v>95</v>
      </c>
      <c r="H7" t="n">
        <v>-28</v>
      </c>
    </row>
    <row r="8">
      <c r="A8" t="inlineStr">
        <is>
          <t>FY2026-27 YTD</t>
        </is>
      </c>
      <c r="B8" s="2" t="n">
        <v>46275</v>
      </c>
      <c r="C8" t="inlineStr">
        <is>
          <t>MSFT(US5949181045) Cash Dividend USD 0.91 per Share - US Tax</t>
        </is>
      </c>
      <c r="D8" t="inlineStr">
        <is>
          <t>USD</t>
        </is>
      </c>
      <c r="E8" t="n">
        <v>-0.64</v>
      </c>
      <c r="F8" t="n">
        <v>-0.64</v>
      </c>
      <c r="G8" t="n">
        <v>95</v>
      </c>
      <c r="H8" t="n">
        <v>-61</v>
      </c>
    </row>
    <row r="9">
      <c r="A9" t="inlineStr">
        <is>
          <t>FY2026-27 YTD</t>
        </is>
      </c>
      <c r="B9" s="2" t="n">
        <v>46279</v>
      </c>
      <c r="C9" t="inlineStr">
        <is>
          <t>GOOGL(US02079K3059) Cash Dividend USD 0.22 per Share - US Tax</t>
        </is>
      </c>
      <c r="D9" t="inlineStr">
        <is>
          <t>USD</t>
        </is>
      </c>
      <c r="E9" t="n">
        <v>-0.17</v>
      </c>
      <c r="F9" t="n">
        <v>-0.17</v>
      </c>
      <c r="G9" t="n">
        <v>95</v>
      </c>
      <c r="H9" t="n">
        <v>-16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cols>
    <col width="48" customWidth="1" min="1" max="1"/>
    <col width="10" customWidth="1" min="2" max="2"/>
    <col width="10" customWidth="1" min="3" max="3"/>
    <col width="18" customWidth="1" min="4" max="4"/>
    <col width="12" customWidth="1" min="5" max="5"/>
    <col width="14" customWidth="1" min="6" max="6"/>
    <col width="27" customWidth="1" min="7" max="7"/>
    <col width="21" customWidth="1" min="8" max="8"/>
    <col width="18" customWidth="1" min="9" max="9"/>
    <col width="12" customWidth="1" min="10" max="10"/>
    <col width="14" customWidth="1" min="11" max="11"/>
    <col width="21" customWidth="1" min="12" max="12"/>
    <col width="12" customWidth="1" min="13" max="13"/>
    <col width="14" customWidth="1" min="14" max="14"/>
    <col width="14" customWidth="1" min="15" max="15"/>
    <col width="19" customWidth="1" min="16" max="16"/>
    <col width="12" customWidth="1" min="17" max="17"/>
    <col width="12" customWidth="1" min="18" max="18"/>
    <col width="12" customWidth="1" min="19" max="19"/>
    <col width="28" customWidth="1" min="20" max="20"/>
    <col width="10" customWidth="1" min="21" max="21"/>
  </cols>
  <sheetData>
    <row r="1">
      <c r="A1" t="inlineStr">
        <is>
          <t>Capital gains — FY 2025-26 (AY 2026-27). FIFO. Yellow cells editable. Formulas compute USD, INR and Gain/(Loss).</t>
        </is>
      </c>
    </row>
    <row r="2">
      <c r="A2" t="inlineStr">
        <is>
          <t>RECONCILIATION SHEET (formula-driven). Edit yellow cells — P&amp;L recalculates. Gain/(Loss) INR = Sale INR − Comm INR − Cost INR. Holding days &gt;730 → LTCG else STCG. Click any calculated cell to see the formula. FX Lookup has the full SBI TT rate table.</t>
        </is>
      </c>
    </row>
    <row r="3">
      <c r="A3" t="inlineStr">
        <is>
          <t>F=E-D | G=IF(F&gt;730,"LTCG","STCG") | L=H*K | M=I*K | Q=L*N (Sale INR) | R=J*P (Comm INR) | S=M*O (Cost INR) | T=Q-R-S (Gain)</t>
        </is>
      </c>
    </row>
    <row r="4">
      <c r="A4" s="1" t="inlineStr">
        <is>
          <t>Symbol</t>
        </is>
      </c>
      <c r="B4" s="1" t="inlineStr">
        <is>
          <t>CCY</t>
        </is>
      </c>
      <c r="C4" s="1" t="inlineStr">
        <is>
          <t>Qty</t>
        </is>
      </c>
      <c r="D4" s="1" t="inlineStr">
        <is>
          <t>Acquisition Date</t>
        </is>
      </c>
      <c r="E4" s="1" t="inlineStr">
        <is>
          <t>Sale Date</t>
        </is>
      </c>
      <c r="F4" s="1" t="inlineStr">
        <is>
          <t>Holding Days</t>
        </is>
      </c>
      <c r="G4" s="1" t="inlineStr">
        <is>
          <t>Type</t>
        </is>
      </c>
      <c r="H4" s="1" t="inlineStr">
        <is>
          <t>Sale Proceeds (FCY)</t>
        </is>
      </c>
      <c r="I4" s="1" t="inlineStr">
        <is>
          <t>Cost Basis (FCY)</t>
        </is>
      </c>
      <c r="J4" s="1" t="inlineStr">
        <is>
          <t>Comm (USD)</t>
        </is>
      </c>
      <c r="K4" s="1" t="inlineStr">
        <is>
          <t>FCY→USD Rate</t>
        </is>
      </c>
      <c r="L4" s="1" t="inlineStr">
        <is>
          <t>Sale Proceeds (USD)</t>
        </is>
      </c>
      <c r="M4" s="1" t="inlineStr">
        <is>
          <t>Cost (USD)</t>
        </is>
      </c>
      <c r="N4" s="1" t="inlineStr">
        <is>
          <t>Sale FX Rate</t>
        </is>
      </c>
      <c r="O4" s="1" t="inlineStr">
        <is>
          <t>Cost FX Rate</t>
        </is>
      </c>
      <c r="P4" s="1" t="inlineStr">
        <is>
          <t>Comm USD/INR Rate</t>
        </is>
      </c>
      <c r="Q4" s="1" t="inlineStr">
        <is>
          <t>Sale (INR)</t>
        </is>
      </c>
      <c r="R4" s="1" t="inlineStr">
        <is>
          <t>Comm (INR)</t>
        </is>
      </c>
      <c r="S4" s="1" t="inlineStr">
        <is>
          <t>Cost (INR)</t>
        </is>
      </c>
      <c r="T4" s="1" t="inlineStr">
        <is>
          <t>Gain/(Loss) INR</t>
        </is>
      </c>
      <c r="U4" s="1" t="inlineStr">
        <is>
          <t>Notes</t>
        </is>
      </c>
    </row>
    <row r="5">
      <c r="A5" t="inlineStr">
        <is>
          <t>AVGO</t>
        </is>
      </c>
      <c r="B5" t="inlineStr">
        <is>
          <t>USD</t>
        </is>
      </c>
      <c r="C5" t="n">
        <v>1</v>
      </c>
      <c r="D5" s="2" t="n">
        <v>46052</v>
      </c>
      <c r="E5" s="2" t="n">
        <v>46085</v>
      </c>
      <c r="F5">
        <f>E5-D5</f>
        <v/>
      </c>
      <c r="G5">
        <f>IF(F5&gt;730,"LTCG","STCG")</f>
        <v/>
      </c>
      <c r="H5" s="3" t="n">
        <v>314.05</v>
      </c>
      <c r="I5" s="3" t="n">
        <v>62.77</v>
      </c>
      <c r="J5" s="3" t="n">
        <v>1</v>
      </c>
      <c r="K5" s="3" t="n">
        <v>1</v>
      </c>
      <c r="L5">
        <f>H5*K5</f>
        <v/>
      </c>
      <c r="M5">
        <f>I5*K5</f>
        <v/>
      </c>
      <c r="N5" s="3" t="n">
        <v>90.56</v>
      </c>
      <c r="O5" s="3" t="n">
        <v>89.47</v>
      </c>
      <c r="P5" s="3" t="n">
        <v>90.56</v>
      </c>
      <c r="Q5">
        <f>L5*N5</f>
        <v/>
      </c>
      <c r="R5">
        <f>J5*P5</f>
        <v/>
      </c>
      <c r="S5">
        <f>M5*O5</f>
        <v/>
      </c>
      <c r="T5">
        <f>Q5-R5-S5</f>
        <v/>
      </c>
    </row>
    <row r="7">
      <c r="G7" s="4" t="inlineStr">
        <is>
          <t>TOTAL STCG (INR)</t>
        </is>
      </c>
      <c r="T7" s="4">
        <f>SUMIF(G5:G5,"STCG",T5:T5)</f>
        <v/>
      </c>
    </row>
    <row r="8">
      <c r="G8" s="4" t="inlineStr">
        <is>
          <t>TOTAL LTCG (INR)</t>
        </is>
      </c>
      <c r="T8" s="4">
        <f>SUMIF(G5:G5,"LTCG",T5:T5)</f>
        <v/>
      </c>
    </row>
    <row r="9">
      <c r="G9" s="4" t="inlineStr">
        <is>
          <t>TOTAL CG (INR)</t>
        </is>
      </c>
      <c r="T9" s="4">
        <f>T7+T8</f>
        <v/>
      </c>
    </row>
    <row r="11">
      <c r="A11" t="inlineStr">
        <is>
          <t>How to reconcile before filing:</t>
        </is>
      </c>
    </row>
    <row r="12">
      <c r="A12" t="inlineStr">
        <is>
          <t>1. Check Sale Proceeds (FCY) / Cost Basis (FCY) vs IBKR trade Proceeds &amp; Basis.</t>
        </is>
      </c>
    </row>
    <row r="13">
      <c r="A13" t="inlineStr">
        <is>
          <t>2. Edit yellow FX cells (N Sale FX, O Cost FX, P Comm USD/INR) to exact SBI TT Buy card rates.</t>
        </is>
      </c>
    </row>
    <row r="14">
      <c r="A14" t="inlineStr">
        <is>
          <t>3. For HKD/JPY, edit FCY→USD (K) if using trade-date FX instead of 31-Dec-2025 IBKR close.</t>
        </is>
      </c>
    </row>
    <row r="15">
      <c r="A15" t="inlineStr">
        <is>
          <t>4. Gain/(Loss) cell formula: =Q-R-S i.e. Sale INR − Comm INR − Cost INR.</t>
        </is>
      </c>
    </row>
    <row r="16">
      <c r="A16" t="inlineStr">
        <is>
          <t>5. Bottom totals are SUMIF formulas on Type (STCG/LTCG).</t>
        </is>
      </c>
    </row>
  </sheetData>
  <mergeCells count="3">
    <mergeCell ref="A1:U1"/>
    <mergeCell ref="A3:U3"/>
    <mergeCell ref="A2:U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cols>
    <col width="48" customWidth="1" min="1" max="1"/>
    <col width="10" customWidth="1" min="2" max="2"/>
    <col width="10" customWidth="1" min="3" max="3"/>
    <col width="18" customWidth="1" min="4" max="4"/>
    <col width="11" customWidth="1" min="5" max="5"/>
    <col width="14" customWidth="1" min="6" max="6"/>
    <col width="10" customWidth="1" min="7" max="7"/>
    <col width="21" customWidth="1" min="8" max="8"/>
    <col width="18" customWidth="1" min="9" max="9"/>
    <col width="12" customWidth="1" min="10" max="10"/>
    <col width="14" customWidth="1" min="11" max="11"/>
    <col width="21" customWidth="1" min="12" max="12"/>
    <col width="12" customWidth="1" min="13" max="13"/>
    <col width="14" customWidth="1" min="14" max="14"/>
    <col width="14" customWidth="1" min="15" max="15"/>
    <col width="19" customWidth="1" min="16" max="16"/>
    <col width="12" customWidth="1" min="17" max="17"/>
    <col width="12" customWidth="1" min="18" max="18"/>
    <col width="12" customWidth="1" min="19" max="19"/>
    <col width="17" customWidth="1" min="20" max="20"/>
    <col width="10" customWidth="1" min="21" max="21"/>
  </cols>
  <sheetData>
    <row r="1">
      <c r="A1" t="inlineStr">
        <is>
          <t>Capital gains — FY 2024-25 (AY 2025-26). FIFO from inception. Yellow cells editable.</t>
        </is>
      </c>
    </row>
    <row r="2">
      <c r="A2" t="inlineStr">
        <is>
          <t>RECONCILIATION SHEET (formula-driven). Edit yellow cells — P&amp;L recalculates. Gain/(Loss) INR = Sale INR − Comm INR − Cost INR. Holding days &gt;730 → LTCG else STCG. Click any calculated cell to see the formula. FX Lookup has the full SBI TT rate table.</t>
        </is>
      </c>
    </row>
    <row r="3">
      <c r="A3" t="inlineStr">
        <is>
          <t>F=E-D | G=IF(F&gt;730,"LTCG","STCG") | L=H*K | M=I*K | Q=L*N (Sale INR) | R=J*P (Comm INR) | S=M*O (Cost INR) | T=Q-R-S (Gain)</t>
        </is>
      </c>
    </row>
    <row r="4">
      <c r="A4" s="1" t="inlineStr">
        <is>
          <t>Symbol</t>
        </is>
      </c>
      <c r="B4" s="1" t="inlineStr">
        <is>
          <t>CCY</t>
        </is>
      </c>
      <c r="C4" s="1" t="inlineStr">
        <is>
          <t>Qty</t>
        </is>
      </c>
      <c r="D4" s="1" t="inlineStr">
        <is>
          <t>Acquisition Date</t>
        </is>
      </c>
      <c r="E4" s="1" t="inlineStr">
        <is>
          <t>Sale Date</t>
        </is>
      </c>
      <c r="F4" s="1" t="inlineStr">
        <is>
          <t>Holding Days</t>
        </is>
      </c>
      <c r="G4" s="1" t="inlineStr">
        <is>
          <t>Type</t>
        </is>
      </c>
      <c r="H4" s="1" t="inlineStr">
        <is>
          <t>Sale Proceeds (FCY)</t>
        </is>
      </c>
      <c r="I4" s="1" t="inlineStr">
        <is>
          <t>Cost Basis (FCY)</t>
        </is>
      </c>
      <c r="J4" s="1" t="inlineStr">
        <is>
          <t>Comm (USD)</t>
        </is>
      </c>
      <c r="K4" s="1" t="inlineStr">
        <is>
          <t>FCY→USD Rate</t>
        </is>
      </c>
      <c r="L4" s="1" t="inlineStr">
        <is>
          <t>Sale Proceeds (USD)</t>
        </is>
      </c>
      <c r="M4" s="1" t="inlineStr">
        <is>
          <t>Cost (USD)</t>
        </is>
      </c>
      <c r="N4" s="1" t="inlineStr">
        <is>
          <t>Sale FX Rate</t>
        </is>
      </c>
      <c r="O4" s="1" t="inlineStr">
        <is>
          <t>Cost FX Rate</t>
        </is>
      </c>
      <c r="P4" s="1" t="inlineStr">
        <is>
          <t>Comm USD/INR Rate</t>
        </is>
      </c>
      <c r="Q4" s="1" t="inlineStr">
        <is>
          <t>Sale (INR)</t>
        </is>
      </c>
      <c r="R4" s="1" t="inlineStr">
        <is>
          <t>Comm (INR)</t>
        </is>
      </c>
      <c r="S4" s="1" t="inlineStr">
        <is>
          <t>Cost (INR)</t>
        </is>
      </c>
      <c r="T4" s="1" t="inlineStr">
        <is>
          <t>Gain/(Loss) INR</t>
        </is>
      </c>
      <c r="U4" s="1" t="inlineStr">
        <is>
          <t>Notes</t>
        </is>
      </c>
    </row>
    <row r="6">
      <c r="G6" s="4" t="n"/>
      <c r="T6" s="4" t="n"/>
    </row>
    <row r="7">
      <c r="G7" s="4" t="n"/>
      <c r="T7" s="4" t="n"/>
    </row>
    <row r="8">
      <c r="G8" s="4" t="n"/>
      <c r="T8" s="4" t="n"/>
    </row>
    <row r="10">
      <c r="A10" t="inlineStr">
        <is>
          <t>How to reconcile before filing:</t>
        </is>
      </c>
    </row>
    <row r="11">
      <c r="A11" t="inlineStr">
        <is>
          <t>1. Check Sale Proceeds (FCY) / Cost Basis (FCY) vs IBKR trade Proceeds &amp; Basis.</t>
        </is>
      </c>
    </row>
    <row r="12">
      <c r="A12" t="inlineStr">
        <is>
          <t>2. Edit yellow FX cells (N Sale FX, O Cost FX, P Comm USD/INR) to exact SBI TT Buy card rates.</t>
        </is>
      </c>
    </row>
    <row r="13">
      <c r="A13" t="inlineStr">
        <is>
          <t>3. For HKD/JPY, edit FCY→USD (K) if using trade-date FX instead of 31-Dec-2025 IBKR close.</t>
        </is>
      </c>
    </row>
    <row r="14">
      <c r="A14" t="inlineStr">
        <is>
          <t>4. Gain/(Loss) cell formula: =Q-R-S i.e. Sale INR − Comm INR − Cost INR.</t>
        </is>
      </c>
    </row>
    <row r="15">
      <c r="A15" t="inlineStr">
        <is>
          <t>5. Bottom totals are SUMIF formulas on Type (STCG/LTCG).</t>
        </is>
      </c>
    </row>
  </sheetData>
  <mergeCells count="3">
    <mergeCell ref="A1:U1"/>
    <mergeCell ref="A3:U3"/>
    <mergeCell ref="A2:U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48" customWidth="1" min="1" max="1"/>
    <col width="10" customWidth="1" min="2" max="2"/>
    <col width="10" customWidth="1" min="3" max="3"/>
    <col width="18" customWidth="1" min="4" max="4"/>
    <col width="14" customWidth="1" min="5" max="5"/>
    <col width="10" customWidth="1" min="6" max="6"/>
    <col width="10" customWidth="1" min="7" max="7"/>
  </cols>
  <sheetData>
    <row r="1">
      <c r="A1" t="inlineStr">
        <is>
          <t>FIFO lot register rebuilt from inception statement (actual acquisition dates &amp; IBKR cost basis)</t>
        </is>
      </c>
    </row>
    <row r="2">
      <c r="A2" s="1" t="inlineStr">
        <is>
          <t>As-of</t>
        </is>
      </c>
      <c r="B2" s="1" t="inlineStr">
        <is>
          <t>Symbol</t>
        </is>
      </c>
      <c r="C2" s="1" t="inlineStr">
        <is>
          <t>Qty</t>
        </is>
      </c>
      <c r="D2" s="1" t="inlineStr">
        <is>
          <t>Acquisition Date</t>
        </is>
      </c>
      <c r="E2" s="1" t="inlineStr">
        <is>
          <t>Cost (local)</t>
        </is>
      </c>
      <c r="F2" s="1" t="inlineStr">
        <is>
          <t>Currency</t>
        </is>
      </c>
      <c r="G2" s="1" t="inlineStr">
        <is>
          <t>Source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0" customWidth="1" min="1" max="1"/>
    <col width="48" customWidth="1" min="2" max="2"/>
    <col width="10" customWidth="1" min="3" max="3"/>
    <col width="23" customWidth="1" min="4" max="4"/>
    <col width="19" customWidth="1" min="5" max="5"/>
    <col width="10" customWidth="1" min="6" max="6"/>
  </cols>
  <sheetData>
    <row r="1">
      <c r="A1" s="1" t="inlineStr">
        <is>
          <t>Symbol</t>
        </is>
      </c>
      <c r="B1" s="1" t="inlineStr">
        <is>
          <t>STCG INR</t>
        </is>
      </c>
      <c r="C1" s="1" t="inlineStr">
        <is>
          <t>LTCG INR</t>
        </is>
      </c>
      <c r="D1" s="1" t="inlineStr">
        <is>
          <t>Total Gain/(Loss) INR</t>
        </is>
      </c>
      <c r="E1" s="1" t="inlineStr">
        <is>
          <t>Sale Proceeds USD</t>
        </is>
      </c>
      <c r="F1" s="1" t="inlineStr">
        <is>
          <t>Cost USD</t>
        </is>
      </c>
    </row>
    <row r="2">
      <c r="A2" t="inlineStr">
        <is>
          <t>AVGO</t>
        </is>
      </c>
      <c r="B2" t="n">
        <v>22734</v>
      </c>
      <c r="C2" t="n">
        <v>0</v>
      </c>
      <c r="D2" t="n">
        <v>22734</v>
      </c>
      <c r="E2" t="n">
        <v>314.05</v>
      </c>
      <c r="F2" t="n">
        <v>62.77</v>
      </c>
    </row>
    <row r="4">
      <c r="A4" t="inlineStr">
        <is>
          <t>Note</t>
        </is>
      </c>
      <c r="B4" t="inlineStr">
        <is>
          <t>Detail P&amp;L with editable FX is on 'Capital Gains FY2025-26' (formula-driven). This summary is a static cross-check.</t>
        </is>
      </c>
    </row>
    <row r="6">
      <c r="A6" t="inlineStr">
        <is>
          <t>— FY 2026-27 YTD (to 14-Sep-2026) —</t>
        </is>
      </c>
    </row>
    <row r="7">
      <c r="A7" t="inlineStr">
        <is>
          <t>Symbol</t>
        </is>
      </c>
      <c r="B7" t="inlineStr">
        <is>
          <t>STCG INR</t>
        </is>
      </c>
      <c r="C7" t="inlineStr">
        <is>
          <t>LTCG INR</t>
        </is>
      </c>
      <c r="D7" t="inlineStr">
        <is>
          <t>Total Gain/(Loss) INR</t>
        </is>
      </c>
      <c r="E7" t="inlineStr">
        <is>
          <t>Sale Proceeds USD</t>
        </is>
      </c>
      <c r="F7" t="inlineStr">
        <is>
          <t>Cost USD</t>
        </is>
      </c>
    </row>
    <row r="8">
      <c r="A8" t="inlineStr">
        <is>
          <t>AVGO</t>
        </is>
      </c>
      <c r="B8" t="n">
        <v>4683485</v>
      </c>
      <c r="C8" t="n">
        <v>0</v>
      </c>
      <c r="D8" t="n">
        <v>4683485</v>
      </c>
      <c r="E8" t="n">
        <v>58572.76</v>
      </c>
      <c r="F8" t="n">
        <v>9227.48</v>
      </c>
    </row>
    <row r="9">
      <c r="A9" t="inlineStr">
        <is>
          <t>BNO</t>
        </is>
      </c>
      <c r="B9" t="n">
        <v>-7611</v>
      </c>
      <c r="C9" t="n">
        <v>0</v>
      </c>
      <c r="D9" t="n">
        <v>-7611</v>
      </c>
      <c r="E9" t="n">
        <v>1932.84</v>
      </c>
      <c r="F9" t="n">
        <v>2030.09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48" customWidth="1" min="1" max="1"/>
    <col width="48" customWidth="1" min="2" max="2"/>
  </cols>
  <sheetData>
    <row r="1">
      <c r="A1" t="inlineStr">
        <is>
          <t>Preparation notes — Schedule FA / CG / Dividends for Rajani J Vallath and Sanjeev K Nair (Joint)</t>
        </is>
      </c>
    </row>
    <row r="2">
      <c r="A2" t="inlineStr">
        <is>
          <t>Assessee</t>
        </is>
      </c>
      <c r="B2" t="inlineStr">
        <is>
          <t>Rajani J Vallath and Sanjeev K Nair — IBKR U21864112 (Joint) — Advisor: MATCAP WEALTH ADVISORS PRIVATE LIMITED</t>
        </is>
      </c>
    </row>
    <row r="3">
      <c r="A3" t="inlineStr">
        <is>
          <t>Customer type</t>
        </is>
      </c>
      <c r="B3" t="inlineStr">
        <is>
          <t>Joint account — report beneficial ownership / share of income per ITR instructions</t>
        </is>
      </c>
    </row>
    <row r="4">
      <c r="A4" t="inlineStr">
        <is>
          <t>Account opening</t>
        </is>
      </c>
      <c r="B4" t="inlineStr">
        <is>
          <t>Opened 30-Jan-2026 via Internal transfer In of AVGO × 180 from U16003525 (carryover cost basis ~USD 62.772/share; transfer MV USD 59,702.40). No cash deposits in the statement period.</t>
        </is>
      </c>
    </row>
    <row r="5">
      <c r="A5" t="inlineStr">
        <is>
          <t>Schedule FA CY2025</t>
        </is>
      </c>
      <c r="B5" t="inlineStr">
        <is>
          <t>Account did not exist in calendar year 2025 (opened 30-Jan-2026). A2/A3 for CY2025 are N/A / empty. Prefer confirming no other foreign assets for CY2025.</t>
        </is>
      </c>
    </row>
    <row r="6">
      <c r="A6" t="inlineStr">
        <is>
          <t>Capital gains FY2025-26</t>
        </is>
      </c>
      <c r="B6" t="inlineStr">
        <is>
          <t>Sold AVGO × 1 on 04-Mar-2026 (proceeds USD 314.05, basis USD 62.772, IBKR realized LTCG USD 250.28). FIFO acquisition date in workbook = Internal transfer date 30-Jan-2026 (short holding on face) — IBKR tagged the sale LTCG (code L), so original buy date at source account U16003525 predates the transfer. Confirm original AVGO acquisition date and edit yellow Acquisition Date on CG sheet before filing.</t>
        </is>
      </c>
    </row>
    <row r="7">
      <c r="A7" t="inlineStr">
        <is>
          <t>Capital gains FY2026-27 YTD</t>
        </is>
      </c>
      <c r="B7" t="inlineStr">
        <is>
          <t>Partial (to 14-Sep-2026): taxable AVGO × 147 + BNO × 39 sales. Acquisition dates follow Internal In from U16003525 (Jun/Jul 2026) — IBKR tagged AVGO as L/T; confirm original buy dates for LTCG. Internal transfers with Single excluded (code I).</t>
        </is>
      </c>
    </row>
    <row r="8">
      <c r="A8" t="inlineStr">
        <is>
          <t>Related account</t>
        </is>
      </c>
      <c r="B8" t="inlineStr">
        <is>
          <t>AVGO/BNO Internal transfers with U16003525 throughout FY2026-27 YTD</t>
        </is>
      </c>
    </row>
    <row r="9">
      <c r="A9" t="inlineStr">
        <is>
          <t>Holdings at 31-Mar-2026</t>
        </is>
      </c>
      <c r="B9" t="inlineStr">
        <is>
          <t>AVGO × 179 (cost basis USD 11,236.19)</t>
        </is>
      </c>
    </row>
    <row r="10">
      <c r="A10" t="inlineStr">
        <is>
          <t>Dividends FY2025-26</t>
        </is>
      </c>
      <c r="B10" t="inlineStr">
        <is>
          <t>AVGO cash dividend 31-Mar-2026 USD 116.35; US WHT USD 29.09</t>
        </is>
      </c>
    </row>
    <row r="11">
      <c r="A11" t="inlineStr">
        <is>
          <t>Dividends FY2026-27 YTD</t>
        </is>
      </c>
      <c r="B11" t="inlineStr">
        <is>
          <t>Multi-currency (DKK/GBP/TWD/USD) — see Schedule OS - FY2026-27. IBKR Total Dividends in USD ≈ 53.18.</t>
        </is>
      </c>
    </row>
    <row r="12">
      <c r="A12" t="inlineStr">
        <is>
          <t>Annual CY2025</t>
        </is>
      </c>
      <c r="B12" t="inlineStr">
        <is>
          <t>Synthesized empty (account not open in CY2025)</t>
        </is>
      </c>
    </row>
    <row r="13">
      <c r="A13" t="inlineStr">
        <is>
          <t>Assessee</t>
        </is>
      </c>
      <c r="B13" t="inlineStr">
        <is>
          <t>Rajani J Vallath and Sanjeev K Nair</t>
        </is>
      </c>
    </row>
    <row r="14">
      <c r="A14" t="inlineStr">
        <is>
          <t>Account</t>
        </is>
      </c>
      <c r="B14" t="inlineStr">
        <is>
          <t>U21864112 — Interactive Brokers LLC (Advisor Client; Advisor: MATCAP WEALTH ADVISORS PRIVATE LIMITED)</t>
        </is>
      </c>
    </row>
    <row r="15">
      <c r="A15" t="inlineStr">
        <is>
          <t>Customer type</t>
        </is>
      </c>
      <c r="B15" t="inlineStr">
        <is>
          <t>Joint</t>
        </is>
      </c>
    </row>
    <row r="16">
      <c r="A16" t="inlineStr">
        <is>
          <t>Base currency</t>
        </is>
      </c>
      <c r="B16" t="inlineStr">
        <is>
          <t>USD</t>
        </is>
      </c>
    </row>
    <row r="17">
      <c r="A17" t="inlineStr">
        <is>
          <t>Account funded</t>
        </is>
      </c>
      <c r="B17" t="inlineStr">
        <is>
          <t>First deposit n/a (inception statement)</t>
        </is>
      </c>
    </row>
    <row r="18">
      <c r="A18" t="inlineStr">
        <is>
          <t>Schedule FA period</t>
        </is>
      </c>
      <c r="B18" t="inlineStr">
        <is>
          <t>Calendar Year 2025 (01-Jan-2025 to 31-Dec-2025) — for ITR AY 2026-27</t>
        </is>
      </c>
    </row>
    <row r="19">
      <c r="A19" t="inlineStr">
        <is>
          <t>Income / CG period</t>
        </is>
      </c>
      <c r="B19" t="inlineStr">
        <is>
          <t>FY 2025-26 (01-Apr-2025 to 31-Mar-2026); also FY 2024-25 sheet for prior year</t>
        </is>
      </c>
    </row>
    <row r="20">
      <c r="A20" t="inlineStr">
        <is>
          <t>Source data</t>
        </is>
      </c>
      <c r="B20" t="inlineStr">
        <is>
          <t>IBKR Activity Statements: Inception FY2024-25 + Annual CY2025 + Fiscal FY2025-26</t>
        </is>
      </c>
    </row>
    <row r="21">
      <c r="A21" t="inlineStr">
        <is>
          <t>FIFO method</t>
        </is>
      </c>
      <c r="B21" t="inlineStr">
        <is>
          <t>Actual buy dates &amp; IBKR Basis from inception replay; splits (LRCX 10:1, NFLX 10:1) applied</t>
        </is>
      </c>
    </row>
    <row r="22">
      <c r="A22" t="inlineStr">
        <is>
          <t>CG reconciliation</t>
        </is>
      </c>
      <c r="B22" t="inlineStr">
        <is>
          <t>Sheets 'Capital Gains FY2025-26' / 'FY2024-25' are formula-driven — yellow cells editable; Gain = Sale INR − Comm INR − Cost INR</t>
        </is>
      </c>
    </row>
    <row r="23">
      <c r="A23" t="inlineStr">
        <is>
          <t>FX Lookup</t>
        </is>
      </c>
      <c r="B23" t="inlineStr">
        <is>
          <t>Editable SBI TT USD/INR &amp; EUR/INR month-end rates + FCY→USD cross rates</t>
        </is>
      </c>
    </row>
    <row r="24">
      <c r="A24" t="inlineStr">
        <is>
          <t>Starting NAV CY2025</t>
        </is>
      </c>
      <c r="B24" t="inlineStr">
        <is>
          <t>USD 0.00</t>
        </is>
      </c>
    </row>
    <row r="25">
      <c r="A25" t="inlineStr">
        <is>
          <t>Ending NAV CY2025</t>
        </is>
      </c>
      <c r="B25" t="inlineStr">
        <is>
          <t>USD 0.00</t>
        </is>
      </c>
    </row>
    <row r="26">
      <c r="A26" t="inlineStr">
        <is>
          <t>Deposits CY2025</t>
        </is>
      </c>
      <c r="B26" t="inlineStr">
        <is>
          <t>USD 0.00</t>
        </is>
      </c>
    </row>
    <row r="27">
      <c r="A27" t="inlineStr">
        <is>
          <t>Deposits since inception (to 31-Mar-2025)</t>
        </is>
      </c>
      <c r="B27" t="inlineStr">
        <is>
          <t>USD 0.00</t>
        </is>
      </c>
    </row>
    <row r="28">
      <c r="A28" t="inlineStr">
        <is>
          <t>Dividends CY2025</t>
        </is>
      </c>
      <c r="B28" t="inlineStr">
        <is>
          <t>USD 0.00 / INR 0 (Rule 115)</t>
        </is>
      </c>
    </row>
    <row r="29">
      <c r="A29" t="inlineStr">
        <is>
          <t>Interest CY2025</t>
        </is>
      </c>
      <c r="B29" t="inlineStr">
        <is>
          <t>USD 0.00 / INR 0 (Rule 115)</t>
        </is>
      </c>
    </row>
    <row r="30">
      <c r="A30" t="inlineStr">
        <is>
          <t>Dividends FY2025-26</t>
        </is>
      </c>
      <c r="B30" t="inlineStr">
        <is>
          <t>USD 116.35 / INR 10,537</t>
        </is>
      </c>
    </row>
    <row r="31">
      <c r="A31" t="inlineStr">
        <is>
          <t>Interest FY2025-26</t>
        </is>
      </c>
      <c r="B31" t="inlineStr">
        <is>
          <t>USD 0.00 / INR 0</t>
        </is>
      </c>
    </row>
    <row r="32">
      <c r="A32" t="inlineStr">
        <is>
          <t>STCG FY2025-26 (INR)</t>
        </is>
      </c>
      <c r="B32" t="inlineStr">
        <is>
          <t>22,734</t>
        </is>
      </c>
    </row>
    <row r="33">
      <c r="A33" t="inlineStr">
        <is>
          <t>LTCG FY2025-26 (INR)</t>
        </is>
      </c>
      <c r="B33" t="inlineStr">
        <is>
          <t>0</t>
        </is>
      </c>
    </row>
    <row r="34">
      <c r="A34" t="inlineStr">
        <is>
          <t>STCG FY2024-25 (INR)</t>
        </is>
      </c>
      <c r="B34" t="inlineStr">
        <is>
          <t>0</t>
        </is>
      </c>
    </row>
    <row r="35">
      <c r="A35" t="inlineStr">
        <is>
          <t>LTCG FY2024-25 (INR)</t>
        </is>
      </c>
      <c r="B35" t="inlineStr">
        <is>
          <t>0</t>
        </is>
      </c>
    </row>
    <row r="36">
      <c r="A36" t="inlineStr">
        <is>
          <t>A1 Foreign Bank/Depository</t>
        </is>
      </c>
      <c r="B36" t="inlineStr">
        <is>
          <t>Generally N/A separately — multi-currency cash sits inside IBKR custodial account (A2)</t>
        </is>
      </c>
    </row>
    <row r="37">
      <c r="A37" t="inlineStr">
        <is>
          <t>A2 Custodial Account</t>
        </is>
      </c>
      <c r="B37" t="inlineStr">
        <is>
          <t>Applicable — see sheet; opening: 2026-01-30 (Internal transfer In of AVGO from U16003525)</t>
        </is>
      </c>
    </row>
    <row r="38">
      <c r="A38" t="inlineStr">
        <is>
          <t>A3 Equity &amp; Debt Interest</t>
        </is>
      </c>
      <c r="B38" t="inlineStr">
        <is>
          <t>Applicable — 0 FIFO lot lines (one row per acquisition lot; sold lots match Capital Gains)</t>
        </is>
      </c>
    </row>
    <row r="39">
      <c r="A39" t="inlineStr">
        <is>
          <t>A3 Col C (Name of entity)</t>
        </is>
      </c>
      <c r="B39" t="inlineStr">
        <is>
          <t>Symbol only (e.g. NOVd, AAPL). Legal name / address remain in Address &amp; Nature columns.</t>
        </is>
      </c>
    </row>
    <row r="40">
      <c r="A40" t="inlineStr">
        <is>
          <t>A3 vs CG</t>
        </is>
      </c>
      <c r="B40" t="inlineStr">
        <is>
          <t>Sold lots: A3 Initial = CG Cost (INR), A3 Sale = CG Sale (INR), same Rule 115/EUR FX. Multiple buys (e.g. NOVd 21-Mar &amp; 21-Aug) appear as separate A3 rows.</t>
        </is>
      </c>
    </row>
    <row r="41">
      <c r="A41" t="inlineStr">
        <is>
          <t>ADR country practice</t>
        </is>
      </c>
      <c r="B41" t="inlineStr">
        <is>
          <t>Underlying issuer country used for ADRs/GDRs (ASML NL, BTI UK, TSM TW, BYDDY CN, HYU KR, RIO UK)</t>
        </is>
      </c>
    </row>
    <row r="42">
      <c r="A42" t="inlineStr">
        <is>
          <t>CPNG</t>
        </is>
      </c>
      <c r="B42" t="inlineStr">
        <is>
          <t>USA (Delaware corporation, NYSE) despite Korea operations</t>
        </is>
      </c>
    </row>
    <row r="43">
      <c r="A43" t="inlineStr">
        <is>
          <t>NFLX split</t>
        </is>
      </c>
      <c r="B43" t="inlineStr">
        <is>
          <t>10-for-1 split on 14/17-Nov-2025 reflected in FIFO</t>
        </is>
      </c>
    </row>
    <row r="44">
      <c r="A44" t="inlineStr">
        <is>
          <t>LRCX split</t>
        </is>
      </c>
      <c r="B44" t="inlineStr">
        <is>
          <t>10-for-1 split on 02/03-Oct-2024 reflected in FIFO (bought 1 pre-split → 10)</t>
        </is>
      </c>
    </row>
    <row r="45">
      <c r="A45" t="inlineStr">
        <is>
          <t>HYU</t>
        </is>
      </c>
      <c r="B45" t="inlineStr">
        <is>
          <t>Cash merger acquisition Jul-2025 — sale proceeds USD 1,339.02 reported as redemption proceeds</t>
        </is>
      </c>
    </row>
    <row r="46">
      <c r="A46" t="inlineStr">
        <is>
          <t>Action required</t>
        </is>
      </c>
      <c r="B46" t="inlineStr">
        <is>
          <t>1) Confirm exact SBI TT Buy card rates; 2) Obtain PortfolioAnalyst for true peak NAV; 3) Map withholding to Schedule FSI/TR under DTAA.</t>
        </is>
      </c>
    </row>
    <row r="48">
      <c r="A48" t="inlineStr">
        <is>
          <t>FY 2026-27 YTD (01-Apr-2026 to 14-Sep-2026) — partial statement</t>
        </is>
      </c>
    </row>
    <row r="49">
      <c r="A49" t="inlineStr">
        <is>
          <t>Dividends FY2026-27 YTD</t>
        </is>
      </c>
      <c r="B49" t="inlineStr">
        <is>
          <t>USD 53.36 / INR 5,078</t>
        </is>
      </c>
    </row>
    <row r="50">
      <c r="A50" t="inlineStr">
        <is>
          <t>Interest FY2026-27 YTD</t>
        </is>
      </c>
      <c r="B50" t="inlineStr">
        <is>
          <t>USD 30.51 / INR 2,898</t>
        </is>
      </c>
    </row>
    <row r="51">
      <c r="A51" t="inlineStr">
        <is>
          <t>STCG FY2026-27 YTD (INR)</t>
        </is>
      </c>
      <c r="B51" t="inlineStr">
        <is>
          <t>4,675,874</t>
        </is>
      </c>
    </row>
    <row r="52">
      <c r="A52" t="inlineStr">
        <is>
          <t>LTCG FY2026-27 YTD (INR)</t>
        </is>
      </c>
      <c r="B52" t="inlineStr">
        <is>
          <t>0</t>
        </is>
      </c>
    </row>
    <row r="53">
      <c r="A53" t="inlineStr">
        <is>
          <t>FY2026-27 coverage</t>
        </is>
      </c>
      <c r="B53" t="inlineStr">
        <is>
          <t>Activity Statement ends 14-Sep-2026 — not full FY. Obtain statement to 31-Mar-2027 for complete year.</t>
        </is>
      </c>
    </row>
    <row r="54">
      <c r="A54" t="inlineStr">
        <is>
          <t>AVGO LTCG clock</t>
        </is>
      </c>
      <c r="B54" t="inlineStr">
        <is>
          <t>IBKR tagged FY2026-27 AVGO sales as L/T — confirm original acquisition dates; workbook uses Internal In dates → STCG under 730-day test.</t>
        </is>
      </c>
    </row>
    <row r="55">
      <c r="A55" t="inlineStr">
        <is>
          <t>Corporate actions</t>
        </is>
      </c>
      <c r="B55" t="inlineStr">
        <is>
          <t>2890 spinoff/merge (Jul–Aug 2026) and APH 2-for-1 split (03-Sep-2026) — see Notes / FIFO.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cols>
    <col width="48" customWidth="1" min="1" max="1"/>
    <col width="10" customWidth="1" min="2" max="2"/>
    <col width="10" customWidth="1" min="3" max="3"/>
    <col width="18" customWidth="1" min="4" max="4"/>
    <col width="12" customWidth="1" min="5" max="5"/>
    <col width="14" customWidth="1" min="6" max="6"/>
    <col width="28" customWidth="1" min="7" max="7"/>
    <col width="21" customWidth="1" min="8" max="8"/>
    <col width="18" customWidth="1" min="9" max="9"/>
    <col width="12" customWidth="1" min="10" max="10"/>
    <col width="14" customWidth="1" min="11" max="11"/>
    <col width="21" customWidth="1" min="12" max="12"/>
    <col width="12" customWidth="1" min="13" max="13"/>
    <col width="14" customWidth="1" min="14" max="14"/>
    <col width="14" customWidth="1" min="15" max="15"/>
    <col width="19" customWidth="1" min="16" max="16"/>
    <col width="12" customWidth="1" min="17" max="17"/>
    <col width="12" customWidth="1" min="18" max="18"/>
    <col width="12" customWidth="1" min="19" max="19"/>
    <col width="30" customWidth="1" min="20" max="20"/>
    <col width="10" customWidth="1" min="21" max="21"/>
  </cols>
  <sheetData>
    <row r="1">
      <c r="A1" t="inlineStr">
        <is>
          <t>Capital gains — FY 2026-27 YTD (01-Apr-2026 to 14-Sep-2026). Partial year — statement ends 14-Sep-2026. FIFO. Yellow cells editable.</t>
        </is>
      </c>
    </row>
    <row r="2">
      <c r="A2" t="inlineStr">
        <is>
          <t>RECONCILIATION SHEET (formula-driven). Gain/(Loss) INR = Sale INR − Comm INR − Cost INR. Holding &gt;730 → LTCG.</t>
        </is>
      </c>
    </row>
    <row r="3">
      <c r="A3" t="inlineStr">
        <is>
          <t>F=E-D | G=IF(F&gt;730,"LTCG","STCG") | L=H*K | M=I*K | Q=L*N | R=J*P | S=M*O | T=Q-R-S</t>
        </is>
      </c>
    </row>
    <row r="4">
      <c r="A4" s="1" t="inlineStr">
        <is>
          <t>Symbol</t>
        </is>
      </c>
      <c r="B4" s="1" t="inlineStr">
        <is>
          <t>CCY</t>
        </is>
      </c>
      <c r="C4" s="1" t="inlineStr">
        <is>
          <t>Qty</t>
        </is>
      </c>
      <c r="D4" s="1" t="inlineStr">
        <is>
          <t>Acquisition Date</t>
        </is>
      </c>
      <c r="E4" s="1" t="inlineStr">
        <is>
          <t>Sale Date</t>
        </is>
      </c>
      <c r="F4" s="1" t="inlineStr">
        <is>
          <t>Holding Days</t>
        </is>
      </c>
      <c r="G4" s="1" t="inlineStr">
        <is>
          <t>Type</t>
        </is>
      </c>
      <c r="H4" s="1" t="inlineStr">
        <is>
          <t>Sale Proceeds (FCY)</t>
        </is>
      </c>
      <c r="I4" s="1" t="inlineStr">
        <is>
          <t>Cost Basis (FCY)</t>
        </is>
      </c>
      <c r="J4" s="1" t="inlineStr">
        <is>
          <t>Comm (USD)</t>
        </is>
      </c>
      <c r="K4" s="1" t="inlineStr">
        <is>
          <t>FCY→USD Rate</t>
        </is>
      </c>
      <c r="L4" s="1" t="inlineStr">
        <is>
          <t>Sale Proceeds (USD)</t>
        </is>
      </c>
      <c r="M4" s="1" t="inlineStr">
        <is>
          <t>Cost (USD)</t>
        </is>
      </c>
      <c r="N4" s="1" t="inlineStr">
        <is>
          <t>Sale FX Rate</t>
        </is>
      </c>
      <c r="O4" s="1" t="inlineStr">
        <is>
          <t>Cost FX Rate</t>
        </is>
      </c>
      <c r="P4" s="1" t="inlineStr">
        <is>
          <t>Comm USD/INR Rate</t>
        </is>
      </c>
      <c r="Q4" s="1" t="inlineStr">
        <is>
          <t>Sale (INR)</t>
        </is>
      </c>
      <c r="R4" s="1" t="inlineStr">
        <is>
          <t>Comm (INR)</t>
        </is>
      </c>
      <c r="S4" s="1" t="inlineStr">
        <is>
          <t>Cost (INR)</t>
        </is>
      </c>
      <c r="T4" s="1" t="inlineStr">
        <is>
          <t>Gain/(Loss) INR</t>
        </is>
      </c>
      <c r="U4" s="1" t="inlineStr">
        <is>
          <t>Notes</t>
        </is>
      </c>
    </row>
    <row r="5">
      <c r="A5" t="inlineStr">
        <is>
          <t>AVGO</t>
        </is>
      </c>
      <c r="B5" t="inlineStr">
        <is>
          <t>USD</t>
        </is>
      </c>
      <c r="C5" t="n">
        <v>36</v>
      </c>
      <c r="D5" s="2" t="n">
        <v>46196</v>
      </c>
      <c r="E5" s="2" t="n">
        <v>46196</v>
      </c>
      <c r="F5">
        <f>E5-D5</f>
        <v/>
      </c>
      <c r="G5">
        <f>IF(F5&gt;730,"LTCG","STCG")</f>
        <v/>
      </c>
      <c r="H5" s="3" t="n">
        <v>13812.84</v>
      </c>
      <c r="I5" s="3" t="n">
        <v>2259.79</v>
      </c>
      <c r="J5" s="3" t="n">
        <v>1.29</v>
      </c>
      <c r="K5" s="3" t="n">
        <v>1</v>
      </c>
      <c r="L5">
        <f>H5*K5</f>
        <v/>
      </c>
      <c r="M5">
        <f>I5*K5</f>
        <v/>
      </c>
      <c r="N5" s="3" t="n">
        <v>94.59999999999999</v>
      </c>
      <c r="O5" s="3" t="n">
        <v>94.59999999999999</v>
      </c>
      <c r="P5" s="3" t="n">
        <v>94.59999999999999</v>
      </c>
      <c r="Q5">
        <f>L5*N5</f>
        <v/>
      </c>
      <c r="R5">
        <f>J5*P5</f>
        <v/>
      </c>
      <c r="S5">
        <f>M5*O5</f>
        <v/>
      </c>
      <c r="T5">
        <f>Q5-R5-S5</f>
        <v/>
      </c>
      <c r="U5" t="inlineStr"/>
    </row>
    <row r="6">
      <c r="A6" t="inlineStr">
        <is>
          <t>AVGO</t>
        </is>
      </c>
      <c r="B6" t="inlineStr">
        <is>
          <t>USD</t>
        </is>
      </c>
      <c r="C6" t="n">
        <v>15</v>
      </c>
      <c r="D6" s="2" t="n">
        <v>46196</v>
      </c>
      <c r="E6" s="2" t="n">
        <v>46197</v>
      </c>
      <c r="F6">
        <f>E6-D6</f>
        <v/>
      </c>
      <c r="G6">
        <f>IF(F6&gt;730,"LTCG","STCG")</f>
        <v/>
      </c>
      <c r="H6" s="3" t="n">
        <v>5793.9</v>
      </c>
      <c r="I6" s="3" t="n">
        <v>941.58</v>
      </c>
      <c r="J6" s="3" t="n">
        <v>1.12</v>
      </c>
      <c r="K6" s="3" t="n">
        <v>1</v>
      </c>
      <c r="L6">
        <f>H6*K6</f>
        <v/>
      </c>
      <c r="M6">
        <f>I6*K6</f>
        <v/>
      </c>
      <c r="N6" s="3" t="n">
        <v>94.59999999999999</v>
      </c>
      <c r="O6" s="3" t="n">
        <v>94.59999999999999</v>
      </c>
      <c r="P6" s="3" t="n">
        <v>94.59999999999999</v>
      </c>
      <c r="Q6">
        <f>L6*N6</f>
        <v/>
      </c>
      <c r="R6">
        <f>J6*P6</f>
        <v/>
      </c>
      <c r="S6">
        <f>M6*O6</f>
        <v/>
      </c>
      <c r="T6">
        <f>Q6-R6-S6</f>
        <v/>
      </c>
      <c r="U6" t="inlineStr"/>
    </row>
    <row r="7">
      <c r="A7" t="inlineStr">
        <is>
          <t>AVGO</t>
        </is>
      </c>
      <c r="B7" t="inlineStr">
        <is>
          <t>USD</t>
        </is>
      </c>
      <c r="C7" t="n">
        <v>6</v>
      </c>
      <c r="D7" s="2" t="n">
        <v>46196</v>
      </c>
      <c r="E7" s="2" t="n">
        <v>46209</v>
      </c>
      <c r="F7">
        <f>E7-D7</f>
        <v/>
      </c>
      <c r="G7">
        <f>IF(F7&gt;730,"LTCG","STCG")</f>
        <v/>
      </c>
      <c r="H7" s="3" t="n">
        <v>2267.22</v>
      </c>
      <c r="I7" s="3" t="n">
        <v>376.63</v>
      </c>
      <c r="J7" s="3" t="n">
        <v>1.05</v>
      </c>
      <c r="K7" s="3" t="n">
        <v>1</v>
      </c>
      <c r="L7">
        <f>H7*K7</f>
        <v/>
      </c>
      <c r="M7">
        <f>I7*K7</f>
        <v/>
      </c>
      <c r="N7" s="3" t="n">
        <v>93.95</v>
      </c>
      <c r="O7" s="3" t="n">
        <v>94.59999999999999</v>
      </c>
      <c r="P7" s="3" t="n">
        <v>93.95</v>
      </c>
      <c r="Q7">
        <f>L7*N7</f>
        <v/>
      </c>
      <c r="R7">
        <f>J7*P7</f>
        <v/>
      </c>
      <c r="S7">
        <f>M7*O7</f>
        <v/>
      </c>
      <c r="T7">
        <f>Q7-R7-S7</f>
        <v/>
      </c>
      <c r="U7" t="inlineStr"/>
    </row>
    <row r="8">
      <c r="A8" t="inlineStr">
        <is>
          <t>AVGO</t>
        </is>
      </c>
      <c r="B8" t="inlineStr">
        <is>
          <t>USD</t>
        </is>
      </c>
      <c r="C8" t="n">
        <v>6</v>
      </c>
      <c r="D8" s="2" t="n">
        <v>46196</v>
      </c>
      <c r="E8" s="2" t="n">
        <v>46212</v>
      </c>
      <c r="F8">
        <f>E8-D8</f>
        <v/>
      </c>
      <c r="G8">
        <f>IF(F8&gt;730,"LTCG","STCG")</f>
        <v/>
      </c>
      <c r="H8" s="3" t="n">
        <v>2412</v>
      </c>
      <c r="I8" s="3" t="n">
        <v>376.63</v>
      </c>
      <c r="J8" s="3" t="n">
        <v>1.05</v>
      </c>
      <c r="K8" s="3" t="n">
        <v>1</v>
      </c>
      <c r="L8">
        <f>H8*K8</f>
        <v/>
      </c>
      <c r="M8">
        <f>I8*K8</f>
        <v/>
      </c>
      <c r="N8" s="3" t="n">
        <v>93.95</v>
      </c>
      <c r="O8" s="3" t="n">
        <v>94.59999999999999</v>
      </c>
      <c r="P8" s="3" t="n">
        <v>93.95</v>
      </c>
      <c r="Q8">
        <f>L8*N8</f>
        <v/>
      </c>
      <c r="R8">
        <f>J8*P8</f>
        <v/>
      </c>
      <c r="S8">
        <f>M8*O8</f>
        <v/>
      </c>
      <c r="T8">
        <f>Q8-R8-S8</f>
        <v/>
      </c>
      <c r="U8" t="inlineStr"/>
    </row>
    <row r="9">
      <c r="A9" t="inlineStr">
        <is>
          <t>BNO</t>
        </is>
      </c>
      <c r="B9" t="inlineStr">
        <is>
          <t>USD</t>
        </is>
      </c>
      <c r="C9" t="n">
        <v>39</v>
      </c>
      <c r="D9" s="2" t="n">
        <v>46114</v>
      </c>
      <c r="E9" s="2" t="n">
        <v>46232</v>
      </c>
      <c r="F9">
        <f>E9-D9</f>
        <v/>
      </c>
      <c r="G9">
        <f>IF(F9&gt;730,"LTCG","STCG")</f>
        <v/>
      </c>
      <c r="H9" s="3" t="n">
        <v>1932.84</v>
      </c>
      <c r="I9" s="3" t="n">
        <v>2030.09</v>
      </c>
      <c r="J9" s="3" t="n">
        <v>1.05</v>
      </c>
      <c r="K9" s="3" t="n">
        <v>1</v>
      </c>
      <c r="L9">
        <f>H9*K9</f>
        <v/>
      </c>
      <c r="M9">
        <f>I9*K9</f>
        <v/>
      </c>
      <c r="N9" s="3" t="n">
        <v>93.95</v>
      </c>
      <c r="O9" s="3" t="n">
        <v>93.15000000000001</v>
      </c>
      <c r="P9" s="3" t="n">
        <v>93.95</v>
      </c>
      <c r="Q9">
        <f>L9*N9</f>
        <v/>
      </c>
      <c r="R9">
        <f>J9*P9</f>
        <v/>
      </c>
      <c r="S9">
        <f>M9*O9</f>
        <v/>
      </c>
      <c r="T9">
        <f>Q9-R9-S9</f>
        <v/>
      </c>
      <c r="U9" t="inlineStr"/>
    </row>
    <row r="10">
      <c r="A10" t="inlineStr">
        <is>
          <t>AVGO</t>
        </is>
      </c>
      <c r="B10" t="inlineStr">
        <is>
          <t>USD</t>
        </is>
      </c>
      <c r="C10" t="n">
        <v>10</v>
      </c>
      <c r="D10" s="2" t="n">
        <v>46230</v>
      </c>
      <c r="E10" s="2" t="n">
        <v>46233</v>
      </c>
      <c r="F10">
        <f>E10-D10</f>
        <v/>
      </c>
      <c r="G10">
        <f>IF(F10&gt;730,"LTCG","STCG")</f>
        <v/>
      </c>
      <c r="H10" s="3" t="n">
        <v>3804.6</v>
      </c>
      <c r="I10" s="3" t="n">
        <v>627.72</v>
      </c>
      <c r="J10" s="3" t="n">
        <v>1.08</v>
      </c>
      <c r="K10" s="3" t="n">
        <v>1</v>
      </c>
      <c r="L10">
        <f>H10*K10</f>
        <v/>
      </c>
      <c r="M10">
        <f>I10*K10</f>
        <v/>
      </c>
      <c r="N10" s="3" t="n">
        <v>93.95</v>
      </c>
      <c r="O10" s="3" t="n">
        <v>93.95</v>
      </c>
      <c r="P10" s="3" t="n">
        <v>93.95</v>
      </c>
      <c r="Q10">
        <f>L10*N10</f>
        <v/>
      </c>
      <c r="R10">
        <f>J10*P10</f>
        <v/>
      </c>
      <c r="S10">
        <f>M10*O10</f>
        <v/>
      </c>
      <c r="T10">
        <f>Q10-R10-S10</f>
        <v/>
      </c>
      <c r="U10" t="inlineStr"/>
    </row>
    <row r="11">
      <c r="A11" t="inlineStr">
        <is>
          <t>AVGO</t>
        </is>
      </c>
      <c r="B11" t="inlineStr">
        <is>
          <t>USD</t>
        </is>
      </c>
      <c r="C11" t="n">
        <v>40</v>
      </c>
      <c r="D11" s="2" t="n">
        <v>46230</v>
      </c>
      <c r="E11" s="2" t="n">
        <v>46238</v>
      </c>
      <c r="F11">
        <f>E11-D11</f>
        <v/>
      </c>
      <c r="G11">
        <f>IF(F11&gt;730,"LTCG","STCG")</f>
        <v/>
      </c>
      <c r="H11" s="3" t="n">
        <v>16117.2</v>
      </c>
      <c r="I11" s="3" t="n">
        <v>2510.88</v>
      </c>
      <c r="J11" s="3" t="n">
        <v>1.34</v>
      </c>
      <c r="K11" s="3" t="n">
        <v>1</v>
      </c>
      <c r="L11">
        <f>H11*K11</f>
        <v/>
      </c>
      <c r="M11">
        <f>I11*K11</f>
        <v/>
      </c>
      <c r="N11" s="3" t="n">
        <v>95.2</v>
      </c>
      <c r="O11" s="3" t="n">
        <v>93.95</v>
      </c>
      <c r="P11" s="3" t="n">
        <v>95.2</v>
      </c>
      <c r="Q11">
        <f>L11*N11</f>
        <v/>
      </c>
      <c r="R11">
        <f>J11*P11</f>
        <v/>
      </c>
      <c r="S11">
        <f>M11*O11</f>
        <v/>
      </c>
      <c r="T11">
        <f>Q11-R11-S11</f>
        <v/>
      </c>
      <c r="U11" t="inlineStr"/>
    </row>
    <row r="12">
      <c r="A12" t="inlineStr">
        <is>
          <t>AVGO</t>
        </is>
      </c>
      <c r="B12" t="inlineStr">
        <is>
          <t>USD</t>
        </is>
      </c>
      <c r="C12" t="n">
        <v>34</v>
      </c>
      <c r="D12" s="2" t="n">
        <v>46230</v>
      </c>
      <c r="E12" s="2" t="n">
        <v>46239</v>
      </c>
      <c r="F12">
        <f>E12-D12</f>
        <v/>
      </c>
      <c r="G12">
        <f>IF(F12&gt;730,"LTCG","STCG")</f>
        <v/>
      </c>
      <c r="H12" s="3" t="n">
        <v>14365</v>
      </c>
      <c r="I12" s="3" t="n">
        <v>2134.25</v>
      </c>
      <c r="J12" s="3" t="n">
        <v>1.3</v>
      </c>
      <c r="K12" s="3" t="n">
        <v>1</v>
      </c>
      <c r="L12">
        <f>H12*K12</f>
        <v/>
      </c>
      <c r="M12">
        <f>I12*K12</f>
        <v/>
      </c>
      <c r="N12" s="3" t="n">
        <v>95.2</v>
      </c>
      <c r="O12" s="3" t="n">
        <v>93.95</v>
      </c>
      <c r="P12" s="3" t="n">
        <v>95.2</v>
      </c>
      <c r="Q12">
        <f>L12*N12</f>
        <v/>
      </c>
      <c r="R12">
        <f>J12*P12</f>
        <v/>
      </c>
      <c r="S12">
        <f>M12*O12</f>
        <v/>
      </c>
      <c r="T12">
        <f>Q12-R12-S12</f>
        <v/>
      </c>
      <c r="U12" t="inlineStr"/>
    </row>
    <row r="13"/>
    <row r="14">
      <c r="G14" s="4" t="inlineStr">
        <is>
          <t>TOTAL STCG (INR)</t>
        </is>
      </c>
      <c r="T14" s="4">
        <f>SUMIF(G5:G12,"STCG",T5:T12)</f>
        <v/>
      </c>
    </row>
    <row r="15">
      <c r="G15" s="4" t="inlineStr">
        <is>
          <t>TOTAL LTCG (INR)</t>
        </is>
      </c>
      <c r="T15" s="4">
        <f>SUMIF(G5:G12,"LTCG",T5:T12)</f>
        <v/>
      </c>
    </row>
    <row r="16">
      <c r="G16" s="4" t="inlineStr">
        <is>
          <t>TOTAL CG (INR)</t>
        </is>
      </c>
      <c r="T16" s="4">
        <f>T14+T15</f>
        <v/>
      </c>
    </row>
  </sheetData>
  <mergeCells count="3">
    <mergeCell ref="A1:U1"/>
    <mergeCell ref="A3:U3"/>
    <mergeCell ref="A2:U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8" customWidth="1" min="1" max="1"/>
    <col width="48" customWidth="1" min="2" max="2"/>
    <col width="10" customWidth="1" min="3" max="3"/>
    <col width="14" customWidth="1" min="4" max="4"/>
    <col width="14" customWidth="1" min="5" max="5"/>
    <col width="20" customWidth="1" min="6" max="6"/>
    <col width="14" customWidth="1" min="7" max="7"/>
  </cols>
  <sheetData>
    <row r="1">
      <c r="A1" t="inlineStr">
        <is>
          <t>Interest &amp; Dividend income — FY 2026-27 YTD (01-Apr-2026 to 14-Sep-2026). Partial — full year needs statement through 31-Mar-2027.</t>
        </is>
      </c>
    </row>
    <row r="2">
      <c r="A2" s="1" t="inlineStr">
        <is>
          <t>Date</t>
        </is>
      </c>
      <c r="B2" s="1" t="inlineStr">
        <is>
          <t>Description</t>
        </is>
      </c>
      <c r="C2" s="1" t="inlineStr">
        <is>
          <t>Currency</t>
        </is>
      </c>
      <c r="D2" s="1" t="inlineStr">
        <is>
          <t>Amount (FCY)</t>
        </is>
      </c>
      <c r="E2" s="1" t="inlineStr">
        <is>
          <t>Amount (USD)</t>
        </is>
      </c>
      <c r="F2" s="1" t="inlineStr">
        <is>
          <t>USD/INR (Rule 115)</t>
        </is>
      </c>
      <c r="G2" s="1" t="inlineStr">
        <is>
          <t>Amount (INR)</t>
        </is>
      </c>
    </row>
    <row r="3">
      <c r="A3" t="inlineStr">
        <is>
          <t>— INTEREST —</t>
        </is>
      </c>
    </row>
    <row r="4">
      <c r="A4" s="2" t="n">
        <v>46118</v>
      </c>
      <c r="B4" t="inlineStr">
        <is>
          <t>USD Debit Interest for Mar-2026</t>
        </is>
      </c>
      <c r="C4" t="inlineStr">
        <is>
          <t>USD</t>
        </is>
      </c>
      <c r="D4" t="n">
        <v>-0.03</v>
      </c>
      <c r="E4" t="n">
        <v>-0.03</v>
      </c>
      <c r="F4" t="n">
        <v>93.15000000000001</v>
      </c>
      <c r="G4" t="n">
        <v>-3</v>
      </c>
    </row>
    <row r="5">
      <c r="A5" s="2" t="n">
        <v>46209</v>
      </c>
      <c r="B5" t="inlineStr">
        <is>
          <t>USD Credit Interest for Jun-2026</t>
        </is>
      </c>
      <c r="C5" t="inlineStr">
        <is>
          <t>USD</t>
        </is>
      </c>
      <c r="D5" t="n">
        <v>0.09</v>
      </c>
      <c r="E5" t="n">
        <v>0.09</v>
      </c>
      <c r="F5" t="n">
        <v>93.95</v>
      </c>
      <c r="G5" t="n">
        <v>8</v>
      </c>
    </row>
    <row r="6">
      <c r="A6" s="2" t="n">
        <v>46268</v>
      </c>
      <c r="B6" t="inlineStr">
        <is>
          <t>USD Credit Interest for Aug-2026</t>
        </is>
      </c>
      <c r="C6" t="inlineStr">
        <is>
          <t>USD</t>
        </is>
      </c>
      <c r="D6" t="n">
        <v>30.45</v>
      </c>
      <c r="E6" t="n">
        <v>30.45</v>
      </c>
      <c r="F6" t="n">
        <v>95</v>
      </c>
      <c r="G6" t="n">
        <v>2893</v>
      </c>
    </row>
    <row r="7">
      <c r="B7" t="inlineStr">
        <is>
          <t>TOTAL INTEREST</t>
        </is>
      </c>
      <c r="E7" t="n">
        <v>30.51</v>
      </c>
      <c r="G7" t="n">
        <v>2898</v>
      </c>
    </row>
    <row r="8"/>
    <row r="9">
      <c r="A9" t="inlineStr">
        <is>
          <t>— DIVIDENDS —</t>
        </is>
      </c>
    </row>
    <row r="10">
      <c r="A10" s="2" t="n">
        <v>46252</v>
      </c>
      <c r="B10" t="inlineStr">
        <is>
          <t>NOVO B(DK0062498333) Cash Dividend DKK 3.75 per Share (Ordinary Dividend)</t>
        </is>
      </c>
      <c r="C10" t="inlineStr">
        <is>
          <t>DKK</t>
        </is>
      </c>
      <c r="D10" t="n">
        <v>56.25</v>
      </c>
      <c r="E10" t="n">
        <v>8.8459</v>
      </c>
      <c r="F10" t="n">
        <v>95.2</v>
      </c>
      <c r="G10" t="n">
        <v>842</v>
      </c>
    </row>
    <row r="11">
      <c r="A11" s="2" t="n">
        <v>46237</v>
      </c>
      <c r="B11" t="inlineStr">
        <is>
          <t>UU.(GB00B39J2M42) Cash Dividend GBP 0.3578 per Share (Ordinary Dividend)</t>
        </is>
      </c>
      <c r="C11" t="inlineStr">
        <is>
          <t>GBP</t>
        </is>
      </c>
      <c r="D11" t="n">
        <v>21.47</v>
      </c>
      <c r="E11" t="n">
        <v>28.8127</v>
      </c>
      <c r="F11" t="n">
        <v>95.2</v>
      </c>
      <c r="G11" t="n">
        <v>2743</v>
      </c>
    </row>
    <row r="12">
      <c r="A12" s="2" t="n">
        <v>46258</v>
      </c>
      <c r="B12" t="inlineStr">
        <is>
          <t>2890(TW0002890001) Cash Dividend TWD 1.1 per Share (Ordinary Dividend)</t>
        </is>
      </c>
      <c r="C12" t="inlineStr">
        <is>
          <t>TWD</t>
        </is>
      </c>
      <c r="D12" t="n">
        <v>330</v>
      </c>
      <c r="E12" t="n">
        <v>10.4693</v>
      </c>
      <c r="F12" t="n">
        <v>95.2</v>
      </c>
      <c r="G12" t="n">
        <v>997</v>
      </c>
    </row>
    <row r="13">
      <c r="A13" s="2" t="n">
        <v>46198</v>
      </c>
      <c r="B13" t="inlineStr">
        <is>
          <t>QTUM(US26922A4206) Cash Dividend USD 0.269935 per Share (Ordinary Dividend)</t>
        </is>
      </c>
      <c r="C13" t="inlineStr">
        <is>
          <t>USD</t>
        </is>
      </c>
      <c r="D13" t="n">
        <v>0.8100000000000001</v>
      </c>
      <c r="E13" t="n">
        <v>0.8100000000000001</v>
      </c>
      <c r="F13" t="n">
        <v>94.59999999999999</v>
      </c>
      <c r="G13" t="n">
        <v>77</v>
      </c>
    </row>
    <row r="14">
      <c r="A14" s="2" t="n">
        <v>46275</v>
      </c>
      <c r="B14" t="inlineStr">
        <is>
          <t>LLY(US5324571083) Cash Dividend USD 1.73 per Share (Ordinary Dividend)</t>
        </is>
      </c>
      <c r="C14" t="inlineStr">
        <is>
          <t>USD</t>
        </is>
      </c>
      <c r="D14" t="n">
        <v>1.21</v>
      </c>
      <c r="E14" t="n">
        <v>1.21</v>
      </c>
      <c r="F14" t="n">
        <v>95</v>
      </c>
      <c r="G14" t="n">
        <v>115</v>
      </c>
    </row>
    <row r="15">
      <c r="A15" s="2" t="n">
        <v>46275</v>
      </c>
      <c r="B15" t="inlineStr">
        <is>
          <t>MSFT(US5949181045) Cash Dividend USD 0.91 per Share (Ordinary Dividend)</t>
        </is>
      </c>
      <c r="C15" t="inlineStr">
        <is>
          <t>USD</t>
        </is>
      </c>
      <c r="D15" t="n">
        <v>2.55</v>
      </c>
      <c r="E15" t="n">
        <v>2.55</v>
      </c>
      <c r="F15" t="n">
        <v>95</v>
      </c>
      <c r="G15" t="n">
        <v>242</v>
      </c>
    </row>
    <row r="16">
      <c r="A16" s="2" t="n">
        <v>46279</v>
      </c>
      <c r="B16" t="inlineStr">
        <is>
          <t>GOOGL(US02079K3059) Cash Dividend USD 0.22 per Share (Ordinary Dividend)</t>
        </is>
      </c>
      <c r="C16" t="inlineStr">
        <is>
          <t>USD</t>
        </is>
      </c>
      <c r="D16" t="n">
        <v>0.66</v>
      </c>
      <c r="E16" t="n">
        <v>0.66</v>
      </c>
      <c r="F16" t="n">
        <v>95</v>
      </c>
      <c r="G16" t="n">
        <v>63</v>
      </c>
    </row>
    <row r="17">
      <c r="B17" t="inlineStr">
        <is>
          <t>TOTAL DIVIDENDS</t>
        </is>
      </c>
      <c r="E17" t="n">
        <v>53.36</v>
      </c>
      <c r="G17" t="n">
        <v>5078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2026-09-15T11:41:48Z</dcterms:created>
  <dcterms:modified xsi:type="dcterms:W3CDTF">2026-09-15T11:41:48Z</dcterms:modified>
</cp:coreProperties>
</file>