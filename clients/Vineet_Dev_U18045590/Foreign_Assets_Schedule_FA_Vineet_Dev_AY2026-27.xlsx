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CHF</t>
        </is>
      </c>
      <c r="B30" s="3" t="n">
        <v>1.2615</v>
      </c>
    </row>
    <row r="31">
      <c r="A31" t="inlineStr">
        <is>
          <t>DKK</t>
        </is>
      </c>
      <c r="B31" s="3" t="n">
        <v>0.15726</v>
      </c>
    </row>
    <row r="32">
      <c r="A32" t="inlineStr">
        <is>
          <t>EUR</t>
        </is>
      </c>
      <c r="B32" s="3" t="n">
        <v>1.1746</v>
      </c>
    </row>
    <row r="33">
      <c r="A33" t="inlineStr">
        <is>
          <t>HKD</t>
        </is>
      </c>
      <c r="B33" s="3" t="n">
        <v>0.12849</v>
      </c>
    </row>
    <row r="34">
      <c r="A34" t="inlineStr">
        <is>
          <t>JPY</t>
        </is>
      </c>
      <c r="B34" s="3" t="n">
        <v>0.0063827</v>
      </c>
    </row>
    <row r="35">
      <c r="A35" t="inlineStr">
        <is>
          <t>SGD</t>
        </is>
      </c>
      <c r="B35" s="3" t="n">
        <v>0.7776049766718507</v>
      </c>
    </row>
    <row r="36">
      <c r="A36" t="inlineStr">
        <is>
          <t>USD</t>
        </is>
      </c>
      <c r="B36" s="3" t="n">
        <v>1</v>
      </c>
    </row>
    <row r="37"/>
    <row r="38">
      <c r="A38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Japan</t>
        </is>
      </c>
      <c r="B5" t="n">
        <v>111</v>
      </c>
      <c r="C5" t="inlineStr">
        <is>
          <t>4568.T</t>
        </is>
      </c>
      <c r="D5" t="inlineStr">
        <is>
          <t>3-5-1 Nihonbashi Honcho, Chuo-ku, Tokyo</t>
        </is>
      </c>
      <c r="E5" t="inlineStr">
        <is>
          <t>103-8426</t>
        </is>
      </c>
      <c r="F5" t="inlineStr">
        <is>
          <t>Listed Foreign Equity Share (Company)</t>
        </is>
      </c>
      <c r="G5" t="inlineStr">
        <is>
          <t>2025-05-28</t>
        </is>
      </c>
      <c r="H5" t="n">
        <v>211071</v>
      </c>
      <c r="I5" t="n">
        <v>224149</v>
      </c>
      <c r="J5" t="n">
        <v>191191</v>
      </c>
      <c r="K5" t="n">
        <v>8857</v>
      </c>
      <c r="L5" t="n">
        <v>0</v>
      </c>
    </row>
    <row r="6">
      <c r="A6" t="inlineStr">
        <is>
          <t>Japan</t>
        </is>
      </c>
      <c r="B6" t="n">
        <v>111</v>
      </c>
      <c r="C6" t="inlineStr">
        <is>
          <t>4568.T</t>
        </is>
      </c>
      <c r="D6" t="inlineStr">
        <is>
          <t>3-5-1 Nihonbashi Honcho, Chuo-ku, Tokyo</t>
        </is>
      </c>
      <c r="E6" t="inlineStr">
        <is>
          <t>103-8426</t>
        </is>
      </c>
      <c r="F6" t="inlineStr">
        <is>
          <t>Listed Foreign Equity Share (Company)</t>
        </is>
      </c>
      <c r="G6" t="inlineStr">
        <is>
          <t>2025-06-24</t>
        </is>
      </c>
      <c r="H6" t="n">
        <v>183520</v>
      </c>
      <c r="I6" t="n">
        <v>192944</v>
      </c>
      <c r="J6" t="n">
        <v>191191</v>
      </c>
      <c r="K6" t="n">
        <v>0</v>
      </c>
      <c r="L6" t="n">
        <v>0</v>
      </c>
    </row>
    <row r="7">
      <c r="A7" t="inlineStr">
        <is>
          <t>Japan</t>
        </is>
      </c>
      <c r="B7" t="n">
        <v>111</v>
      </c>
      <c r="C7" t="inlineStr">
        <is>
          <t>4568.T</t>
        </is>
      </c>
      <c r="D7" t="inlineStr">
        <is>
          <t>3-5-1 Nihonbashi Honcho, Chuo-ku, Tokyo</t>
        </is>
      </c>
      <c r="E7" t="inlineStr">
        <is>
          <t>103-8426</t>
        </is>
      </c>
      <c r="F7" t="inlineStr">
        <is>
          <t>Listed Foreign Equity Share (Company)</t>
        </is>
      </c>
      <c r="G7" t="inlineStr">
        <is>
          <t>2025-09-07</t>
        </is>
      </c>
      <c r="H7" t="n">
        <v>410970</v>
      </c>
      <c r="I7" t="n">
        <v>419265</v>
      </c>
      <c r="J7" t="n">
        <v>382382</v>
      </c>
      <c r="K7" t="n">
        <v>0</v>
      </c>
      <c r="L7" t="n">
        <v>0</v>
      </c>
    </row>
    <row r="8">
      <c r="A8" t="inlineStr">
        <is>
          <t>Japan</t>
        </is>
      </c>
      <c r="B8" t="n">
        <v>111</v>
      </c>
      <c r="C8" t="inlineStr">
        <is>
          <t>7203.T</t>
        </is>
      </c>
      <c r="D8" t="inlineStr">
        <is>
          <t>1 Toyota-cho, Toyota City, Aichi</t>
        </is>
      </c>
      <c r="E8" t="inlineStr">
        <is>
          <t>471-8571</t>
        </is>
      </c>
      <c r="F8" t="inlineStr">
        <is>
          <t>Listed Foreign Equity Share (Company)</t>
        </is>
      </c>
      <c r="G8" t="inlineStr">
        <is>
          <t>2025-06-24</t>
        </is>
      </c>
      <c r="H8" t="n">
        <v>133454</v>
      </c>
      <c r="I8" t="n">
        <v>191648</v>
      </c>
      <c r="J8" t="n">
        <v>191648</v>
      </c>
      <c r="K8" t="n">
        <v>2533</v>
      </c>
      <c r="L8" t="n">
        <v>0</v>
      </c>
    </row>
    <row r="9">
      <c r="A9" t="inlineStr">
        <is>
          <t>United States of America</t>
        </is>
      </c>
      <c r="B9" t="n">
        <v>2</v>
      </c>
      <c r="C9" t="inlineStr">
        <is>
          <t>AAPL</t>
        </is>
      </c>
      <c r="D9" t="inlineStr">
        <is>
          <t>One Apple Park Way, Cupertino, CA</t>
        </is>
      </c>
      <c r="E9" t="inlineStr">
        <is>
          <t>95014</t>
        </is>
      </c>
      <c r="F9" t="inlineStr">
        <is>
          <t>Listed Foreign Equity Share (Company)</t>
        </is>
      </c>
      <c r="G9" t="inlineStr">
        <is>
          <t>2025-09-05</t>
        </is>
      </c>
      <c r="H9" t="n">
        <v>63073</v>
      </c>
      <c r="I9" t="n">
        <v>72970</v>
      </c>
      <c r="J9" t="n">
        <v>72970</v>
      </c>
      <c r="K9" t="n">
        <v>69</v>
      </c>
      <c r="L9" t="n">
        <v>0</v>
      </c>
    </row>
    <row r="10">
      <c r="A10" t="inlineStr">
        <is>
          <t>United States of America</t>
        </is>
      </c>
      <c r="B10" t="n">
        <v>2</v>
      </c>
      <c r="C10" t="inlineStr">
        <is>
          <t>AAXJ</t>
        </is>
      </c>
      <c r="D10" t="inlineStr">
        <is>
          <t>c/o BlackRock Fund Advisors, 400 Howard Street, San Francisco, CA</t>
        </is>
      </c>
      <c r="E10" t="inlineStr">
        <is>
          <t>94105</t>
        </is>
      </c>
      <c r="F10" t="inlineStr">
        <is>
          <t>Exchange Traded Fund (Investment Trust)</t>
        </is>
      </c>
      <c r="G10" t="inlineStr">
        <is>
          <t>2025-09-05</t>
        </is>
      </c>
      <c r="H10" t="n">
        <v>60994</v>
      </c>
      <c r="I10" t="n">
        <v>66652</v>
      </c>
      <c r="J10" t="n">
        <v>66652</v>
      </c>
      <c r="K10" t="n">
        <v>801</v>
      </c>
      <c r="L10" t="n">
        <v>0</v>
      </c>
    </row>
    <row r="11">
      <c r="A11" t="inlineStr">
        <is>
          <t>United States of America</t>
        </is>
      </c>
      <c r="B11" t="n">
        <v>2</v>
      </c>
      <c r="C11" t="inlineStr">
        <is>
          <t>AEP</t>
        </is>
      </c>
      <c r="D11" t="inlineStr">
        <is>
          <t>1 Riverside Plaza, Columbus, OH</t>
        </is>
      </c>
      <c r="E11" t="inlineStr">
        <is>
          <t>43215</t>
        </is>
      </c>
      <c r="F11" t="inlineStr">
        <is>
          <t>Listed Foreign Equity Share (Company)</t>
        </is>
      </c>
      <c r="G11" t="inlineStr">
        <is>
          <t>2025-12-11</t>
        </is>
      </c>
      <c r="H11" t="n">
        <v>101946</v>
      </c>
      <c r="I11" t="n">
        <v>103168</v>
      </c>
      <c r="J11" t="n">
        <v>103168</v>
      </c>
      <c r="K11" t="n">
        <v>0</v>
      </c>
      <c r="L11" t="n">
        <v>0</v>
      </c>
    </row>
    <row r="12">
      <c r="A12" t="inlineStr">
        <is>
          <t>United States of America</t>
        </is>
      </c>
      <c r="B12" t="n">
        <v>2</v>
      </c>
      <c r="C12" t="inlineStr">
        <is>
          <t>AMD</t>
        </is>
      </c>
      <c r="D12" t="inlineStr">
        <is>
          <t>2485 Augustine Drive, Santa Clara, CA</t>
        </is>
      </c>
      <c r="E12" t="inlineStr">
        <is>
          <t>95054</t>
        </is>
      </c>
      <c r="F12" t="inlineStr">
        <is>
          <t>Listed Foreign Equity Share (Company)</t>
        </is>
      </c>
      <c r="G12" t="inlineStr">
        <is>
          <t>2025-09-05</t>
        </is>
      </c>
      <c r="H12" t="n">
        <v>67169</v>
      </c>
      <c r="I12" t="n">
        <v>95804</v>
      </c>
      <c r="J12" t="n">
        <v>95804</v>
      </c>
      <c r="K12" t="n">
        <v>0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AMZN</t>
        </is>
      </c>
      <c r="D13" t="inlineStr">
        <is>
          <t>410 Terry Avenue North, Seattle, WA</t>
        </is>
      </c>
      <c r="E13" t="inlineStr">
        <is>
          <t>98109</t>
        </is>
      </c>
      <c r="F13" t="inlineStr">
        <is>
          <t>Listed Foreign Equity Share (Company)</t>
        </is>
      </c>
      <c r="G13" t="inlineStr">
        <is>
          <t>2025-04-07</t>
        </is>
      </c>
      <c r="H13" t="n">
        <v>124790</v>
      </c>
      <c r="I13" t="n">
        <v>165842</v>
      </c>
      <c r="J13" t="n">
        <v>0</v>
      </c>
      <c r="K13" t="n">
        <v>0</v>
      </c>
      <c r="L13" t="n">
        <v>157741</v>
      </c>
    </row>
    <row r="14">
      <c r="A14" t="inlineStr">
        <is>
          <t>Netherlands</t>
        </is>
      </c>
      <c r="B14" t="n">
        <v>156</v>
      </c>
      <c r="C14" t="inlineStr">
        <is>
          <t>ASML</t>
        </is>
      </c>
      <c r="D14" t="inlineStr">
        <is>
          <t>De Run 6501, 5504 DR Veldhoven</t>
        </is>
      </c>
      <c r="E14" t="inlineStr">
        <is>
          <t>5504 DR</t>
        </is>
      </c>
      <c r="F14" t="inlineStr">
        <is>
          <t>American Depository Receipt of Listed Foreign Company</t>
        </is>
      </c>
      <c r="G14" t="inlineStr">
        <is>
          <t>2025-04-07</t>
        </is>
      </c>
      <c r="H14" t="n">
        <v>156144</v>
      </c>
      <c r="I14" t="n">
        <v>190962</v>
      </c>
      <c r="J14" t="n">
        <v>0</v>
      </c>
      <c r="K14" t="n">
        <v>878</v>
      </c>
      <c r="L14" t="n">
        <v>179748</v>
      </c>
    </row>
    <row r="15">
      <c r="A15" t="inlineStr">
        <is>
          <t>Netherlands</t>
        </is>
      </c>
      <c r="B15" t="n">
        <v>156</v>
      </c>
      <c r="C15" t="inlineStr">
        <is>
          <t>ASML</t>
        </is>
      </c>
      <c r="D15" t="inlineStr">
        <is>
          <t>De Run 6501, 5504 DR Veldhoven</t>
        </is>
      </c>
      <c r="E15" t="inlineStr">
        <is>
          <t>5504 DR</t>
        </is>
      </c>
      <c r="F15" t="inlineStr">
        <is>
          <t>American Depository Receipt of Listed Foreign Company</t>
        </is>
      </c>
      <c r="G15" t="inlineStr">
        <is>
          <t>2025-09-08</t>
        </is>
      </c>
      <c r="H15" t="n">
        <v>135729</v>
      </c>
      <c r="I15" t="n">
        <v>193663</v>
      </c>
      <c r="J15" t="n">
        <v>193663</v>
      </c>
      <c r="K15" t="n">
        <v>0</v>
      </c>
      <c r="L15" t="n">
        <v>0</v>
      </c>
    </row>
    <row r="16">
      <c r="A16" t="inlineStr">
        <is>
          <t>United States of America</t>
        </is>
      </c>
      <c r="B16" t="n">
        <v>2</v>
      </c>
      <c r="C16" t="inlineStr">
        <is>
          <t>AXP</t>
        </is>
      </c>
      <c r="D16" t="inlineStr">
        <is>
          <t>200 Vesey Street, New York, NY</t>
        </is>
      </c>
      <c r="E16" t="inlineStr">
        <is>
          <t>10285</t>
        </is>
      </c>
      <c r="F16" t="inlineStr">
        <is>
          <t>Listed Foreign Equity Share (Company)</t>
        </is>
      </c>
      <c r="G16" t="inlineStr">
        <is>
          <t>2025-04-07</t>
        </is>
      </c>
      <c r="H16" t="n">
        <v>59520</v>
      </c>
      <c r="I16" t="n">
        <v>82864</v>
      </c>
      <c r="J16" t="n">
        <v>0</v>
      </c>
      <c r="K16" t="n">
        <v>214</v>
      </c>
      <c r="L16" t="n">
        <v>78816</v>
      </c>
    </row>
    <row r="17">
      <c r="A17" t="inlineStr">
        <is>
          <t>United States of America</t>
        </is>
      </c>
      <c r="B17" t="n">
        <v>2</v>
      </c>
      <c r="C17" t="inlineStr">
        <is>
          <t>BAC</t>
        </is>
      </c>
      <c r="D17" t="inlineStr">
        <is>
          <t>100 North Tryon Street, Charlotte, NC</t>
        </is>
      </c>
      <c r="E17" t="inlineStr">
        <is>
          <t>28255</t>
        </is>
      </c>
      <c r="F17" t="inlineStr">
        <is>
          <t>Listed Foreign Equity Share (Company)</t>
        </is>
      </c>
      <c r="G17" t="inlineStr">
        <is>
          <t>2025-04-07</t>
        </is>
      </c>
      <c r="H17" t="n">
        <v>74449</v>
      </c>
      <c r="I17" t="n">
        <v>103230</v>
      </c>
      <c r="J17" t="n">
        <v>0</v>
      </c>
      <c r="K17" t="n">
        <v>531</v>
      </c>
      <c r="L17" t="n">
        <v>98188</v>
      </c>
    </row>
    <row r="18">
      <c r="A18" t="inlineStr">
        <is>
          <t>United States of America</t>
        </is>
      </c>
      <c r="B18" t="n">
        <v>2</v>
      </c>
      <c r="C18" t="inlineStr">
        <is>
          <t>BLBD</t>
        </is>
      </c>
      <c r="D18" t="inlineStr">
        <is>
          <t>3920 Arkwright Road, Macon, GA</t>
        </is>
      </c>
      <c r="E18" t="inlineStr">
        <is>
          <t>31210</t>
        </is>
      </c>
      <c r="F18" t="inlineStr">
        <is>
          <t>Listed Foreign Equity Share (Company)</t>
        </is>
      </c>
      <c r="G18" t="inlineStr">
        <is>
          <t>2025-04-07</t>
        </is>
      </c>
      <c r="H18" t="n">
        <v>66433</v>
      </c>
      <c r="I18" t="n">
        <v>98764</v>
      </c>
      <c r="J18" t="n">
        <v>0</v>
      </c>
      <c r="K18" t="n">
        <v>0</v>
      </c>
      <c r="L18" t="n">
        <v>93940</v>
      </c>
    </row>
    <row r="19">
      <c r="A19" t="inlineStr">
        <is>
          <t>United States of America</t>
        </is>
      </c>
      <c r="B19" t="n">
        <v>2</v>
      </c>
      <c r="C19" t="inlineStr">
        <is>
          <t>BOTZ</t>
        </is>
      </c>
      <c r="D19" t="inlineStr">
        <is>
          <t>c/o Global X Management Company LLC, 605 Third Avenue, New York, NY</t>
        </is>
      </c>
      <c r="E19" t="inlineStr">
        <is>
          <t>10158</t>
        </is>
      </c>
      <c r="F19" t="inlineStr">
        <is>
          <t>Exchange Traded Fund (Investment Trust)</t>
        </is>
      </c>
      <c r="G19" t="inlineStr">
        <is>
          <t>2025-09-05</t>
        </is>
      </c>
      <c r="H19" t="n">
        <v>70483</v>
      </c>
      <c r="I19" t="n">
        <v>77796</v>
      </c>
      <c r="J19" t="n">
        <v>77796</v>
      </c>
      <c r="K19" t="n">
        <v>0</v>
      </c>
      <c r="L19" t="n">
        <v>0</v>
      </c>
    </row>
    <row r="20">
      <c r="A20" t="inlineStr">
        <is>
          <t>United Kingdom</t>
        </is>
      </c>
      <c r="B20" t="n">
        <v>234</v>
      </c>
      <c r="C20" t="inlineStr">
        <is>
          <t>BTI</t>
        </is>
      </c>
      <c r="D20" t="inlineStr">
        <is>
          <t>Globe House, 4 Temple Place, London</t>
        </is>
      </c>
      <c r="E20" t="inlineStr">
        <is>
          <t>WC2R 2PG</t>
        </is>
      </c>
      <c r="F20" t="inlineStr">
        <is>
          <t>American Depository Receipt of Listed Foreign Company</t>
        </is>
      </c>
      <c r="G20" t="inlineStr">
        <is>
          <t>2025-04-07</t>
        </is>
      </c>
      <c r="H20" t="n">
        <v>63629</v>
      </c>
      <c r="I20" t="n">
        <v>89017</v>
      </c>
      <c r="J20" t="n">
        <v>0</v>
      </c>
      <c r="K20" t="n">
        <v>3059</v>
      </c>
      <c r="L20" t="n">
        <v>84669</v>
      </c>
    </row>
    <row r="21">
      <c r="A21" t="inlineStr">
        <is>
          <t>United Kingdom</t>
        </is>
      </c>
      <c r="B21" t="n">
        <v>234</v>
      </c>
      <c r="C21" t="inlineStr">
        <is>
          <t>BTI</t>
        </is>
      </c>
      <c r="D21" t="inlineStr">
        <is>
          <t>Globe House, 4 Temple Place, London</t>
        </is>
      </c>
      <c r="E21" t="inlineStr">
        <is>
          <t>WC2R 2PG</t>
        </is>
      </c>
      <c r="F21" t="inlineStr">
        <is>
          <t>American Depository Receipt of Listed Foreign Company</t>
        </is>
      </c>
      <c r="G21" t="inlineStr">
        <is>
          <t>2025-09-05</t>
        </is>
      </c>
      <c r="H21" t="n">
        <v>122703</v>
      </c>
      <c r="I21" t="n">
        <v>126645</v>
      </c>
      <c r="J21" t="n">
        <v>126645</v>
      </c>
      <c r="K21" t="n">
        <v>0</v>
      </c>
      <c r="L21" t="n">
        <v>0</v>
      </c>
    </row>
    <row r="22">
      <c r="A22" t="inlineStr">
        <is>
          <t>United States of America</t>
        </is>
      </c>
      <c r="B22" t="n">
        <v>2</v>
      </c>
      <c r="C22" t="inlineStr">
        <is>
          <t>BX</t>
        </is>
      </c>
      <c r="D22" t="inlineStr">
        <is>
          <t>345 Park Avenue, New York, NY</t>
        </is>
      </c>
      <c r="E22" t="inlineStr">
        <is>
          <t>10154</t>
        </is>
      </c>
      <c r="F22" t="inlineStr">
        <is>
          <t>Listed Foreign Equity Share (Company)</t>
        </is>
      </c>
      <c r="G22" t="inlineStr">
        <is>
          <t>2025-04-07</t>
        </is>
      </c>
      <c r="H22" t="n">
        <v>64795</v>
      </c>
      <c r="I22" t="n">
        <v>96195</v>
      </c>
      <c r="J22" t="n">
        <v>0</v>
      </c>
      <c r="K22" t="n">
        <v>470</v>
      </c>
      <c r="L22" t="n">
        <v>91497</v>
      </c>
    </row>
    <row r="23">
      <c r="A23" t="inlineStr">
        <is>
          <t>United States of America</t>
        </is>
      </c>
      <c r="B23" t="n">
        <v>2</v>
      </c>
      <c r="C23" t="inlineStr">
        <is>
          <t>CAT</t>
        </is>
      </c>
      <c r="D23" t="inlineStr">
        <is>
          <t>5205 N O'Connor Boulevard, Irving, TX</t>
        </is>
      </c>
      <c r="E23" t="inlineStr">
        <is>
          <t>75039</t>
        </is>
      </c>
      <c r="F23" t="inlineStr">
        <is>
          <t>Listed Foreign Equity Share (Company)</t>
        </is>
      </c>
      <c r="G23" t="inlineStr">
        <is>
          <t>2025-04-07</t>
        </is>
      </c>
      <c r="H23" t="n">
        <v>124812</v>
      </c>
      <c r="I23" t="n">
        <v>192454</v>
      </c>
      <c r="J23" t="n">
        <v>0</v>
      </c>
      <c r="K23" t="n">
        <v>1252</v>
      </c>
      <c r="L23" t="n">
        <v>183054</v>
      </c>
    </row>
    <row r="24">
      <c r="A24" t="inlineStr">
        <is>
          <t>United States of America</t>
        </is>
      </c>
      <c r="B24" t="n">
        <v>2</v>
      </c>
      <c r="C24" t="inlineStr">
        <is>
          <t>CPNG</t>
        </is>
      </c>
      <c r="D24" t="inlineStr">
        <is>
          <t>720 Olive Way, Suite 600, Seattle, WA</t>
        </is>
      </c>
      <c r="E24" t="inlineStr">
        <is>
          <t>98101</t>
        </is>
      </c>
      <c r="F24" t="inlineStr">
        <is>
          <t>Listed Foreign Equity Share (Company)</t>
        </is>
      </c>
      <c r="G24" t="inlineStr">
        <is>
          <t>2025-09-05</t>
        </is>
      </c>
      <c r="H24" t="n">
        <v>75269</v>
      </c>
      <c r="I24" t="n">
        <v>76788</v>
      </c>
      <c r="J24" t="n">
        <v>63318</v>
      </c>
      <c r="K24" t="n">
        <v>0</v>
      </c>
      <c r="L24" t="n">
        <v>0</v>
      </c>
    </row>
    <row r="25">
      <c r="A25" t="inlineStr">
        <is>
          <t>United States of America</t>
        </is>
      </c>
      <c r="B25" t="n">
        <v>2</v>
      </c>
      <c r="C25" t="inlineStr">
        <is>
          <t>CRM</t>
        </is>
      </c>
      <c r="D25" t="inlineStr">
        <is>
          <t>415 Mission Street, 3rd Floor, San Francisco, CA</t>
        </is>
      </c>
      <c r="E25" t="inlineStr">
        <is>
          <t>94105</t>
        </is>
      </c>
      <c r="F25" t="inlineStr">
        <is>
          <t>Listed Foreign Equity Share (Company)</t>
        </is>
      </c>
      <c r="G25" t="inlineStr">
        <is>
          <t>2025-02-24</t>
        </is>
      </c>
      <c r="H25" t="n">
        <v>7997714</v>
      </c>
      <c r="I25" t="n">
        <v>8301108</v>
      </c>
      <c r="J25" t="n">
        <v>5640956</v>
      </c>
      <c r="K25" t="n">
        <v>0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CRM</t>
        </is>
      </c>
      <c r="D26" t="inlineStr">
        <is>
          <t>415 Mission Street, 3rd Floor, San Francisco, CA</t>
        </is>
      </c>
      <c r="E26" t="inlineStr">
        <is>
          <t>94105</t>
        </is>
      </c>
      <c r="F26" t="inlineStr">
        <is>
          <t>Listed Foreign Equity Share (Company)</t>
        </is>
      </c>
      <c r="G26" t="inlineStr">
        <is>
          <t>2025-02-24</t>
        </is>
      </c>
      <c r="H26" t="n">
        <v>12350</v>
      </c>
      <c r="I26" t="n">
        <v>25906</v>
      </c>
      <c r="J26" t="n">
        <v>0</v>
      </c>
      <c r="K26" t="n">
        <v>29166</v>
      </c>
      <c r="L26" t="n">
        <v>25176</v>
      </c>
    </row>
    <row r="27">
      <c r="A27" t="inlineStr">
        <is>
          <t>United States of America</t>
        </is>
      </c>
      <c r="B27" t="n">
        <v>2</v>
      </c>
      <c r="C27" t="inlineStr">
        <is>
          <t>CRM</t>
        </is>
      </c>
      <c r="D27" t="inlineStr">
        <is>
          <t>415 Mission Street, 3rd Floor, San Francisco, CA</t>
        </is>
      </c>
      <c r="E27" t="inlineStr">
        <is>
          <t>94105</t>
        </is>
      </c>
      <c r="F27" t="inlineStr">
        <is>
          <t>Listed Foreign Equity Share (Company)</t>
        </is>
      </c>
      <c r="G27" t="inlineStr">
        <is>
          <t>2025-02-24</t>
        </is>
      </c>
      <c r="H27" t="n">
        <v>363781</v>
      </c>
      <c r="I27" t="n">
        <v>463123</v>
      </c>
      <c r="J27" t="n">
        <v>0</v>
      </c>
      <c r="K27" t="n">
        <v>0</v>
      </c>
      <c r="L27" t="n">
        <v>457325</v>
      </c>
    </row>
    <row r="28">
      <c r="A28" t="inlineStr">
        <is>
          <t>United States of America</t>
        </is>
      </c>
      <c r="B28" t="n">
        <v>2</v>
      </c>
      <c r="C28" t="inlineStr">
        <is>
          <t>CRM</t>
        </is>
      </c>
      <c r="D28" t="inlineStr">
        <is>
          <t>415 Mission Street, 3rd Floor, San Francisco, CA</t>
        </is>
      </c>
      <c r="E28" t="inlineStr">
        <is>
          <t>94105</t>
        </is>
      </c>
      <c r="F28" t="inlineStr">
        <is>
          <t>Listed Foreign Equity Share (Company)</t>
        </is>
      </c>
      <c r="G28" t="inlineStr">
        <is>
          <t>2025-02-24</t>
        </is>
      </c>
      <c r="H28" t="n">
        <v>712597</v>
      </c>
      <c r="I28" t="n">
        <v>1000396</v>
      </c>
      <c r="J28" t="n">
        <v>0</v>
      </c>
      <c r="K28" t="n">
        <v>0</v>
      </c>
      <c r="L28" t="n">
        <v>942029</v>
      </c>
    </row>
    <row r="29">
      <c r="A29" t="inlineStr">
        <is>
          <t>United States of America</t>
        </is>
      </c>
      <c r="B29" t="n">
        <v>2</v>
      </c>
      <c r="C29" t="inlineStr">
        <is>
          <t>CRM</t>
        </is>
      </c>
      <c r="D29" t="inlineStr">
        <is>
          <t>415 Mission Street, 3rd Floor, San Francisco, CA</t>
        </is>
      </c>
      <c r="E29" t="inlineStr">
        <is>
          <t>94105</t>
        </is>
      </c>
      <c r="F29" t="inlineStr">
        <is>
          <t>Listed Foreign Equity Share (Company)</t>
        </is>
      </c>
      <c r="G29" t="inlineStr">
        <is>
          <t>2025-02-24</t>
        </is>
      </c>
      <c r="H29" t="n">
        <v>1720472</v>
      </c>
      <c r="I29" t="n">
        <v>2632834</v>
      </c>
      <c r="J29" t="n">
        <v>0</v>
      </c>
      <c r="K29" t="n">
        <v>0</v>
      </c>
      <c r="L29" t="n">
        <v>2504238</v>
      </c>
    </row>
    <row r="30">
      <c r="A30" t="inlineStr">
        <is>
          <t>Germany</t>
        </is>
      </c>
      <c r="B30" t="n">
        <v>78</v>
      </c>
      <c r="C30" t="inlineStr">
        <is>
          <t>DB</t>
        </is>
      </c>
      <c r="D30" t="inlineStr">
        <is>
          <t>Taunusanlage 12, Frankfurt am Main</t>
        </is>
      </c>
      <c r="E30" t="inlineStr">
        <is>
          <t>60325</t>
        </is>
      </c>
      <c r="F30" t="inlineStr">
        <is>
          <t>Listed Foreign Equity Share (Company)</t>
        </is>
      </c>
      <c r="G30" t="inlineStr">
        <is>
          <t>2025-09-05</t>
        </is>
      </c>
      <c r="H30" t="n">
        <v>74124</v>
      </c>
      <c r="I30" t="n">
        <v>82799</v>
      </c>
      <c r="J30" t="n">
        <v>82799</v>
      </c>
      <c r="K30" t="n">
        <v>0</v>
      </c>
      <c r="L30" t="n">
        <v>0</v>
      </c>
    </row>
    <row r="31">
      <c r="A31" t="inlineStr">
        <is>
          <t>United States of America</t>
        </is>
      </c>
      <c r="B31" t="n">
        <v>2</v>
      </c>
      <c r="C31" t="inlineStr">
        <is>
          <t>DXJ</t>
        </is>
      </c>
      <c r="D31" t="inlineStr">
        <is>
          <t>c/o WisdomTree Investments Inc, 250 West 34th Street, New York, NY</t>
        </is>
      </c>
      <c r="E31" t="inlineStr">
        <is>
          <t>10119</t>
        </is>
      </c>
      <c r="F31" t="inlineStr">
        <is>
          <t>Exchange Traded Fund (Investment Trust)</t>
        </is>
      </c>
      <c r="G31" t="inlineStr">
        <is>
          <t>2025-04-07</t>
        </is>
      </c>
      <c r="H31" t="n">
        <v>65673</v>
      </c>
      <c r="I31" t="n">
        <v>85680</v>
      </c>
      <c r="J31" t="n">
        <v>0</v>
      </c>
      <c r="K31" t="n">
        <v>912</v>
      </c>
      <c r="L31" t="n">
        <v>81495</v>
      </c>
    </row>
    <row r="32">
      <c r="A32" t="inlineStr">
        <is>
          <t>United States of America</t>
        </is>
      </c>
      <c r="B32" t="n">
        <v>2</v>
      </c>
      <c r="C32" t="inlineStr">
        <is>
          <t>GE</t>
        </is>
      </c>
      <c r="D32" t="inlineStr">
        <is>
          <t>1 Neumann Way, Cincinnati, OH</t>
        </is>
      </c>
      <c r="E32" t="inlineStr">
        <is>
          <t>45215</t>
        </is>
      </c>
      <c r="F32" t="inlineStr">
        <is>
          <t>Listed Foreign Equity Share (Company)</t>
        </is>
      </c>
      <c r="G32" t="inlineStr">
        <is>
          <t>2025-04-07</t>
        </is>
      </c>
      <c r="H32" t="n">
        <v>117949</v>
      </c>
      <c r="I32" t="n">
        <v>194746</v>
      </c>
      <c r="J32" t="n">
        <v>0</v>
      </c>
      <c r="K32" t="n">
        <v>245</v>
      </c>
      <c r="L32" t="n">
        <v>185234</v>
      </c>
    </row>
    <row r="33">
      <c r="A33" t="inlineStr">
        <is>
          <t>United States of America</t>
        </is>
      </c>
      <c r="B33" t="n">
        <v>2</v>
      </c>
      <c r="C33" t="inlineStr">
        <is>
          <t>GLD</t>
        </is>
      </c>
      <c r="D33" t="inlineStr">
        <is>
          <t>c/o World Gold Trust Services LLC, 685 Third Avenue, New York, NY</t>
        </is>
      </c>
      <c r="E33" t="inlineStr">
        <is>
          <t>10017</t>
        </is>
      </c>
      <c r="F33" t="inlineStr">
        <is>
          <t>Exchange Traded Fund (Investment Trust)</t>
        </is>
      </c>
      <c r="G33" t="inlineStr">
        <is>
          <t>2025-09-05</t>
        </is>
      </c>
      <c r="H33" t="n">
        <v>145296</v>
      </c>
      <c r="I33" t="n">
        <v>177289</v>
      </c>
      <c r="J33" t="n">
        <v>177289</v>
      </c>
      <c r="K33" t="n">
        <v>0</v>
      </c>
      <c r="L33" t="n">
        <v>0</v>
      </c>
    </row>
    <row r="34">
      <c r="A34" t="inlineStr">
        <is>
          <t>United States of America</t>
        </is>
      </c>
      <c r="B34" t="n">
        <v>2</v>
      </c>
      <c r="C34" t="inlineStr">
        <is>
          <t>GOOG</t>
        </is>
      </c>
      <c r="D34" t="inlineStr">
        <is>
          <t>1600 Amphitheatre Parkway, Mountain View, CA</t>
        </is>
      </c>
      <c r="E34" t="inlineStr">
        <is>
          <t>94043</t>
        </is>
      </c>
      <c r="F34" t="inlineStr">
        <is>
          <t>Listed Foreign Equity Share (Company)</t>
        </is>
      </c>
      <c r="G34" t="inlineStr">
        <is>
          <t>2025-09-05</t>
        </is>
      </c>
      <c r="H34" t="n">
        <v>61811</v>
      </c>
      <c r="I34" t="n">
        <v>84227</v>
      </c>
      <c r="J34" t="n">
        <v>84227</v>
      </c>
      <c r="K34" t="n">
        <v>111</v>
      </c>
      <c r="L34" t="n">
        <v>0</v>
      </c>
    </row>
    <row r="35">
      <c r="A35" t="inlineStr">
        <is>
          <t>United States of America</t>
        </is>
      </c>
      <c r="B35" t="n">
        <v>2</v>
      </c>
      <c r="C35" t="inlineStr">
        <is>
          <t>ICLN</t>
        </is>
      </c>
      <c r="D35" t="inlineStr">
        <is>
          <t>c/o BlackRock Fund Advisors, 400 Howard Street, San Francisco, CA</t>
        </is>
      </c>
      <c r="E35" t="inlineStr">
        <is>
          <t>94105</t>
        </is>
      </c>
      <c r="F35" t="inlineStr">
        <is>
          <t>Exchange Traded Fund (Investment Trust)</t>
        </is>
      </c>
      <c r="G35" t="inlineStr">
        <is>
          <t>2025-09-05</t>
        </is>
      </c>
      <c r="H35" t="n">
        <v>64262</v>
      </c>
      <c r="I35" t="n">
        <v>73500</v>
      </c>
      <c r="J35" t="n">
        <v>73500</v>
      </c>
      <c r="K35" t="n">
        <v>570</v>
      </c>
      <c r="L35" t="n">
        <v>0</v>
      </c>
    </row>
    <row r="36">
      <c r="A36" t="inlineStr">
        <is>
          <t>United States of America</t>
        </is>
      </c>
      <c r="B36" t="n">
        <v>2</v>
      </c>
      <c r="C36" t="inlineStr">
        <is>
          <t>IEF</t>
        </is>
      </c>
      <c r="D36" t="inlineStr">
        <is>
          <t>c/o BlackRock Fund Advisors, 400 Howard Street, San Francisco, CA</t>
        </is>
      </c>
      <c r="E36" t="inlineStr">
        <is>
          <t>94105</t>
        </is>
      </c>
      <c r="F36" t="inlineStr">
        <is>
          <t>Exchange Traded Fund (Investment Trust)</t>
        </is>
      </c>
      <c r="G36" t="inlineStr">
        <is>
          <t>2025-09-05</t>
        </is>
      </c>
      <c r="H36" t="n">
        <v>102113</v>
      </c>
      <c r="I36" t="n">
        <v>104174</v>
      </c>
      <c r="J36" t="n">
        <v>103241</v>
      </c>
      <c r="K36" t="n">
        <v>1275</v>
      </c>
      <c r="L36" t="n">
        <v>0</v>
      </c>
    </row>
    <row r="37">
      <c r="A37" t="inlineStr">
        <is>
          <t>United States of America</t>
        </is>
      </c>
      <c r="B37" t="n">
        <v>2</v>
      </c>
      <c r="C37" t="inlineStr">
        <is>
          <t>IWR</t>
        </is>
      </c>
      <c r="D37" t="inlineStr">
        <is>
          <t>c/o BlackRock Fund Advisors, 400 Howard Street, San Francisco, CA</t>
        </is>
      </c>
      <c r="E37" t="inlineStr">
        <is>
          <t>94105</t>
        </is>
      </c>
      <c r="F37" t="inlineStr">
        <is>
          <t>Exchange Traded Fund (Investment Trust)</t>
        </is>
      </c>
      <c r="G37" t="inlineStr">
        <is>
          <t>2025-09-05</t>
        </is>
      </c>
      <c r="H37" t="n">
        <v>101071</v>
      </c>
      <c r="I37" t="n">
        <v>103359</v>
      </c>
      <c r="J37" t="n">
        <v>103359</v>
      </c>
      <c r="K37" t="n">
        <v>759</v>
      </c>
      <c r="L37" t="n">
        <v>0</v>
      </c>
    </row>
    <row r="38">
      <c r="A38" t="inlineStr">
        <is>
          <t>United States of America</t>
        </is>
      </c>
      <c r="B38" t="n">
        <v>2</v>
      </c>
      <c r="C38" t="inlineStr">
        <is>
          <t>LLY</t>
        </is>
      </c>
      <c r="D38" t="inlineStr">
        <is>
          <t>Lilly Corporate Center, Indianapolis, IN</t>
        </is>
      </c>
      <c r="E38" t="inlineStr">
        <is>
          <t>46285</t>
        </is>
      </c>
      <c r="F38" t="inlineStr">
        <is>
          <t>Listed Foreign Equity Share (Company)</t>
        </is>
      </c>
      <c r="G38" t="inlineStr">
        <is>
          <t>2025-04-07</t>
        </is>
      </c>
      <c r="H38" t="n">
        <v>124886</v>
      </c>
      <c r="I38" t="n">
        <v>145067</v>
      </c>
      <c r="J38" t="n">
        <v>0</v>
      </c>
      <c r="K38" t="n">
        <v>455</v>
      </c>
      <c r="L38" t="n">
        <v>137981</v>
      </c>
    </row>
    <row r="39">
      <c r="A39" t="inlineStr">
        <is>
          <t>United States of America</t>
        </is>
      </c>
      <c r="B39" t="n">
        <v>2</v>
      </c>
      <c r="C39" t="inlineStr">
        <is>
          <t>LLY</t>
        </is>
      </c>
      <c r="D39" t="inlineStr">
        <is>
          <t>Lilly Corporate Center, Indianapolis, IN</t>
        </is>
      </c>
      <c r="E39" t="inlineStr">
        <is>
          <t>46285</t>
        </is>
      </c>
      <c r="F39" t="inlineStr">
        <is>
          <t>Listed Foreign Equity Share (Company)</t>
        </is>
      </c>
      <c r="G39" t="inlineStr">
        <is>
          <t>2025-09-05</t>
        </is>
      </c>
      <c r="H39" t="n">
        <v>96028</v>
      </c>
      <c r="I39" t="n">
        <v>144227</v>
      </c>
      <c r="J39" t="n">
        <v>144227</v>
      </c>
      <c r="K39" t="n">
        <v>0</v>
      </c>
      <c r="L39" t="n">
        <v>0</v>
      </c>
    </row>
    <row r="40">
      <c r="A40" t="inlineStr">
        <is>
          <t>United States of America</t>
        </is>
      </c>
      <c r="B40" t="n">
        <v>2</v>
      </c>
      <c r="C40" t="inlineStr">
        <is>
          <t>META</t>
        </is>
      </c>
      <c r="D40" t="inlineStr">
        <is>
          <t>1 Meta Way, Menlo Park, CA</t>
        </is>
      </c>
      <c r="E40" t="inlineStr">
        <is>
          <t>94025</t>
        </is>
      </c>
      <c r="F40" t="inlineStr">
        <is>
          <t>Listed Foreign Equity Share (Company)</t>
        </is>
      </c>
      <c r="G40" t="inlineStr">
        <is>
          <t>2025-10-30</t>
        </is>
      </c>
      <c r="H40" t="n">
        <v>175104</v>
      </c>
      <c r="I40" t="n">
        <v>177323</v>
      </c>
      <c r="J40" t="n">
        <v>177175</v>
      </c>
      <c r="K40" t="n">
        <v>141</v>
      </c>
      <c r="L40" t="n">
        <v>0</v>
      </c>
    </row>
    <row r="41">
      <c r="A41" t="inlineStr">
        <is>
          <t>United States of America</t>
        </is>
      </c>
      <c r="B41" t="n">
        <v>2</v>
      </c>
      <c r="C41" t="inlineStr">
        <is>
          <t>MSFT</t>
        </is>
      </c>
      <c r="D41" t="inlineStr">
        <is>
          <t>One Microsoft Way, Redmond, WA</t>
        </is>
      </c>
      <c r="E41" t="inlineStr">
        <is>
          <t>98052</t>
        </is>
      </c>
      <c r="F41" t="inlineStr">
        <is>
          <t>Listed Foreign Equity Share (Company)</t>
        </is>
      </c>
      <c r="G41" t="inlineStr">
        <is>
          <t>2025-04-07</t>
        </is>
      </c>
      <c r="H41" t="n">
        <v>123359</v>
      </c>
      <c r="I41" t="n">
        <v>183435</v>
      </c>
      <c r="J41" t="n">
        <v>0</v>
      </c>
      <c r="K41" t="n">
        <v>283</v>
      </c>
      <c r="L41" t="n">
        <v>174475</v>
      </c>
    </row>
    <row r="42">
      <c r="A42" t="inlineStr">
        <is>
          <t>United States of America</t>
        </is>
      </c>
      <c r="B42" t="n">
        <v>2</v>
      </c>
      <c r="C42" t="inlineStr">
        <is>
          <t>NFLX</t>
        </is>
      </c>
      <c r="D42" t="inlineStr">
        <is>
          <t>121 Albright Way, Los Gatos, CA</t>
        </is>
      </c>
      <c r="E42" t="inlineStr">
        <is>
          <t>95032</t>
        </is>
      </c>
      <c r="F42" t="inlineStr">
        <is>
          <t>Listed Foreign Equity Share (Company)</t>
        </is>
      </c>
      <c r="G42" t="inlineStr">
        <is>
          <t>2025-04-07</t>
        </is>
      </c>
      <c r="H42" t="n">
        <v>76150</v>
      </c>
      <c r="I42" t="n">
        <v>106159</v>
      </c>
      <c r="J42" t="n">
        <v>0</v>
      </c>
      <c r="K42" t="n">
        <v>0</v>
      </c>
      <c r="L42" t="n">
        <v>100974</v>
      </c>
    </row>
    <row r="43">
      <c r="A43" t="inlineStr">
        <is>
          <t>United States of America</t>
        </is>
      </c>
      <c r="B43" t="n">
        <v>2</v>
      </c>
      <c r="C43" t="inlineStr">
        <is>
          <t>NFLX</t>
        </is>
      </c>
      <c r="D43" t="inlineStr">
        <is>
          <t>121 Albright Way, Los Gatos, CA</t>
        </is>
      </c>
      <c r="E43" t="inlineStr">
        <is>
          <t>95032</t>
        </is>
      </c>
      <c r="F43" t="inlineStr">
        <is>
          <t>Listed Foreign Equity Share (Company)</t>
        </is>
      </c>
      <c r="G43" t="inlineStr">
        <is>
          <t>2025-12-11</t>
        </is>
      </c>
      <c r="H43" t="n">
        <v>100200</v>
      </c>
      <c r="I43" t="n">
        <v>100786</v>
      </c>
      <c r="J43" t="n">
        <v>100664</v>
      </c>
      <c r="K43" t="n">
        <v>0</v>
      </c>
      <c r="L43" t="n">
        <v>0</v>
      </c>
    </row>
    <row r="44">
      <c r="A44" t="inlineStr">
        <is>
          <t>Switzerland</t>
        </is>
      </c>
      <c r="B44" t="n">
        <v>206</v>
      </c>
      <c r="C44" t="inlineStr">
        <is>
          <t>NOVN</t>
        </is>
      </c>
      <c r="D44" t="inlineStr">
        <is>
          <t>Lichtstrasse 35, Basel</t>
        </is>
      </c>
      <c r="E44" t="inlineStr">
        <is>
          <t>4056</t>
        </is>
      </c>
      <c r="F44" t="inlineStr">
        <is>
          <t>Listed Foreign Equity Share (Company)</t>
        </is>
      </c>
      <c r="G44" t="inlineStr">
        <is>
          <t>2025-05-23</t>
        </is>
      </c>
      <c r="H44" t="n">
        <v>118670</v>
      </c>
      <c r="I44" t="n">
        <v>126022</v>
      </c>
      <c r="J44" t="n">
        <v>0</v>
      </c>
      <c r="K44" t="n">
        <v>0</v>
      </c>
      <c r="L44" t="n">
        <v>119343</v>
      </c>
    </row>
    <row r="45">
      <c r="A45" t="inlineStr">
        <is>
          <t>Denmark</t>
        </is>
      </c>
      <c r="B45" t="n">
        <v>61</v>
      </c>
      <c r="C45" t="inlineStr">
        <is>
          <t>NOVd</t>
        </is>
      </c>
      <c r="D45" t="inlineStr">
        <is>
          <t>Novo Alle 1, 2880 Bagsvaerd</t>
        </is>
      </c>
      <c r="E45" t="inlineStr">
        <is>
          <t>2880</t>
        </is>
      </c>
      <c r="F45" t="inlineStr">
        <is>
          <t>Listed Foreign Equity Share (Company)</t>
        </is>
      </c>
      <c r="G45" t="inlineStr">
        <is>
          <t>2025-09-08</t>
        </is>
      </c>
      <c r="H45" t="n">
        <v>157052</v>
      </c>
      <c r="I45" t="n">
        <v>162289</v>
      </c>
      <c r="J45" t="n">
        <v>0</v>
      </c>
      <c r="K45" t="n">
        <v>0</v>
      </c>
      <c r="L45" t="n">
        <v>124053</v>
      </c>
    </row>
    <row r="46">
      <c r="A46" t="inlineStr">
        <is>
          <t>United States of America</t>
        </is>
      </c>
      <c r="B46" t="n">
        <v>2</v>
      </c>
      <c r="C46" t="inlineStr">
        <is>
          <t>NVDA</t>
        </is>
      </c>
      <c r="D46" t="inlineStr">
        <is>
          <t>2788 San Tomas Expressway, Santa Clara, CA</t>
        </is>
      </c>
      <c r="E46" t="inlineStr">
        <is>
          <t>95051</t>
        </is>
      </c>
      <c r="F46" t="inlineStr">
        <is>
          <t>Listed Foreign Equity Share (Company)</t>
        </is>
      </c>
      <c r="G46" t="inlineStr">
        <is>
          <t>2025-09-05</t>
        </is>
      </c>
      <c r="H46" t="n">
        <v>87857</v>
      </c>
      <c r="I46" t="n">
        <v>100117</v>
      </c>
      <c r="J46" t="n">
        <v>100117</v>
      </c>
      <c r="K46" t="n">
        <v>11</v>
      </c>
      <c r="L46" t="n">
        <v>0</v>
      </c>
    </row>
    <row r="47">
      <c r="A47" t="inlineStr">
        <is>
          <t>United States of America</t>
        </is>
      </c>
      <c r="B47" t="n">
        <v>2</v>
      </c>
      <c r="C47" t="inlineStr">
        <is>
          <t>QCOM</t>
        </is>
      </c>
      <c r="D47" t="inlineStr">
        <is>
          <t>5775 Morehouse Drive, San Diego, CA</t>
        </is>
      </c>
      <c r="E47" t="inlineStr">
        <is>
          <t>92121</t>
        </is>
      </c>
      <c r="F47" t="inlineStr">
        <is>
          <t>Listed Foreign Equity Share (Company)</t>
        </is>
      </c>
      <c r="G47" t="inlineStr">
        <is>
          <t>2025-09-05</t>
        </is>
      </c>
      <c r="H47" t="n">
        <v>126130</v>
      </c>
      <c r="I47" t="n">
        <v>137735</v>
      </c>
      <c r="J47" t="n">
        <v>137735</v>
      </c>
      <c r="K47" t="n">
        <v>712</v>
      </c>
      <c r="L47" t="n">
        <v>0</v>
      </c>
    </row>
    <row r="48">
      <c r="A48" t="inlineStr">
        <is>
          <t>United States of America</t>
        </is>
      </c>
      <c r="B48" t="n">
        <v>2</v>
      </c>
      <c r="C48" t="inlineStr">
        <is>
          <t>QQQ</t>
        </is>
      </c>
      <c r="D48" t="inlineStr">
        <is>
          <t>c/o Invesco Capital Management LLC, Downers Grove, IL</t>
        </is>
      </c>
      <c r="E48" t="inlineStr">
        <is>
          <t>60515</t>
        </is>
      </c>
      <c r="F48" t="inlineStr">
        <is>
          <t>Exchange Traded Fund (Investment Trust)</t>
        </is>
      </c>
      <c r="G48" t="inlineStr">
        <is>
          <t>2025-09-05</t>
        </is>
      </c>
      <c r="H48" t="n">
        <v>100886</v>
      </c>
      <c r="I48" t="n">
        <v>109925</v>
      </c>
      <c r="J48" t="n">
        <v>109925</v>
      </c>
      <c r="K48" t="n">
        <v>264</v>
      </c>
      <c r="L48" t="n">
        <v>0</v>
      </c>
    </row>
    <row r="49">
      <c r="A49" t="inlineStr">
        <is>
          <t>United Kingdom</t>
        </is>
      </c>
      <c r="B49" t="n">
        <v>234</v>
      </c>
      <c r="C49" t="inlineStr">
        <is>
          <t>R6C0d</t>
        </is>
      </c>
      <c r="D49" t="inlineStr">
        <is>
          <t>Shell Centre, 2 York Road, London</t>
        </is>
      </c>
      <c r="E49" t="inlineStr">
        <is>
          <t>SE1 7NA</t>
        </is>
      </c>
      <c r="F49" t="inlineStr">
        <is>
          <t>Listed Foreign Equity Share (Company)</t>
        </is>
      </c>
      <c r="G49" t="inlineStr">
        <is>
          <t>2025-04-07</t>
        </is>
      </c>
      <c r="H49" t="n">
        <v>318040</v>
      </c>
      <c r="I49" t="n">
        <v>384572</v>
      </c>
      <c r="J49" t="n">
        <v>0</v>
      </c>
      <c r="K49" t="n">
        <v>0</v>
      </c>
      <c r="L49" t="n">
        <v>361988</v>
      </c>
    </row>
    <row r="50">
      <c r="A50" t="inlineStr">
        <is>
          <t>Switzerland</t>
        </is>
      </c>
      <c r="B50" t="n">
        <v>206</v>
      </c>
      <c r="C50" t="inlineStr">
        <is>
          <t>ROG</t>
        </is>
      </c>
      <c r="D50" t="inlineStr">
        <is>
          <t>Grenzacherstrasse 124, Basel</t>
        </is>
      </c>
      <c r="E50" t="inlineStr">
        <is>
          <t>4070</t>
        </is>
      </c>
      <c r="F50" t="inlineStr">
        <is>
          <t>Listed Foreign Equity Share (Company)</t>
        </is>
      </c>
      <c r="G50" t="inlineStr">
        <is>
          <t>2025-05-23</t>
        </is>
      </c>
      <c r="H50" t="n">
        <v>166330</v>
      </c>
      <c r="I50" t="n">
        <v>176681</v>
      </c>
      <c r="J50" t="n">
        <v>0</v>
      </c>
      <c r="K50" t="n">
        <v>0</v>
      </c>
      <c r="L50" t="n">
        <v>168051</v>
      </c>
    </row>
    <row r="51">
      <c r="A51" t="inlineStr">
        <is>
          <t>United States of America</t>
        </is>
      </c>
      <c r="B51" t="n">
        <v>2</v>
      </c>
      <c r="C51" t="inlineStr">
        <is>
          <t>RTX</t>
        </is>
      </c>
      <c r="D51" t="inlineStr">
        <is>
          <t>1000 Wilson Boulevard, Arlington, VA</t>
        </is>
      </c>
      <c r="E51" t="inlineStr">
        <is>
          <t>22209</t>
        </is>
      </c>
      <c r="F51" t="inlineStr">
        <is>
          <t>Listed Foreign Equity Share (Company)</t>
        </is>
      </c>
      <c r="G51" t="inlineStr">
        <is>
          <t>2025-04-07</t>
        </is>
      </c>
      <c r="H51" t="n">
        <v>127890</v>
      </c>
      <c r="I51" t="n">
        <v>180125</v>
      </c>
      <c r="J51" t="n">
        <v>0</v>
      </c>
      <c r="K51" t="n">
        <v>752</v>
      </c>
      <c r="L51" t="n">
        <v>171327</v>
      </c>
    </row>
    <row r="52">
      <c r="A52" t="inlineStr">
        <is>
          <t>Germany</t>
        </is>
      </c>
      <c r="B52" t="n">
        <v>78</v>
      </c>
      <c r="C52" t="inlineStr">
        <is>
          <t>SIEd</t>
        </is>
      </c>
      <c r="D52" t="inlineStr">
        <is>
          <t>Werner-von-Siemens-Strasse 1, Munich</t>
        </is>
      </c>
      <c r="E52" t="inlineStr">
        <is>
          <t>80333</t>
        </is>
      </c>
      <c r="F52" t="inlineStr">
        <is>
          <t>Listed Foreign Equity Share (Company)</t>
        </is>
      </c>
      <c r="G52" t="inlineStr">
        <is>
          <t>2025-04-07</t>
        </is>
      </c>
      <c r="H52" t="n">
        <v>68252</v>
      </c>
      <c r="I52" t="n">
        <v>95066</v>
      </c>
      <c r="J52" t="n">
        <v>0</v>
      </c>
      <c r="K52" t="n">
        <v>0</v>
      </c>
      <c r="L52" t="n">
        <v>89483</v>
      </c>
    </row>
    <row r="53">
      <c r="A53" t="inlineStr">
        <is>
          <t>United States of America</t>
        </is>
      </c>
      <c r="B53" t="n">
        <v>2</v>
      </c>
      <c r="C53" t="inlineStr">
        <is>
          <t>SLV</t>
        </is>
      </c>
      <c r="D53" t="inlineStr">
        <is>
          <t>c/o iShares Delaware Trust Sponsor LLC / BlackRock, San Francisco, CA</t>
        </is>
      </c>
      <c r="E53" t="inlineStr">
        <is>
          <t>94105</t>
        </is>
      </c>
      <c r="F53" t="inlineStr">
        <is>
          <t>Exchange Traded Fund (Investment Trust)</t>
        </is>
      </c>
      <c r="G53" t="inlineStr">
        <is>
          <t>2025-04-07</t>
        </is>
      </c>
      <c r="H53" t="n">
        <v>127237</v>
      </c>
      <c r="I53" t="n">
        <v>311237</v>
      </c>
      <c r="J53" t="n">
        <v>311237</v>
      </c>
      <c r="K53" t="n">
        <v>0</v>
      </c>
      <c r="L53" t="n">
        <v>0</v>
      </c>
    </row>
    <row r="54">
      <c r="A54" t="inlineStr">
        <is>
          <t>United States of America</t>
        </is>
      </c>
      <c r="B54" t="n">
        <v>2</v>
      </c>
      <c r="C54" t="inlineStr">
        <is>
          <t>SNOW</t>
        </is>
      </c>
      <c r="D54" t="inlineStr">
        <is>
          <t>106 East Babcock Street, Bozeman, MT</t>
        </is>
      </c>
      <c r="E54" t="inlineStr">
        <is>
          <t>59715</t>
        </is>
      </c>
      <c r="F54" t="inlineStr">
        <is>
          <t>Listed Foreign Equity Share (Company)</t>
        </is>
      </c>
      <c r="G54" t="inlineStr">
        <is>
          <t>2025-09-05</t>
        </is>
      </c>
      <c r="H54" t="n">
        <v>118362</v>
      </c>
      <c r="I54" t="n">
        <v>120751</v>
      </c>
      <c r="J54" t="n">
        <v>117757</v>
      </c>
      <c r="K54" t="n">
        <v>0</v>
      </c>
      <c r="L54" t="n">
        <v>0</v>
      </c>
    </row>
    <row r="55">
      <c r="A55" t="inlineStr">
        <is>
          <t>United States of America</t>
        </is>
      </c>
      <c r="B55" t="n">
        <v>2</v>
      </c>
      <c r="C55" t="inlineStr">
        <is>
          <t>TGT</t>
        </is>
      </c>
      <c r="D55" t="inlineStr">
        <is>
          <t>1000 Nicollet Mall, Minneapolis, MN</t>
        </is>
      </c>
      <c r="E55" t="inlineStr">
        <is>
          <t>55403</t>
        </is>
      </c>
      <c r="F55" t="inlineStr">
        <is>
          <t>Listed Foreign Equity Share (Company)</t>
        </is>
      </c>
      <c r="G55" t="inlineStr">
        <is>
          <t>2025-04-07</t>
        </is>
      </c>
      <c r="H55" t="n">
        <v>123612</v>
      </c>
      <c r="I55" t="n">
        <v>141499</v>
      </c>
      <c r="J55" t="n">
        <v>0</v>
      </c>
      <c r="K55" t="n">
        <v>1430</v>
      </c>
      <c r="L55" t="n">
        <v>134588</v>
      </c>
    </row>
    <row r="56">
      <c r="A56" t="inlineStr">
        <is>
          <t>United States of America</t>
        </is>
      </c>
      <c r="B56" t="n">
        <v>2</v>
      </c>
      <c r="C56" t="inlineStr">
        <is>
          <t>TIP</t>
        </is>
      </c>
      <c r="D56" t="inlineStr">
        <is>
          <t>c/o BlackRock Fund Advisors, 400 Howard Street, San Francisco, CA</t>
        </is>
      </c>
      <c r="E56" t="inlineStr">
        <is>
          <t>94105</t>
        </is>
      </c>
      <c r="F56" t="inlineStr">
        <is>
          <t>Exchange Traded Fund (Investment Trust)</t>
        </is>
      </c>
      <c r="G56" t="inlineStr">
        <is>
          <t>2025-04-07</t>
        </is>
      </c>
      <c r="H56" t="n">
        <v>308619</v>
      </c>
      <c r="I56" t="n">
        <v>324510</v>
      </c>
      <c r="J56" t="n">
        <v>324510</v>
      </c>
      <c r="K56" t="n">
        <v>8867</v>
      </c>
      <c r="L56" t="n">
        <v>0</v>
      </c>
    </row>
    <row r="57">
      <c r="A57" t="inlineStr">
        <is>
          <t>United States of America</t>
        </is>
      </c>
      <c r="B57" t="n">
        <v>2</v>
      </c>
      <c r="C57" t="inlineStr">
        <is>
          <t>TSLA</t>
        </is>
      </c>
      <c r="D57" t="inlineStr">
        <is>
          <t>1 Tesla Road, Austin, TX</t>
        </is>
      </c>
      <c r="E57" t="inlineStr">
        <is>
          <t>78725</t>
        </is>
      </c>
      <c r="F57" t="inlineStr">
        <is>
          <t>Listed Foreign Equity Share (Company)</t>
        </is>
      </c>
      <c r="G57" t="inlineStr">
        <is>
          <t>2025-04-07</t>
        </is>
      </c>
      <c r="H57" t="n">
        <v>101054</v>
      </c>
      <c r="I57" t="n">
        <v>140110</v>
      </c>
      <c r="J57" t="n">
        <v>0</v>
      </c>
      <c r="K57" t="n">
        <v>0</v>
      </c>
      <c r="L57" t="n">
        <v>133267</v>
      </c>
    </row>
    <row r="58">
      <c r="A58" t="inlineStr">
        <is>
          <t>United States of America</t>
        </is>
      </c>
      <c r="B58" t="n">
        <v>2</v>
      </c>
      <c r="C58" t="inlineStr">
        <is>
          <t>TSLA</t>
        </is>
      </c>
      <c r="D58" t="inlineStr">
        <is>
          <t>1 Tesla Road, Austin, TX</t>
        </is>
      </c>
      <c r="E58" t="inlineStr">
        <is>
          <t>78725</t>
        </is>
      </c>
      <c r="F58" t="inlineStr">
        <is>
          <t>Listed Foreign Equity Share (Company)</t>
        </is>
      </c>
      <c r="G58" t="inlineStr">
        <is>
          <t>2025-09-05</t>
        </is>
      </c>
      <c r="H58" t="n">
        <v>61182</v>
      </c>
      <c r="I58" t="n">
        <v>80473</v>
      </c>
      <c r="J58" t="n">
        <v>80473</v>
      </c>
      <c r="K58" t="n">
        <v>0</v>
      </c>
      <c r="L58" t="n">
        <v>0</v>
      </c>
    </row>
    <row r="59">
      <c r="A59" t="inlineStr">
        <is>
          <t>Taiwan</t>
        </is>
      </c>
      <c r="B59" t="n">
        <v>212</v>
      </c>
      <c r="C59" t="inlineStr">
        <is>
          <t>TSM</t>
        </is>
      </c>
      <c r="D59" t="inlineStr">
        <is>
          <t>8 Li-Hsin Road 6, Hsinchu Science Park, Hsinchu</t>
        </is>
      </c>
      <c r="E59" t="inlineStr">
        <is>
          <t>30078</t>
        </is>
      </c>
      <c r="F59" t="inlineStr">
        <is>
          <t>American Depository Receipt of Listed Foreign Company</t>
        </is>
      </c>
      <c r="G59" t="inlineStr">
        <is>
          <t>2025-04-07</t>
        </is>
      </c>
      <c r="H59" t="n">
        <v>63953</v>
      </c>
      <c r="I59" t="n">
        <v>109744</v>
      </c>
      <c r="J59" t="n">
        <v>0</v>
      </c>
      <c r="K59" t="n">
        <v>332</v>
      </c>
      <c r="L59" t="n">
        <v>104384</v>
      </c>
    </row>
    <row r="60">
      <c r="A60" t="inlineStr">
        <is>
          <t>United States of America</t>
        </is>
      </c>
      <c r="B60" t="n">
        <v>2</v>
      </c>
      <c r="C60" t="inlineStr">
        <is>
          <t>URA</t>
        </is>
      </c>
      <c r="D60" t="inlineStr">
        <is>
          <t>c/o Global X Management Company LLC, 605 Third Avenue, New York, NY</t>
        </is>
      </c>
      <c r="E60" t="inlineStr">
        <is>
          <t>10158</t>
        </is>
      </c>
      <c r="F60" t="inlineStr">
        <is>
          <t>Exchange Traded Fund (Investment Trust)</t>
        </is>
      </c>
      <c r="G60" t="inlineStr">
        <is>
          <t>2025-12-11</t>
        </is>
      </c>
      <c r="H60" t="n">
        <v>101407</v>
      </c>
      <c r="I60" t="n">
        <v>101999</v>
      </c>
      <c r="J60" t="n">
        <v>91753</v>
      </c>
      <c r="K60" t="n">
        <v>0</v>
      </c>
      <c r="L60" t="n">
        <v>0</v>
      </c>
    </row>
    <row r="61">
      <c r="A61" t="inlineStr">
        <is>
          <t>United States of America</t>
        </is>
      </c>
      <c r="B61" t="n">
        <v>2</v>
      </c>
      <c r="C61" t="inlineStr">
        <is>
          <t>VT</t>
        </is>
      </c>
      <c r="D61" t="inlineStr">
        <is>
          <t>c/o The Vanguard Group Inc, 100 Vanguard Boulevard, Malvern, PA</t>
        </is>
      </c>
      <c r="E61" t="inlineStr">
        <is>
          <t>19355</t>
        </is>
      </c>
      <c r="F61" t="inlineStr">
        <is>
          <t>Exchange Traded Fund (Investment Trust)</t>
        </is>
      </c>
      <c r="G61" t="inlineStr">
        <is>
          <t>2025-09-05</t>
        </is>
      </c>
      <c r="H61" t="n">
        <v>164882</v>
      </c>
      <c r="I61" t="n">
        <v>176689</v>
      </c>
      <c r="J61" t="n">
        <v>176689</v>
      </c>
      <c r="K61" t="n">
        <v>1975</v>
      </c>
      <c r="L61" t="n">
        <v>0</v>
      </c>
    </row>
    <row r="62">
      <c r="A62" t="inlineStr">
        <is>
          <t>United States of America</t>
        </is>
      </c>
      <c r="B62" t="n">
        <v>2</v>
      </c>
      <c r="C62" t="inlineStr">
        <is>
          <t>VTV</t>
        </is>
      </c>
      <c r="D62" t="inlineStr">
        <is>
          <t>c/o The Vanguard Group Inc, 100 Vanguard Boulevard, Malvern, PA</t>
        </is>
      </c>
      <c r="E62" t="inlineStr">
        <is>
          <t>19355</t>
        </is>
      </c>
      <c r="F62" t="inlineStr">
        <is>
          <t>Exchange Traded Fund (Investment Trust)</t>
        </is>
      </c>
      <c r="G62" t="inlineStr">
        <is>
          <t>2025-09-05</t>
        </is>
      </c>
      <c r="H62" t="n">
        <v>95959</v>
      </c>
      <c r="I62" t="n">
        <v>102527</v>
      </c>
      <c r="J62" t="n">
        <v>102527</v>
      </c>
      <c r="K62" t="n">
        <v>1027</v>
      </c>
      <c r="L62" t="n">
        <v>0</v>
      </c>
    </row>
    <row r="63">
      <c r="A63" t="inlineStr">
        <is>
          <t>Ireland</t>
        </is>
      </c>
      <c r="B63" t="n">
        <v>101</v>
      </c>
      <c r="C63" t="inlineStr">
        <is>
          <t>WCBR</t>
        </is>
      </c>
      <c r="D63" t="inlineStr">
        <is>
          <t>c/o WisdomTree Issuer ICAV, Dublin</t>
        </is>
      </c>
      <c r="E63" t="inlineStr">
        <is>
          <t>D02 T860</t>
        </is>
      </c>
      <c r="F63" t="inlineStr">
        <is>
          <t>Exchange Traded Fund (Investment Trust)</t>
        </is>
      </c>
      <c r="G63" t="inlineStr">
        <is>
          <t>2025-09-05</t>
        </is>
      </c>
      <c r="H63" t="n">
        <v>112431</v>
      </c>
      <c r="I63" t="n">
        <v>114701</v>
      </c>
      <c r="J63" t="n">
        <v>104666</v>
      </c>
      <c r="K63" t="n">
        <v>0</v>
      </c>
      <c r="L63" t="n">
        <v>0</v>
      </c>
    </row>
    <row r="64">
      <c r="A64" t="inlineStr">
        <is>
          <t>United States of America</t>
        </is>
      </c>
      <c r="B64" t="n">
        <v>2</v>
      </c>
      <c r="C64" t="inlineStr">
        <is>
          <t>WFC</t>
        </is>
      </c>
      <c r="D64" t="inlineStr">
        <is>
          <t>420 Montgomery Street, San Francisco, CA</t>
        </is>
      </c>
      <c r="E64" t="inlineStr">
        <is>
          <t>94104</t>
        </is>
      </c>
      <c r="F64" t="inlineStr">
        <is>
          <t>Listed Foreign Equity Share (Company)</t>
        </is>
      </c>
      <c r="G64" t="inlineStr">
        <is>
          <t>2025-09-05</t>
        </is>
      </c>
      <c r="H64" t="n">
        <v>230183</v>
      </c>
      <c r="I64" t="n">
        <v>275174</v>
      </c>
      <c r="J64" t="n">
        <v>275174</v>
      </c>
      <c r="K64" t="n">
        <v>1321</v>
      </c>
      <c r="L64" t="n">
        <v>0</v>
      </c>
    </row>
    <row r="65">
      <c r="A65" t="inlineStr">
        <is>
          <t>United States of America</t>
        </is>
      </c>
      <c r="B65" t="n">
        <v>2</v>
      </c>
      <c r="C65" t="inlineStr">
        <is>
          <t>XOM</t>
        </is>
      </c>
      <c r="D65" t="inlineStr">
        <is>
          <t>22777 Springwoods Village Parkway, Spring, TX</t>
        </is>
      </c>
      <c r="E65" t="inlineStr">
        <is>
          <t>77389</t>
        </is>
      </c>
      <c r="F65" t="inlineStr">
        <is>
          <t>Listed Foreign Equity Share (Company)</t>
        </is>
      </c>
      <c r="G65" t="inlineStr">
        <is>
          <t>2025-09-05</t>
        </is>
      </c>
      <c r="H65" t="n">
        <v>115941</v>
      </c>
      <c r="I65" t="n">
        <v>129202</v>
      </c>
      <c r="J65" t="n">
        <v>129202</v>
      </c>
      <c r="K65" t="n">
        <v>1099</v>
      </c>
      <c r="L65" t="n">
        <v>0</v>
      </c>
    </row>
    <row r="66"/>
    <row r="67">
      <c r="G67" t="inlineStr">
        <is>
          <t>TOTAL (Rs.)</t>
        </is>
      </c>
      <c r="H67" s="4" t="n">
        <v>17601822</v>
      </c>
      <c r="I67" s="4" t="n">
        <v>20648106</v>
      </c>
      <c r="J67" s="4" t="n">
        <v>10505630</v>
      </c>
      <c r="K67" s="4" t="n">
        <v>70371</v>
      </c>
      <c r="L67" s="4" t="n">
        <v>6983064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Japan</t>
        </is>
      </c>
      <c r="C2" t="n">
        <v>111</v>
      </c>
      <c r="D2" t="inlineStr">
        <is>
          <t>4568.T</t>
        </is>
      </c>
      <c r="E2" t="inlineStr">
        <is>
          <t>Daiichi Sankyo Co Ltd</t>
        </is>
      </c>
      <c r="F2" t="inlineStr">
        <is>
          <t>Listed Foreign Equity Share (Company)</t>
        </is>
      </c>
      <c r="G2" t="n">
        <v>100</v>
      </c>
      <c r="H2" t="inlineStr">
        <is>
          <t>2025-05-28</t>
        </is>
      </c>
      <c r="I2" t="n">
        <v>2505.3</v>
      </c>
      <c r="J2" t="n">
        <v>2505.3</v>
      </c>
      <c r="K2" t="n">
        <v>2136.93</v>
      </c>
      <c r="L2" t="n">
        <v>99.56999999999999</v>
      </c>
      <c r="M2" t="n">
        <v>0</v>
      </c>
    </row>
    <row r="3">
      <c r="A3" t="n">
        <v>2</v>
      </c>
      <c r="B3" t="inlineStr">
        <is>
          <t>Japan</t>
        </is>
      </c>
      <c r="C3" t="n">
        <v>111</v>
      </c>
      <c r="D3" t="inlineStr">
        <is>
          <t>4568.T</t>
        </is>
      </c>
      <c r="E3" t="inlineStr">
        <is>
          <t>Daiichi Sankyo Co Ltd</t>
        </is>
      </c>
      <c r="F3" t="inlineStr">
        <is>
          <t>Listed Foreign Equity Share (Company)</t>
        </is>
      </c>
      <c r="G3" t="n">
        <v>100</v>
      </c>
      <c r="H3" t="inlineStr">
        <is>
          <t>2025-06-24</t>
        </is>
      </c>
      <c r="I3" t="n">
        <v>2156.52</v>
      </c>
      <c r="J3" t="n">
        <v>2156.52</v>
      </c>
      <c r="K3" t="n">
        <v>2136.93</v>
      </c>
      <c r="L3" t="n">
        <v>0</v>
      </c>
      <c r="M3" t="n">
        <v>0</v>
      </c>
    </row>
    <row r="4">
      <c r="A4" t="n">
        <v>3</v>
      </c>
      <c r="B4" t="inlineStr">
        <is>
          <t>Japan</t>
        </is>
      </c>
      <c r="C4" t="n">
        <v>111</v>
      </c>
      <c r="D4" t="inlineStr">
        <is>
          <t>4568.T</t>
        </is>
      </c>
      <c r="E4" t="inlineStr">
        <is>
          <t>Daiichi Sankyo Co Ltd</t>
        </is>
      </c>
      <c r="F4" t="inlineStr">
        <is>
          <t>Listed Foreign Equity Share (Company)</t>
        </is>
      </c>
      <c r="G4" t="n">
        <v>200</v>
      </c>
      <c r="H4" t="inlineStr">
        <is>
          <t>2025-09-07</t>
        </is>
      </c>
      <c r="I4" t="n">
        <v>4686.09</v>
      </c>
      <c r="J4" t="n">
        <v>4686.09</v>
      </c>
      <c r="K4" t="n">
        <v>4273.86</v>
      </c>
      <c r="L4" t="n">
        <v>0</v>
      </c>
      <c r="M4" t="n">
        <v>0</v>
      </c>
    </row>
    <row r="5">
      <c r="A5" t="n">
        <v>4</v>
      </c>
      <c r="B5" t="inlineStr">
        <is>
          <t>Japan</t>
        </is>
      </c>
      <c r="C5" t="n">
        <v>111</v>
      </c>
      <c r="D5" t="inlineStr">
        <is>
          <t>7203.T</t>
        </is>
      </c>
      <c r="E5" t="inlineStr">
        <is>
          <t>Toyota Motor Corp</t>
        </is>
      </c>
      <c r="F5" t="inlineStr">
        <is>
          <t>Listed Foreign Equity Share (Company)</t>
        </is>
      </c>
      <c r="G5" t="n">
        <v>100</v>
      </c>
      <c r="H5" t="inlineStr">
        <is>
          <t>2025-06-24</t>
        </is>
      </c>
      <c r="I5" t="n">
        <v>1568.21</v>
      </c>
      <c r="J5" t="n">
        <v>2142.03</v>
      </c>
      <c r="K5" t="n">
        <v>2142.03</v>
      </c>
      <c r="L5" t="n">
        <v>28.72</v>
      </c>
      <c r="M5" t="n">
        <v>0</v>
      </c>
    </row>
    <row r="6">
      <c r="A6" t="n">
        <v>5</v>
      </c>
      <c r="B6" t="inlineStr">
        <is>
          <t>United States of America</t>
        </is>
      </c>
      <c r="C6" t="n">
        <v>2</v>
      </c>
      <c r="D6" t="inlineStr">
        <is>
          <t>AAPL</t>
        </is>
      </c>
      <c r="E6" t="inlineStr">
        <is>
          <t>Apple Inc - Common Stock</t>
        </is>
      </c>
      <c r="F6" t="inlineStr">
        <is>
          <t>Listed Foreign Equity Share (Company)</t>
        </is>
      </c>
      <c r="G6" t="n">
        <v>3</v>
      </c>
      <c r="H6" t="inlineStr">
        <is>
          <t>2025-09-05</t>
        </is>
      </c>
      <c r="I6" t="n">
        <v>719.1900000000001</v>
      </c>
      <c r="J6" t="n">
        <v>815.58</v>
      </c>
      <c r="K6" t="n">
        <v>815.58</v>
      </c>
      <c r="L6" t="n">
        <v>0.78</v>
      </c>
      <c r="M6" t="n">
        <v>0</v>
      </c>
    </row>
    <row r="7">
      <c r="A7" t="n">
        <v>6</v>
      </c>
      <c r="B7" t="inlineStr">
        <is>
          <t>United States of America</t>
        </is>
      </c>
      <c r="C7" t="n">
        <v>2</v>
      </c>
      <c r="D7" t="inlineStr">
        <is>
          <t>AAXJ</t>
        </is>
      </c>
      <c r="E7" t="inlineStr">
        <is>
          <t>iShares MSCI All Country Asia ex Japan ETF</t>
        </is>
      </c>
      <c r="F7" t="inlineStr">
        <is>
          <t>Exchange Traded Fund (Investment Trust)</t>
        </is>
      </c>
      <c r="G7" t="n">
        <v>8</v>
      </c>
      <c r="H7" t="inlineStr">
        <is>
          <t>2025-09-05</t>
        </is>
      </c>
      <c r="I7" t="n">
        <v>695.48</v>
      </c>
      <c r="J7" t="n">
        <v>744.96</v>
      </c>
      <c r="K7" t="n">
        <v>744.96</v>
      </c>
      <c r="L7" t="n">
        <v>9</v>
      </c>
      <c r="M7" t="n">
        <v>0</v>
      </c>
    </row>
    <row r="8">
      <c r="A8" t="n">
        <v>7</v>
      </c>
      <c r="B8" t="inlineStr">
        <is>
          <t>United States of America</t>
        </is>
      </c>
      <c r="C8" t="n">
        <v>2</v>
      </c>
      <c r="D8" t="inlineStr">
        <is>
          <t>AEP</t>
        </is>
      </c>
      <c r="E8" t="inlineStr">
        <is>
          <t>American Electric Power Co Inc</t>
        </is>
      </c>
      <c r="F8" t="inlineStr">
        <is>
          <t>Listed Foreign Equity Share (Company)</t>
        </is>
      </c>
      <c r="G8" t="n">
        <v>10</v>
      </c>
      <c r="H8" t="inlineStr">
        <is>
          <t>2025-12-11</t>
        </is>
      </c>
      <c r="I8" t="n">
        <v>1146.1</v>
      </c>
      <c r="J8" t="n">
        <v>1153.1</v>
      </c>
      <c r="K8" t="n">
        <v>1153.1</v>
      </c>
      <c r="L8" t="n">
        <v>0</v>
      </c>
      <c r="M8" t="n">
        <v>0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AMD</t>
        </is>
      </c>
      <c r="E9" t="inlineStr">
        <is>
          <t>Advanced Micro Devices Inc</t>
        </is>
      </c>
      <c r="F9" t="inlineStr">
        <is>
          <t>Listed Foreign Equity Share (Company)</t>
        </is>
      </c>
      <c r="G9" t="n">
        <v>5</v>
      </c>
      <c r="H9" t="inlineStr">
        <is>
          <t>2025-09-05</t>
        </is>
      </c>
      <c r="I9" t="n">
        <v>765.9</v>
      </c>
      <c r="J9" t="n">
        <v>1070.8</v>
      </c>
      <c r="K9" t="n">
        <v>1070.8</v>
      </c>
      <c r="L9" t="n">
        <v>0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AMZN</t>
        </is>
      </c>
      <c r="E10" t="inlineStr">
        <is>
          <t>Amazon.com Inc</t>
        </is>
      </c>
      <c r="F10" t="inlineStr">
        <is>
          <t>Listed Foreign Equity Share (Company)</t>
        </is>
      </c>
      <c r="G10" t="n">
        <v>8</v>
      </c>
      <c r="H10" t="inlineStr">
        <is>
          <t>2025-04-07</t>
        </is>
      </c>
      <c r="I10" t="n">
        <v>1466.39</v>
      </c>
      <c r="J10" t="n">
        <v>1853.6</v>
      </c>
      <c r="K10" t="n">
        <v>0</v>
      </c>
      <c r="L10" t="n">
        <v>0</v>
      </c>
      <c r="M10" t="n">
        <v>1853.6</v>
      </c>
    </row>
    <row r="11">
      <c r="A11" t="n">
        <v>10</v>
      </c>
      <c r="B11" t="inlineStr">
        <is>
          <t>Netherlands</t>
        </is>
      </c>
      <c r="C11" t="n">
        <v>156</v>
      </c>
      <c r="D11" t="inlineStr">
        <is>
          <t>ASML</t>
        </is>
      </c>
      <c r="E11" t="inlineStr">
        <is>
          <t>ASML Holding NV - NY Registered Shares</t>
        </is>
      </c>
      <c r="F11" t="inlineStr">
        <is>
          <t>American Depository Receipt of Listed Foreign Company</t>
        </is>
      </c>
      <c r="G11" t="n">
        <v>3</v>
      </c>
      <c r="H11" t="inlineStr">
        <is>
          <t>2025-04-07</t>
        </is>
      </c>
      <c r="I11" t="n">
        <v>1996.59</v>
      </c>
      <c r="J11" t="n">
        <v>2134.37</v>
      </c>
      <c r="K11" t="n">
        <v>0</v>
      </c>
      <c r="L11" t="n">
        <v>10.24</v>
      </c>
      <c r="M11" t="n">
        <v>2134.37</v>
      </c>
    </row>
    <row r="12">
      <c r="A12" t="n">
        <v>11</v>
      </c>
      <c r="B12" t="inlineStr">
        <is>
          <t>Netherlands</t>
        </is>
      </c>
      <c r="C12" t="n">
        <v>156</v>
      </c>
      <c r="D12" t="inlineStr">
        <is>
          <t>ASML</t>
        </is>
      </c>
      <c r="E12" t="inlineStr">
        <is>
          <t>ASML Holding NV - NY Registered Shares</t>
        </is>
      </c>
      <c r="F12" t="inlineStr">
        <is>
          <t>American Depository Receipt of Listed Foreign Company</t>
        </is>
      </c>
      <c r="G12" t="n">
        <v>2</v>
      </c>
      <c r="H12" t="inlineStr">
        <is>
          <t>2025-09-08</t>
        </is>
      </c>
      <c r="I12" t="n">
        <v>1567.62</v>
      </c>
      <c r="J12" t="n">
        <v>2164.55</v>
      </c>
      <c r="K12" t="n">
        <v>2164.55</v>
      </c>
      <c r="L12" t="n">
        <v>0</v>
      </c>
      <c r="M12" t="n">
        <v>0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AXP</t>
        </is>
      </c>
      <c r="E13" t="inlineStr">
        <is>
          <t>American Express Co</t>
        </is>
      </c>
      <c r="F13" t="inlineStr">
        <is>
          <t>Listed Foreign Equity Share (Company)</t>
        </is>
      </c>
      <c r="G13" t="n">
        <v>3</v>
      </c>
      <c r="H13" t="inlineStr">
        <is>
          <t>2025-04-07</t>
        </is>
      </c>
      <c r="I13" t="n">
        <v>699.42</v>
      </c>
      <c r="J13" t="n">
        <v>926.16</v>
      </c>
      <c r="K13" t="n">
        <v>0</v>
      </c>
      <c r="L13" t="n">
        <v>2.46</v>
      </c>
      <c r="M13" t="n">
        <v>926.16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BAC</t>
        </is>
      </c>
      <c r="E14" t="inlineStr">
        <is>
          <t>Bank of America Corp</t>
        </is>
      </c>
      <c r="F14" t="inlineStr">
        <is>
          <t>Listed Foreign Equity Share (Company)</t>
        </is>
      </c>
      <c r="G14" t="n">
        <v>24</v>
      </c>
      <c r="H14" t="inlineStr">
        <is>
          <t>2025-04-07</t>
        </is>
      </c>
      <c r="I14" t="n">
        <v>874.84</v>
      </c>
      <c r="J14" t="n">
        <v>1153.8</v>
      </c>
      <c r="K14" t="n">
        <v>0</v>
      </c>
      <c r="L14" t="n">
        <v>6.24</v>
      </c>
      <c r="M14" t="n">
        <v>1153.8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BLBD</t>
        </is>
      </c>
      <c r="E15" t="inlineStr">
        <is>
          <t>Blue Bird Corp</t>
        </is>
      </c>
      <c r="F15" t="inlineStr">
        <is>
          <t>Listed Foreign Equity Share (Company)</t>
        </is>
      </c>
      <c r="G15" t="n">
        <v>24</v>
      </c>
      <c r="H15" t="inlineStr">
        <is>
          <t>2025-04-07</t>
        </is>
      </c>
      <c r="I15" t="n">
        <v>780.64</v>
      </c>
      <c r="J15" t="n">
        <v>1103.88</v>
      </c>
      <c r="K15" t="n">
        <v>0</v>
      </c>
      <c r="L15" t="n">
        <v>0</v>
      </c>
      <c r="M15" t="n">
        <v>1103.88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BOTZ</t>
        </is>
      </c>
      <c r="E16" t="inlineStr">
        <is>
          <t>Global X Robotics &amp; Artificial Intelligence ETF</t>
        </is>
      </c>
      <c r="F16" t="inlineStr">
        <is>
          <t>Exchange Traded Fund (Investment Trust)</t>
        </is>
      </c>
      <c r="G16" t="n">
        <v>24</v>
      </c>
      <c r="H16" t="inlineStr">
        <is>
          <t>2025-09-05</t>
        </is>
      </c>
      <c r="I16" t="n">
        <v>803.6799999999999</v>
      </c>
      <c r="J16" t="n">
        <v>869.52</v>
      </c>
      <c r="K16" t="n">
        <v>869.52</v>
      </c>
      <c r="L16" t="n">
        <v>0</v>
      </c>
      <c r="M16" t="n">
        <v>0</v>
      </c>
    </row>
    <row r="17">
      <c r="A17" t="n">
        <v>16</v>
      </c>
      <c r="B17" t="inlineStr">
        <is>
          <t>United Kingdom</t>
        </is>
      </c>
      <c r="C17" t="n">
        <v>234</v>
      </c>
      <c r="D17" t="inlineStr">
        <is>
          <t>BTI</t>
        </is>
      </c>
      <c r="E17" t="inlineStr">
        <is>
          <t>British American Tobacco plc - Sponsored ADR</t>
        </is>
      </c>
      <c r="F17" t="inlineStr">
        <is>
          <t>American Depository Receipt of Listed Foreign Company</t>
        </is>
      </c>
      <c r="G17" t="n">
        <v>19</v>
      </c>
      <c r="H17" t="inlineStr">
        <is>
          <t>2025-04-07</t>
        </is>
      </c>
      <c r="I17" t="n">
        <v>747.7</v>
      </c>
      <c r="J17" t="n">
        <v>994.9299999999999</v>
      </c>
      <c r="K17" t="n">
        <v>0</v>
      </c>
      <c r="L17" t="n">
        <v>34.86</v>
      </c>
      <c r="M17" t="n">
        <v>994.9299999999999</v>
      </c>
    </row>
    <row r="18">
      <c r="A18" t="n">
        <v>17</v>
      </c>
      <c r="B18" t="inlineStr">
        <is>
          <t>United Kingdom</t>
        </is>
      </c>
      <c r="C18" t="n">
        <v>234</v>
      </c>
      <c r="D18" t="inlineStr">
        <is>
          <t>BTI</t>
        </is>
      </c>
      <c r="E18" t="inlineStr">
        <is>
          <t>British American Tobacco plc - Sponsored ADR</t>
        </is>
      </c>
      <c r="F18" t="inlineStr">
        <is>
          <t>American Depository Receipt of Listed Foreign Company</t>
        </is>
      </c>
      <c r="G18" t="n">
        <v>25</v>
      </c>
      <c r="H18" t="inlineStr">
        <is>
          <t>2025-09-05</t>
        </is>
      </c>
      <c r="I18" t="n">
        <v>1399.13</v>
      </c>
      <c r="J18" t="n">
        <v>1415.5</v>
      </c>
      <c r="K18" t="n">
        <v>1415.5</v>
      </c>
      <c r="L18" t="n">
        <v>0</v>
      </c>
      <c r="M18" t="n">
        <v>0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BX</t>
        </is>
      </c>
      <c r="E19" t="inlineStr">
        <is>
          <t>Blackstone Inc</t>
        </is>
      </c>
      <c r="F19" t="inlineStr">
        <is>
          <t>Listed Foreign Equity Share (Company)</t>
        </is>
      </c>
      <c r="G19" t="n">
        <v>6</v>
      </c>
      <c r="H19" t="inlineStr">
        <is>
          <t>2025-04-07</t>
        </is>
      </c>
      <c r="I19" t="n">
        <v>761.4</v>
      </c>
      <c r="J19" t="n">
        <v>1075.17</v>
      </c>
      <c r="K19" t="n">
        <v>0</v>
      </c>
      <c r="L19" t="n">
        <v>5.58</v>
      </c>
      <c r="M19" t="n">
        <v>1075.17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CAT</t>
        </is>
      </c>
      <c r="E20" t="inlineStr">
        <is>
          <t>Caterpillar Inc</t>
        </is>
      </c>
      <c r="F20" t="inlineStr">
        <is>
          <t>Listed Foreign Equity Share (Company)</t>
        </is>
      </c>
      <c r="G20" t="n">
        <v>5</v>
      </c>
      <c r="H20" t="inlineStr">
        <is>
          <t>2025-04-07</t>
        </is>
      </c>
      <c r="I20" t="n">
        <v>1466.65</v>
      </c>
      <c r="J20" t="n">
        <v>2151.05</v>
      </c>
      <c r="K20" t="n">
        <v>0</v>
      </c>
      <c r="L20" t="n">
        <v>14.6</v>
      </c>
      <c r="M20" t="n">
        <v>2151.05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CPNG</t>
        </is>
      </c>
      <c r="E21" t="inlineStr">
        <is>
          <t>Coupang Inc (Delaware) - Class A</t>
        </is>
      </c>
      <c r="F21" t="inlineStr">
        <is>
          <t>Listed Foreign Equity Share (Company)</t>
        </is>
      </c>
      <c r="G21" t="n">
        <v>30</v>
      </c>
      <c r="H21" t="inlineStr">
        <is>
          <t>2025-09-05</t>
        </is>
      </c>
      <c r="I21" t="n">
        <v>858.25</v>
      </c>
      <c r="J21" t="n">
        <v>858.25</v>
      </c>
      <c r="K21" t="n">
        <v>707.7</v>
      </c>
      <c r="L21" t="n">
        <v>0</v>
      </c>
      <c r="M21" t="n">
        <v>0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CRM</t>
        </is>
      </c>
      <c r="E22" t="inlineStr">
        <is>
          <t>Salesforce Inc</t>
        </is>
      </c>
      <c r="F22" t="inlineStr">
        <is>
          <t>Listed Foreign Equity Share (Company)</t>
        </is>
      </c>
      <c r="G22" t="n">
        <v>238</v>
      </c>
      <c r="H22" t="inlineStr">
        <is>
          <t>2025-02-24</t>
        </is>
      </c>
      <c r="I22" t="n">
        <v>92780.91</v>
      </c>
      <c r="J22" t="n">
        <v>92780.91</v>
      </c>
      <c r="K22" t="n">
        <v>63048.58</v>
      </c>
      <c r="L22" t="n">
        <v>0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CRM</t>
        </is>
      </c>
      <c r="E23" t="inlineStr">
        <is>
          <t>Salesforce Inc</t>
        </is>
      </c>
      <c r="F23" t="inlineStr">
        <is>
          <t>Listed Foreign Equity Share (Company)</t>
        </is>
      </c>
      <c r="G23" t="n">
        <v>1</v>
      </c>
      <c r="H23" t="inlineStr">
        <is>
          <t>2025-02-24</t>
        </is>
      </c>
      <c r="I23" t="n">
        <v>143.27</v>
      </c>
      <c r="J23" t="n">
        <v>289.55</v>
      </c>
      <c r="K23" t="n">
        <v>0</v>
      </c>
      <c r="L23" t="n">
        <v>338.63</v>
      </c>
      <c r="M23" t="n">
        <v>289.55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CRM</t>
        </is>
      </c>
      <c r="E24" t="inlineStr">
        <is>
          <t>Salesforce Inc</t>
        </is>
      </c>
      <c r="F24" t="inlineStr">
        <is>
          <t>Listed Foreign Equity Share (Company)</t>
        </is>
      </c>
      <c r="G24" t="n">
        <v>20</v>
      </c>
      <c r="H24" t="inlineStr">
        <is>
          <t>2025-02-24</t>
        </is>
      </c>
      <c r="I24" t="n">
        <v>4220.2</v>
      </c>
      <c r="J24" t="n">
        <v>5176.29</v>
      </c>
      <c r="K24" t="n">
        <v>0</v>
      </c>
      <c r="L24" t="n">
        <v>0</v>
      </c>
      <c r="M24" t="n">
        <v>5176.29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CRM</t>
        </is>
      </c>
      <c r="E25" t="inlineStr">
        <is>
          <t>Salesforce Inc</t>
        </is>
      </c>
      <c r="F25" t="inlineStr">
        <is>
          <t>Listed Foreign Equity Share (Company)</t>
        </is>
      </c>
      <c r="G25" t="n">
        <v>40</v>
      </c>
      <c r="H25" t="inlineStr">
        <is>
          <t>2025-02-24</t>
        </is>
      </c>
      <c r="I25" t="n">
        <v>8266.790000000001</v>
      </c>
      <c r="J25" t="n">
        <v>11181.36</v>
      </c>
      <c r="K25" t="n">
        <v>0</v>
      </c>
      <c r="L25" t="n">
        <v>0</v>
      </c>
      <c r="M25" t="n">
        <v>11181.36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CRM</t>
        </is>
      </c>
      <c r="E26" t="inlineStr">
        <is>
          <t>Salesforce Inc</t>
        </is>
      </c>
      <c r="F26" t="inlineStr">
        <is>
          <t>Listed Foreign Equity Share (Company)</t>
        </is>
      </c>
      <c r="G26" t="n">
        <v>120</v>
      </c>
      <c r="H26" t="inlineStr">
        <is>
          <t>2025-02-24</t>
        </is>
      </c>
      <c r="I26" t="n">
        <v>19959.07</v>
      </c>
      <c r="J26" t="n">
        <v>29427</v>
      </c>
      <c r="K26" t="n">
        <v>0</v>
      </c>
      <c r="L26" t="n">
        <v>0</v>
      </c>
      <c r="M26" t="n">
        <v>29427</v>
      </c>
    </row>
    <row r="27">
      <c r="A27" t="n">
        <v>26</v>
      </c>
      <c r="B27" t="inlineStr">
        <is>
          <t>Germany</t>
        </is>
      </c>
      <c r="C27" t="n">
        <v>78</v>
      </c>
      <c r="D27" t="inlineStr">
        <is>
          <t>DB</t>
        </is>
      </c>
      <c r="E27" t="inlineStr">
        <is>
          <t>Deutsche Bank AG - Registered Shares</t>
        </is>
      </c>
      <c r="F27" t="inlineStr">
        <is>
          <t>Listed Foreign Equity Share (Company)</t>
        </is>
      </c>
      <c r="G27" t="n">
        <v>24</v>
      </c>
      <c r="H27" t="inlineStr">
        <is>
          <t>2025-09-05</t>
        </is>
      </c>
      <c r="I27" t="n">
        <v>845.2</v>
      </c>
      <c r="J27" t="n">
        <v>925.4400000000001</v>
      </c>
      <c r="K27" t="n">
        <v>925.4400000000001</v>
      </c>
      <c r="L27" t="n">
        <v>0</v>
      </c>
      <c r="M27" t="n">
        <v>0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DXJ</t>
        </is>
      </c>
      <c r="E28" t="inlineStr">
        <is>
          <t>WisdomTree Japan Hedged Equity Fund</t>
        </is>
      </c>
      <c r="F28" t="inlineStr">
        <is>
          <t>Exchange Traded Fund (Investment Trust)</t>
        </is>
      </c>
      <c r="G28" t="n">
        <v>8</v>
      </c>
      <c r="H28" t="inlineStr">
        <is>
          <t>2025-04-07</t>
        </is>
      </c>
      <c r="I28" t="n">
        <v>771.72</v>
      </c>
      <c r="J28" t="n">
        <v>957.64</v>
      </c>
      <c r="K28" t="n">
        <v>0</v>
      </c>
      <c r="L28" t="n">
        <v>10.72</v>
      </c>
      <c r="M28" t="n">
        <v>957.64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GE</t>
        </is>
      </c>
      <c r="E29" t="inlineStr">
        <is>
          <t>GE Aerospace / General Electric</t>
        </is>
      </c>
      <c r="F29" t="inlineStr">
        <is>
          <t>Listed Foreign Equity Share (Company)</t>
        </is>
      </c>
      <c r="G29" t="n">
        <v>8</v>
      </c>
      <c r="H29" t="inlineStr">
        <is>
          <t>2025-04-07</t>
        </is>
      </c>
      <c r="I29" t="n">
        <v>1386</v>
      </c>
      <c r="J29" t="n">
        <v>2176.66</v>
      </c>
      <c r="K29" t="n">
        <v>0</v>
      </c>
      <c r="L29" t="n">
        <v>2.88</v>
      </c>
      <c r="M29" t="n">
        <v>2176.66</v>
      </c>
    </row>
    <row r="30">
      <c r="A30" t="n">
        <v>29</v>
      </c>
      <c r="B30" t="inlineStr">
        <is>
          <t>United States of America</t>
        </is>
      </c>
      <c r="C30" t="n">
        <v>2</v>
      </c>
      <c r="D30" t="inlineStr">
        <is>
          <t>GLD</t>
        </is>
      </c>
      <c r="E30" t="inlineStr">
        <is>
          <t>SPDR Gold Shares (World Gold Trust)</t>
        </is>
      </c>
      <c r="F30" t="inlineStr">
        <is>
          <t>Exchange Traded Fund (Investment Trust)</t>
        </is>
      </c>
      <c r="G30" t="n">
        <v>5</v>
      </c>
      <c r="H30" t="inlineStr">
        <is>
          <t>2025-09-05</t>
        </is>
      </c>
      <c r="I30" t="n">
        <v>1656.74</v>
      </c>
      <c r="J30" t="n">
        <v>1981.55</v>
      </c>
      <c r="K30" t="n">
        <v>1981.55</v>
      </c>
      <c r="L30" t="n">
        <v>0</v>
      </c>
      <c r="M30" t="n">
        <v>0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GOOG</t>
        </is>
      </c>
      <c r="E31" t="inlineStr">
        <is>
          <t>Alphabet Inc - Class C</t>
        </is>
      </c>
      <c r="F31" t="inlineStr">
        <is>
          <t>Listed Foreign Equity Share (Company)</t>
        </is>
      </c>
      <c r="G31" t="n">
        <v>3</v>
      </c>
      <c r="H31" t="inlineStr">
        <is>
          <t>2025-09-05</t>
        </is>
      </c>
      <c r="I31" t="n">
        <v>704.8</v>
      </c>
      <c r="J31" t="n">
        <v>941.4</v>
      </c>
      <c r="K31" t="n">
        <v>941.4</v>
      </c>
      <c r="L31" t="n">
        <v>1.26</v>
      </c>
      <c r="M31" t="n">
        <v>0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ICLN</t>
        </is>
      </c>
      <c r="E32" t="inlineStr">
        <is>
          <t>iShares Global Clean Energy ETF</t>
        </is>
      </c>
      <c r="F32" t="inlineStr">
        <is>
          <t>Exchange Traded Fund (Investment Trust)</t>
        </is>
      </c>
      <c r="G32" t="n">
        <v>50</v>
      </c>
      <c r="H32" t="inlineStr">
        <is>
          <t>2025-09-05</t>
        </is>
      </c>
      <c r="I32" t="n">
        <v>732.75</v>
      </c>
      <c r="J32" t="n">
        <v>821.5</v>
      </c>
      <c r="K32" t="n">
        <v>821.5</v>
      </c>
      <c r="L32" t="n">
        <v>6.41</v>
      </c>
      <c r="M32" t="n">
        <v>0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IEF</t>
        </is>
      </c>
      <c r="E33" t="inlineStr">
        <is>
          <t>iShares 7-10 Year Treasury Bond ETF</t>
        </is>
      </c>
      <c r="F33" t="inlineStr">
        <is>
          <t>Exchange Traded Fund (Investment Trust)</t>
        </is>
      </c>
      <c r="G33" t="n">
        <v>12</v>
      </c>
      <c r="H33" t="inlineStr">
        <is>
          <t>2025-09-05</t>
        </is>
      </c>
      <c r="I33" t="n">
        <v>1164.34</v>
      </c>
      <c r="J33" t="n">
        <v>1164.34</v>
      </c>
      <c r="K33" t="n">
        <v>1153.92</v>
      </c>
      <c r="L33" t="n">
        <v>14.39</v>
      </c>
      <c r="M33" t="n">
        <v>0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IWR</t>
        </is>
      </c>
      <c r="E34" t="inlineStr">
        <is>
          <t>iShares Russell Mid-Cap ETF</t>
        </is>
      </c>
      <c r="F34" t="inlineStr">
        <is>
          <t>Exchange Traded Fund (Investment Trust)</t>
        </is>
      </c>
      <c r="G34" t="n">
        <v>12</v>
      </c>
      <c r="H34" t="inlineStr">
        <is>
          <t>2025-09-05</t>
        </is>
      </c>
      <c r="I34" t="n">
        <v>1152.46</v>
      </c>
      <c r="J34" t="n">
        <v>1155.24</v>
      </c>
      <c r="K34" t="n">
        <v>1155.24</v>
      </c>
      <c r="L34" t="n">
        <v>8.59</v>
      </c>
      <c r="M34" t="n">
        <v>0</v>
      </c>
    </row>
    <row r="35">
      <c r="A35" t="n">
        <v>34</v>
      </c>
      <c r="B35" t="inlineStr">
        <is>
          <t>United States of America</t>
        </is>
      </c>
      <c r="C35" t="n">
        <v>2</v>
      </c>
      <c r="D35" t="inlineStr">
        <is>
          <t>LLY</t>
        </is>
      </c>
      <c r="E35" t="inlineStr">
        <is>
          <t>Eli Lilly &amp; Company</t>
        </is>
      </c>
      <c r="F35" t="inlineStr">
        <is>
          <t>Listed Foreign Equity Share (Company)</t>
        </is>
      </c>
      <c r="G35" t="n">
        <v>2</v>
      </c>
      <c r="H35" t="inlineStr">
        <is>
          <t>2025-04-07</t>
        </is>
      </c>
      <c r="I35" t="n">
        <v>1467.52</v>
      </c>
      <c r="J35" t="n">
        <v>1621.4</v>
      </c>
      <c r="K35" t="n">
        <v>0</v>
      </c>
      <c r="L35" t="n">
        <v>5.25</v>
      </c>
      <c r="M35" t="n">
        <v>1621.4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LLY</t>
        </is>
      </c>
      <c r="E36" t="inlineStr">
        <is>
          <t>Eli Lilly &amp; Company</t>
        </is>
      </c>
      <c r="F36" t="inlineStr">
        <is>
          <t>Listed Foreign Equity Share (Company)</t>
        </is>
      </c>
      <c r="G36" t="n">
        <v>1.5</v>
      </c>
      <c r="H36" t="inlineStr">
        <is>
          <t>2025-09-05</t>
        </is>
      </c>
      <c r="I36" t="n">
        <v>1094.96</v>
      </c>
      <c r="J36" t="n">
        <v>1612.02</v>
      </c>
      <c r="K36" t="n">
        <v>1612.02</v>
      </c>
      <c r="L36" t="n">
        <v>0</v>
      </c>
      <c r="M36" t="n">
        <v>0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META</t>
        </is>
      </c>
      <c r="E37" t="inlineStr">
        <is>
          <t>Meta Platforms Inc - Class A</t>
        </is>
      </c>
      <c r="F37" t="inlineStr">
        <is>
          <t>Listed Foreign Equity Share (Company)</t>
        </is>
      </c>
      <c r="G37" t="n">
        <v>3</v>
      </c>
      <c r="H37" t="inlineStr">
        <is>
          <t>2025-10-30</t>
        </is>
      </c>
      <c r="I37" t="n">
        <v>1981.93</v>
      </c>
      <c r="J37" t="n">
        <v>1981.93</v>
      </c>
      <c r="K37" t="n">
        <v>1980.27</v>
      </c>
      <c r="L37" t="n">
        <v>1.58</v>
      </c>
      <c r="M37" t="n">
        <v>0</v>
      </c>
    </row>
    <row r="38">
      <c r="A38" t="n">
        <v>37</v>
      </c>
      <c r="B38" t="inlineStr">
        <is>
          <t>United States of America</t>
        </is>
      </c>
      <c r="C38" t="n">
        <v>2</v>
      </c>
      <c r="D38" t="inlineStr">
        <is>
          <t>MSFT</t>
        </is>
      </c>
      <c r="E38" t="inlineStr">
        <is>
          <t>Microsoft Corp</t>
        </is>
      </c>
      <c r="F38" t="inlineStr">
        <is>
          <t>Listed Foreign Equity Share (Company)</t>
        </is>
      </c>
      <c r="G38" t="n">
        <v>4</v>
      </c>
      <c r="H38" t="inlineStr">
        <is>
          <t>2025-04-07</t>
        </is>
      </c>
      <c r="I38" t="n">
        <v>1449.58</v>
      </c>
      <c r="J38" t="n">
        <v>2050.24</v>
      </c>
      <c r="K38" t="n">
        <v>0</v>
      </c>
      <c r="L38" t="n">
        <v>3.32</v>
      </c>
      <c r="M38" t="n">
        <v>2050.24</v>
      </c>
    </row>
    <row r="39">
      <c r="A39" t="n">
        <v>38</v>
      </c>
      <c r="B39" t="inlineStr">
        <is>
          <t>United States of America</t>
        </is>
      </c>
      <c r="C39" t="n">
        <v>2</v>
      </c>
      <c r="D39" t="inlineStr">
        <is>
          <t>NFLX</t>
        </is>
      </c>
      <c r="E39" t="inlineStr">
        <is>
          <t>Netflix Inc</t>
        </is>
      </c>
      <c r="F39" t="inlineStr">
        <is>
          <t>Listed Foreign Equity Share (Company)</t>
        </is>
      </c>
      <c r="G39" t="n">
        <v>1</v>
      </c>
      <c r="H39" t="inlineStr">
        <is>
          <t>2025-04-07</t>
        </is>
      </c>
      <c r="I39" t="n">
        <v>894.83</v>
      </c>
      <c r="J39" t="n">
        <v>1186.53</v>
      </c>
      <c r="K39" t="n">
        <v>0</v>
      </c>
      <c r="L39" t="n">
        <v>0</v>
      </c>
      <c r="M39" t="n">
        <v>1186.53</v>
      </c>
    </row>
    <row r="40">
      <c r="A40" t="n">
        <v>39</v>
      </c>
      <c r="B40" t="inlineStr">
        <is>
          <t>United States of America</t>
        </is>
      </c>
      <c r="C40" t="n">
        <v>2</v>
      </c>
      <c r="D40" t="inlineStr">
        <is>
          <t>NFLX</t>
        </is>
      </c>
      <c r="E40" t="inlineStr">
        <is>
          <t>Netflix Inc</t>
        </is>
      </c>
      <c r="F40" t="inlineStr">
        <is>
          <t>Listed Foreign Equity Share (Company)</t>
        </is>
      </c>
      <c r="G40" t="n">
        <v>12</v>
      </c>
      <c r="H40" t="inlineStr">
        <is>
          <t>2025-12-11</t>
        </is>
      </c>
      <c r="I40" t="n">
        <v>1126.48</v>
      </c>
      <c r="J40" t="n">
        <v>1126.48</v>
      </c>
      <c r="K40" t="n">
        <v>1125.12</v>
      </c>
      <c r="L40" t="n">
        <v>0</v>
      </c>
      <c r="M40" t="n">
        <v>0</v>
      </c>
    </row>
    <row r="41">
      <c r="A41" t="n">
        <v>40</v>
      </c>
      <c r="B41" t="inlineStr">
        <is>
          <t>Switzerland</t>
        </is>
      </c>
      <c r="C41" t="n">
        <v>206</v>
      </c>
      <c r="D41" t="inlineStr">
        <is>
          <t>NOVN</t>
        </is>
      </c>
      <c r="E41" t="inlineStr">
        <is>
          <t>Novartis AG - Registered</t>
        </is>
      </c>
      <c r="F41" t="inlineStr">
        <is>
          <t>Listed Foreign Equity Share (Company)</t>
        </is>
      </c>
      <c r="G41" t="n">
        <v>12</v>
      </c>
      <c r="H41" t="inlineStr">
        <is>
          <t>2025-05-23</t>
        </is>
      </c>
      <c r="I41" t="n">
        <v>1408.54</v>
      </c>
      <c r="J41" t="n">
        <v>1408.54</v>
      </c>
      <c r="K41" t="n">
        <v>0</v>
      </c>
      <c r="L41" t="n">
        <v>0</v>
      </c>
      <c r="M41" t="n">
        <v>1402.38</v>
      </c>
    </row>
    <row r="42">
      <c r="A42" t="n">
        <v>41</v>
      </c>
      <c r="B42" t="inlineStr">
        <is>
          <t>Denmark</t>
        </is>
      </c>
      <c r="C42" t="n">
        <v>61</v>
      </c>
      <c r="D42" t="inlineStr">
        <is>
          <t>NOVd</t>
        </is>
      </c>
      <c r="E42" t="inlineStr">
        <is>
          <t>Novo Nordisk A/S - B Shares</t>
        </is>
      </c>
      <c r="F42" t="inlineStr">
        <is>
          <t>Listed Foreign Equity Share (Company)</t>
        </is>
      </c>
      <c r="G42" t="n">
        <v>33</v>
      </c>
      <c r="H42" t="inlineStr">
        <is>
          <t>2025-09-08</t>
        </is>
      </c>
      <c r="I42" t="n">
        <v>1813.89</v>
      </c>
      <c r="J42" t="n">
        <v>1813.89</v>
      </c>
      <c r="K42" t="n">
        <v>0</v>
      </c>
      <c r="L42" t="n">
        <v>0</v>
      </c>
      <c r="M42" t="n">
        <v>1439.42</v>
      </c>
    </row>
    <row r="43">
      <c r="A43" t="n">
        <v>42</v>
      </c>
      <c r="B43" t="inlineStr">
        <is>
          <t>United States of America</t>
        </is>
      </c>
      <c r="C43" t="n">
        <v>2</v>
      </c>
      <c r="D43" t="inlineStr">
        <is>
          <t>NVDA</t>
        </is>
      </c>
      <c r="E43" t="inlineStr">
        <is>
          <t>NVIDIA Corp</t>
        </is>
      </c>
      <c r="F43" t="inlineStr">
        <is>
          <t>Listed Foreign Equity Share (Company)</t>
        </is>
      </c>
      <c r="G43" t="n">
        <v>6</v>
      </c>
      <c r="H43" t="inlineStr">
        <is>
          <t>2025-09-05</t>
        </is>
      </c>
      <c r="I43" t="n">
        <v>1001.79</v>
      </c>
      <c r="J43" t="n">
        <v>1119</v>
      </c>
      <c r="K43" t="n">
        <v>1119</v>
      </c>
      <c r="L43" t="n">
        <v>0.12</v>
      </c>
      <c r="M43" t="n">
        <v>0</v>
      </c>
    </row>
    <row r="44">
      <c r="A44" t="n">
        <v>43</v>
      </c>
      <c r="B44" t="inlineStr">
        <is>
          <t>United States of America</t>
        </is>
      </c>
      <c r="C44" t="n">
        <v>2</v>
      </c>
      <c r="D44" t="inlineStr">
        <is>
          <t>QCOM</t>
        </is>
      </c>
      <c r="E44" t="inlineStr">
        <is>
          <t>QUALCOMM Inc</t>
        </is>
      </c>
      <c r="F44" t="inlineStr">
        <is>
          <t>Listed Foreign Equity Share (Company)</t>
        </is>
      </c>
      <c r="G44" t="n">
        <v>9</v>
      </c>
      <c r="H44" t="inlineStr">
        <is>
          <t>2025-09-05</t>
        </is>
      </c>
      <c r="I44" t="n">
        <v>1438.2</v>
      </c>
      <c r="J44" t="n">
        <v>1539.45</v>
      </c>
      <c r="K44" t="n">
        <v>1539.45</v>
      </c>
      <c r="L44" t="n">
        <v>8.01</v>
      </c>
      <c r="M44" t="n">
        <v>0</v>
      </c>
    </row>
    <row r="45">
      <c r="A45" t="n">
        <v>44</v>
      </c>
      <c r="B45" t="inlineStr">
        <is>
          <t>United States of America</t>
        </is>
      </c>
      <c r="C45" t="n">
        <v>2</v>
      </c>
      <c r="D45" t="inlineStr">
        <is>
          <t>QQQ</t>
        </is>
      </c>
      <c r="E45" t="inlineStr">
        <is>
          <t>Invesco QQQ Trust Series 1</t>
        </is>
      </c>
      <c r="F45" t="inlineStr">
        <is>
          <t>Exchange Traded Fund (Investment Trust)</t>
        </is>
      </c>
      <c r="G45" t="n">
        <v>2</v>
      </c>
      <c r="H45" t="inlineStr">
        <is>
          <t>2025-09-05</t>
        </is>
      </c>
      <c r="I45" t="n">
        <v>1150.36</v>
      </c>
      <c r="J45" t="n">
        <v>1228.62</v>
      </c>
      <c r="K45" t="n">
        <v>1228.62</v>
      </c>
      <c r="L45" t="n">
        <v>2.98</v>
      </c>
      <c r="M45" t="n">
        <v>0</v>
      </c>
    </row>
    <row r="46">
      <c r="A46" t="n">
        <v>45</v>
      </c>
      <c r="B46" t="inlineStr">
        <is>
          <t>United Kingdom</t>
        </is>
      </c>
      <c r="C46" t="n">
        <v>234</v>
      </c>
      <c r="D46" t="inlineStr">
        <is>
          <t>R6C0d</t>
        </is>
      </c>
      <c r="E46" t="inlineStr">
        <is>
          <t>Shell plc</t>
        </is>
      </c>
      <c r="F46" t="inlineStr">
        <is>
          <t>Listed Foreign Equity Share (Company)</t>
        </is>
      </c>
      <c r="G46" t="n">
        <v>120</v>
      </c>
      <c r="H46" t="inlineStr">
        <is>
          <t>2025-04-07</t>
        </is>
      </c>
      <c r="I46" t="n">
        <v>4066.72</v>
      </c>
      <c r="J46" t="n">
        <v>4298.33</v>
      </c>
      <c r="K46" t="n">
        <v>0</v>
      </c>
      <c r="L46" t="n">
        <v>0</v>
      </c>
      <c r="M46" t="n">
        <v>4298.33</v>
      </c>
    </row>
    <row r="47">
      <c r="A47" t="n">
        <v>46</v>
      </c>
      <c r="B47" t="inlineStr">
        <is>
          <t>Switzerland</t>
        </is>
      </c>
      <c r="C47" t="n">
        <v>206</v>
      </c>
      <c r="D47" t="inlineStr">
        <is>
          <t>ROG</t>
        </is>
      </c>
      <c r="E47" t="inlineStr">
        <is>
          <t>Roche Holding AG - Genusschein</t>
        </is>
      </c>
      <c r="F47" t="inlineStr">
        <is>
          <t>Listed Foreign Equity Share (Company)</t>
        </is>
      </c>
      <c r="G47" t="n">
        <v>6</v>
      </c>
      <c r="H47" t="inlineStr">
        <is>
          <t>2025-05-23</t>
        </is>
      </c>
      <c r="I47" t="n">
        <v>1974.25</v>
      </c>
      <c r="J47" t="n">
        <v>1974.75</v>
      </c>
      <c r="K47" t="n">
        <v>0</v>
      </c>
      <c r="L47" t="n">
        <v>0</v>
      </c>
      <c r="M47" t="n">
        <v>1974.75</v>
      </c>
    </row>
    <row r="48">
      <c r="A48" t="n">
        <v>47</v>
      </c>
      <c r="B48" t="inlineStr">
        <is>
          <t>United States of America</t>
        </is>
      </c>
      <c r="C48" t="n">
        <v>2</v>
      </c>
      <c r="D48" t="inlineStr">
        <is>
          <t>RTX</t>
        </is>
      </c>
      <c r="E48" t="inlineStr">
        <is>
          <t>RTX Corp</t>
        </is>
      </c>
      <c r="F48" t="inlineStr">
        <is>
          <t>Listed Foreign Equity Share (Company)</t>
        </is>
      </c>
      <c r="G48" t="n">
        <v>13</v>
      </c>
      <c r="H48" t="inlineStr">
        <is>
          <t>2025-04-07</t>
        </is>
      </c>
      <c r="I48" t="n">
        <v>1502.83</v>
      </c>
      <c r="J48" t="n">
        <v>2013.24</v>
      </c>
      <c r="K48" t="n">
        <v>0</v>
      </c>
      <c r="L48" t="n">
        <v>8.84</v>
      </c>
      <c r="M48" t="n">
        <v>2013.24</v>
      </c>
    </row>
    <row r="49">
      <c r="A49" t="n">
        <v>48</v>
      </c>
      <c r="B49" t="inlineStr">
        <is>
          <t>Germany</t>
        </is>
      </c>
      <c r="C49" t="n">
        <v>78</v>
      </c>
      <c r="D49" t="inlineStr">
        <is>
          <t>SIEd</t>
        </is>
      </c>
      <c r="E49" t="inlineStr">
        <is>
          <t>Siemens AG - Registered</t>
        </is>
      </c>
      <c r="F49" t="inlineStr">
        <is>
          <t>Listed Foreign Equity Share (Company)</t>
        </is>
      </c>
      <c r="G49" t="n">
        <v>4</v>
      </c>
      <c r="H49" t="inlineStr">
        <is>
          <t>2025-04-07</t>
        </is>
      </c>
      <c r="I49" t="n">
        <v>872.73</v>
      </c>
      <c r="J49" t="n">
        <v>1062.54</v>
      </c>
      <c r="K49" t="n">
        <v>0</v>
      </c>
      <c r="L49" t="n">
        <v>0</v>
      </c>
      <c r="M49" t="n">
        <v>1062.54</v>
      </c>
    </row>
    <row r="50">
      <c r="A50" t="n">
        <v>49</v>
      </c>
      <c r="B50" t="inlineStr">
        <is>
          <t>United States of America</t>
        </is>
      </c>
      <c r="C50" t="n">
        <v>2</v>
      </c>
      <c r="D50" t="inlineStr">
        <is>
          <t>SLV</t>
        </is>
      </c>
      <c r="E50" t="inlineStr">
        <is>
          <t>iShares Silver Trust</t>
        </is>
      </c>
      <c r="F50" t="inlineStr">
        <is>
          <t>Exchange Traded Fund (Investment Trust)</t>
        </is>
      </c>
      <c r="G50" t="n">
        <v>54</v>
      </c>
      <c r="H50" t="inlineStr">
        <is>
          <t>2025-04-07</t>
        </is>
      </c>
      <c r="I50" t="n">
        <v>1495.14</v>
      </c>
      <c r="J50" t="n">
        <v>3478.68</v>
      </c>
      <c r="K50" t="n">
        <v>3478.68</v>
      </c>
      <c r="L50" t="n">
        <v>0</v>
      </c>
      <c r="M50" t="n">
        <v>0</v>
      </c>
    </row>
    <row r="51">
      <c r="A51" t="n">
        <v>50</v>
      </c>
      <c r="B51" t="inlineStr">
        <is>
          <t>United States of America</t>
        </is>
      </c>
      <c r="C51" t="n">
        <v>2</v>
      </c>
      <c r="D51" t="inlineStr">
        <is>
          <t>SNOW</t>
        </is>
      </c>
      <c r="E51" t="inlineStr">
        <is>
          <t>Snowflake Inc</t>
        </is>
      </c>
      <c r="F51" t="inlineStr">
        <is>
          <t>Listed Foreign Equity Share (Company)</t>
        </is>
      </c>
      <c r="G51" t="n">
        <v>6</v>
      </c>
      <c r="H51" t="inlineStr">
        <is>
          <t>2025-09-05</t>
        </is>
      </c>
      <c r="I51" t="n">
        <v>1349.62</v>
      </c>
      <c r="J51" t="n">
        <v>1349.62</v>
      </c>
      <c r="K51" t="n">
        <v>1316.16</v>
      </c>
      <c r="L51" t="n">
        <v>0</v>
      </c>
      <c r="M51" t="n">
        <v>0</v>
      </c>
    </row>
    <row r="52">
      <c r="A52" t="n">
        <v>51</v>
      </c>
      <c r="B52" t="inlineStr">
        <is>
          <t>United States of America</t>
        </is>
      </c>
      <c r="C52" t="n">
        <v>2</v>
      </c>
      <c r="D52" t="inlineStr">
        <is>
          <t>TGT</t>
        </is>
      </c>
      <c r="E52" t="inlineStr">
        <is>
          <t>Target Corp</t>
        </is>
      </c>
      <c r="F52" t="inlineStr">
        <is>
          <t>Listed Foreign Equity Share (Company)</t>
        </is>
      </c>
      <c r="G52" t="n">
        <v>15</v>
      </c>
      <c r="H52" t="inlineStr">
        <is>
          <t>2025-04-07</t>
        </is>
      </c>
      <c r="I52" t="n">
        <v>1452.55</v>
      </c>
      <c r="J52" t="n">
        <v>1581.53</v>
      </c>
      <c r="K52" t="n">
        <v>0</v>
      </c>
      <c r="L52" t="n">
        <v>16.8</v>
      </c>
      <c r="M52" t="n">
        <v>1581.53</v>
      </c>
    </row>
    <row r="53">
      <c r="A53" t="n">
        <v>52</v>
      </c>
      <c r="B53" t="inlineStr">
        <is>
          <t>United States of America</t>
        </is>
      </c>
      <c r="C53" t="n">
        <v>2</v>
      </c>
      <c r="D53" t="inlineStr">
        <is>
          <t>TIP</t>
        </is>
      </c>
      <c r="E53" t="inlineStr">
        <is>
          <t>iShares TIPS Bond ETF</t>
        </is>
      </c>
      <c r="F53" t="inlineStr">
        <is>
          <t>Exchange Traded Fund (Investment Trust)</t>
        </is>
      </c>
      <c r="G53" t="n">
        <v>33</v>
      </c>
      <c r="H53" t="inlineStr">
        <is>
          <t>2025-04-07</t>
        </is>
      </c>
      <c r="I53" t="n">
        <v>3626.55</v>
      </c>
      <c r="J53" t="n">
        <v>3627.03</v>
      </c>
      <c r="K53" t="n">
        <v>3627.03</v>
      </c>
      <c r="L53" t="n">
        <v>102.07</v>
      </c>
      <c r="M53" t="n">
        <v>0</v>
      </c>
    </row>
    <row r="54">
      <c r="A54" t="n">
        <v>53</v>
      </c>
      <c r="B54" t="inlineStr">
        <is>
          <t>United States of America</t>
        </is>
      </c>
      <c r="C54" t="n">
        <v>2</v>
      </c>
      <c r="D54" t="inlineStr">
        <is>
          <t>TSLA</t>
        </is>
      </c>
      <c r="E54" t="inlineStr">
        <is>
          <t>Tesla Inc</t>
        </is>
      </c>
      <c r="F54" t="inlineStr">
        <is>
          <t>Listed Foreign Equity Share (Company)</t>
        </is>
      </c>
      <c r="G54" t="n">
        <v>5</v>
      </c>
      <c r="H54" t="inlineStr">
        <is>
          <t>2025-04-07</t>
        </is>
      </c>
      <c r="I54" t="n">
        <v>1187.48</v>
      </c>
      <c r="J54" t="n">
        <v>1566</v>
      </c>
      <c r="K54" t="n">
        <v>0</v>
      </c>
      <c r="L54" t="n">
        <v>0</v>
      </c>
      <c r="M54" t="n">
        <v>1566</v>
      </c>
    </row>
    <row r="55">
      <c r="A55" t="n">
        <v>54</v>
      </c>
      <c r="B55" t="inlineStr">
        <is>
          <t>United States of America</t>
        </is>
      </c>
      <c r="C55" t="n">
        <v>2</v>
      </c>
      <c r="D55" t="inlineStr">
        <is>
          <t>TSLA</t>
        </is>
      </c>
      <c r="E55" t="inlineStr">
        <is>
          <t>Tesla Inc</t>
        </is>
      </c>
      <c r="F55" t="inlineStr">
        <is>
          <t>Listed Foreign Equity Share (Company)</t>
        </is>
      </c>
      <c r="G55" t="n">
        <v>2</v>
      </c>
      <c r="H55" t="inlineStr">
        <is>
          <t>2025-09-05</t>
        </is>
      </c>
      <c r="I55" t="n">
        <v>697.63</v>
      </c>
      <c r="J55" t="n">
        <v>899.4400000000001</v>
      </c>
      <c r="K55" t="n">
        <v>899.4400000000001</v>
      </c>
      <c r="L55" t="n">
        <v>0</v>
      </c>
      <c r="M55" t="n">
        <v>0</v>
      </c>
    </row>
    <row r="56">
      <c r="A56" t="n">
        <v>55</v>
      </c>
      <c r="B56" t="inlineStr">
        <is>
          <t>Taiwan</t>
        </is>
      </c>
      <c r="C56" t="n">
        <v>212</v>
      </c>
      <c r="D56" t="inlineStr">
        <is>
          <t>TSM</t>
        </is>
      </c>
      <c r="E56" t="inlineStr">
        <is>
          <t>Taiwan Semiconductor Manufacturing Co - Sponsored ADR</t>
        </is>
      </c>
      <c r="F56" t="inlineStr">
        <is>
          <t>American Depository Receipt of Listed Foreign Company</t>
        </is>
      </c>
      <c r="G56" t="n">
        <v>5</v>
      </c>
      <c r="H56" t="inlineStr">
        <is>
          <t>2025-04-07</t>
        </is>
      </c>
      <c r="I56" t="n">
        <v>751.5</v>
      </c>
      <c r="J56" t="n">
        <v>1226.6</v>
      </c>
      <c r="K56" t="n">
        <v>0</v>
      </c>
      <c r="L56" t="n">
        <v>3.9</v>
      </c>
      <c r="M56" t="n">
        <v>1226.6</v>
      </c>
    </row>
    <row r="57">
      <c r="A57" t="n">
        <v>56</v>
      </c>
      <c r="B57" t="inlineStr">
        <is>
          <t>United States of America</t>
        </is>
      </c>
      <c r="C57" t="n">
        <v>2</v>
      </c>
      <c r="D57" t="inlineStr">
        <is>
          <t>URA</t>
        </is>
      </c>
      <c r="E57" t="inlineStr">
        <is>
          <t>Global X Uranium ETF</t>
        </is>
      </c>
      <c r="F57" t="inlineStr">
        <is>
          <t>Exchange Traded Fund (Investment Trust)</t>
        </is>
      </c>
      <c r="G57" t="n">
        <v>24</v>
      </c>
      <c r="H57" t="inlineStr">
        <is>
          <t>2025-12-11</t>
        </is>
      </c>
      <c r="I57" t="n">
        <v>1140.04</v>
      </c>
      <c r="J57" t="n">
        <v>1140.04</v>
      </c>
      <c r="K57" t="n">
        <v>1025.52</v>
      </c>
      <c r="L57" t="n">
        <v>0</v>
      </c>
      <c r="M57" t="n">
        <v>0</v>
      </c>
    </row>
    <row r="58">
      <c r="A58" t="n">
        <v>57</v>
      </c>
      <c r="B58" t="inlineStr">
        <is>
          <t>United States of America</t>
        </is>
      </c>
      <c r="C58" t="n">
        <v>2</v>
      </c>
      <c r="D58" t="inlineStr">
        <is>
          <t>VT</t>
        </is>
      </c>
      <c r="E58" t="inlineStr">
        <is>
          <t>Vanguard Total World Stock ETF</t>
        </is>
      </c>
      <c r="F58" t="inlineStr">
        <is>
          <t>Exchange Traded Fund (Investment Trust)</t>
        </is>
      </c>
      <c r="G58" t="n">
        <v>14</v>
      </c>
      <c r="H58" t="inlineStr">
        <is>
          <t>2025-09-05</t>
        </is>
      </c>
      <c r="I58" t="n">
        <v>1880.07</v>
      </c>
      <c r="J58" t="n">
        <v>1974.84</v>
      </c>
      <c r="K58" t="n">
        <v>1974.84</v>
      </c>
      <c r="L58" t="n">
        <v>22.3</v>
      </c>
      <c r="M58" t="n">
        <v>0</v>
      </c>
    </row>
    <row r="59">
      <c r="A59" t="n">
        <v>58</v>
      </c>
      <c r="B59" t="inlineStr">
        <is>
          <t>United States of America</t>
        </is>
      </c>
      <c r="C59" t="n">
        <v>2</v>
      </c>
      <c r="D59" t="inlineStr">
        <is>
          <t>VTV</t>
        </is>
      </c>
      <c r="E59" t="inlineStr">
        <is>
          <t>Vanguard Value ETF</t>
        </is>
      </c>
      <c r="F59" t="inlineStr">
        <is>
          <t>Exchange Traded Fund (Investment Trust)</t>
        </is>
      </c>
      <c r="G59" t="n">
        <v>6</v>
      </c>
      <c r="H59" t="inlineStr">
        <is>
          <t>2025-09-05</t>
        </is>
      </c>
      <c r="I59" t="n">
        <v>1094.17</v>
      </c>
      <c r="J59" t="n">
        <v>1145.94</v>
      </c>
      <c r="K59" t="n">
        <v>1145.94</v>
      </c>
      <c r="L59" t="n">
        <v>11.58</v>
      </c>
      <c r="M59" t="n">
        <v>0</v>
      </c>
    </row>
    <row r="60">
      <c r="A60" t="n">
        <v>59</v>
      </c>
      <c r="B60" t="inlineStr">
        <is>
          <t>Ireland</t>
        </is>
      </c>
      <c r="C60" t="n">
        <v>101</v>
      </c>
      <c r="D60" t="inlineStr">
        <is>
          <t>WCBR</t>
        </is>
      </c>
      <c r="E60" t="inlineStr">
        <is>
          <t>WisdomTree Cybersecurity UCITS ETF</t>
        </is>
      </c>
      <c r="F60" t="inlineStr">
        <is>
          <t>Exchange Traded Fund (Investment Trust)</t>
        </is>
      </c>
      <c r="G60" t="n">
        <v>42</v>
      </c>
      <c r="H60" t="inlineStr">
        <is>
          <t>2025-09-05</t>
        </is>
      </c>
      <c r="I60" t="n">
        <v>1282</v>
      </c>
      <c r="J60" t="n">
        <v>1282</v>
      </c>
      <c r="K60" t="n">
        <v>1169.84</v>
      </c>
      <c r="L60" t="n">
        <v>0</v>
      </c>
      <c r="M60" t="n">
        <v>0</v>
      </c>
    </row>
    <row r="61">
      <c r="A61" t="n">
        <v>60</v>
      </c>
      <c r="B61" t="inlineStr">
        <is>
          <t>United States of America</t>
        </is>
      </c>
      <c r="C61" t="n">
        <v>2</v>
      </c>
      <c r="D61" t="inlineStr">
        <is>
          <t>WFC</t>
        </is>
      </c>
      <c r="E61" t="inlineStr">
        <is>
          <t>Wells Fargo &amp; Company</t>
        </is>
      </c>
      <c r="F61" t="inlineStr">
        <is>
          <t>Listed Foreign Equity Share (Company)</t>
        </is>
      </c>
      <c r="G61" t="n">
        <v>33</v>
      </c>
      <c r="H61" t="inlineStr">
        <is>
          <t>2025-09-05</t>
        </is>
      </c>
      <c r="I61" t="n">
        <v>2624.67</v>
      </c>
      <c r="J61" t="n">
        <v>3075.6</v>
      </c>
      <c r="K61" t="n">
        <v>3075.6</v>
      </c>
      <c r="L61" t="n">
        <v>14.85</v>
      </c>
      <c r="M61" t="n">
        <v>0</v>
      </c>
    </row>
    <row r="62">
      <c r="A62" t="n">
        <v>61</v>
      </c>
      <c r="B62" t="inlineStr">
        <is>
          <t>United States of America</t>
        </is>
      </c>
      <c r="C62" t="n">
        <v>2</v>
      </c>
      <c r="D62" t="inlineStr">
        <is>
          <t>XOM</t>
        </is>
      </c>
      <c r="E62" t="inlineStr">
        <is>
          <t>Exxon Mobil Corp</t>
        </is>
      </c>
      <c r="F62" t="inlineStr">
        <is>
          <t>Listed Foreign Equity Share (Company)</t>
        </is>
      </c>
      <c r="G62" t="n">
        <v>12</v>
      </c>
      <c r="H62" t="inlineStr">
        <is>
          <t>2025-09-05</t>
        </is>
      </c>
      <c r="I62" t="n">
        <v>1322.02</v>
      </c>
      <c r="J62" t="n">
        <v>1444.08</v>
      </c>
      <c r="K62" t="n">
        <v>1444.08</v>
      </c>
      <c r="L62" t="n">
        <v>12.36</v>
      </c>
      <c r="M62" t="n">
        <v>0</v>
      </c>
    </row>
    <row r="63">
      <c r="H63" t="inlineStr">
        <is>
          <t>TOTAL (USD)</t>
        </is>
      </c>
      <c r="I63" t="n">
        <v>204597.4</v>
      </c>
      <c r="J63" t="n">
        <v>230782.4</v>
      </c>
      <c r="K63" t="n">
        <v>117420.7</v>
      </c>
      <c r="L63" t="n">
        <v>808.89</v>
      </c>
      <c r="M63" t="n">
        <v>82024.42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4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U18045590</t>
        </is>
      </c>
      <c r="G3" t="inlineStr">
        <is>
          <t>Owner - Sole beneficial owner</t>
        </is>
      </c>
      <c r="H3" t="inlineStr">
        <is>
          <t>2025-02-24 (CRM FOP In)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119317.75</v>
      </c>
      <c r="B6" t="n">
        <v>10675359</v>
      </c>
      <c r="C6" t="n">
        <v>119317.75</v>
      </c>
      <c r="D6" t="n">
        <v>10675359</v>
      </c>
      <c r="E6" t="n">
        <v>65.45999999999999</v>
      </c>
      <c r="F6" t="n">
        <v>5744</v>
      </c>
      <c r="G6" t="n">
        <v>918.55</v>
      </c>
      <c r="H6" t="n">
        <v>79878</v>
      </c>
    </row>
    <row r="7"/>
    <row r="8">
      <c r="A8" t="inlineStr">
        <is>
          <t>NOTES:</t>
        </is>
      </c>
    </row>
    <row r="9">
      <c r="A9" t="inlineStr">
        <is>
          <t>Account: IBKR U18045590 — Vineet Dev (Individual, USD base, Cash).</t>
        </is>
      </c>
    </row>
    <row r="10">
      <c r="A10" t="inlineStr">
        <is>
          <t>Starting NAV 01-Jan-2025: USD 0.00; Ending NAV 31-Dec-2025: USD 119,317.75.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Debit Interest for Mar-2025</t>
        </is>
      </c>
      <c r="C4" t="inlineStr">
        <is>
          <t>USD</t>
        </is>
      </c>
      <c r="D4" t="n">
        <v>-0.03</v>
      </c>
      <c r="E4" t="n">
        <v>-0.03</v>
      </c>
      <c r="F4" t="n">
        <v>85.09999999999999</v>
      </c>
      <c r="G4" t="n">
        <v>-3</v>
      </c>
    </row>
    <row r="5">
      <c r="A5" s="2" t="n">
        <v>45874</v>
      </c>
      <c r="B5" t="inlineStr">
        <is>
          <t>USD Credit Interest for Jul-2025</t>
        </is>
      </c>
      <c r="C5" t="inlineStr">
        <is>
          <t>USD</t>
        </is>
      </c>
      <c r="D5" t="n">
        <v>6.32</v>
      </c>
      <c r="E5" t="n">
        <v>6.32</v>
      </c>
      <c r="F5" t="n">
        <v>87.15000000000001</v>
      </c>
      <c r="G5" t="n">
        <v>551</v>
      </c>
    </row>
    <row r="6">
      <c r="A6" s="2" t="n">
        <v>45904</v>
      </c>
      <c r="B6" t="inlineStr">
        <is>
          <t>USD Credit Interest for Aug-2025</t>
        </is>
      </c>
      <c r="C6" t="inlineStr">
        <is>
          <t>USD</t>
        </is>
      </c>
      <c r="D6" t="n">
        <v>48.36</v>
      </c>
      <c r="E6" t="n">
        <v>48.36</v>
      </c>
      <c r="F6" t="n">
        <v>87.7</v>
      </c>
      <c r="G6" t="n">
        <v>4241</v>
      </c>
    </row>
    <row r="7">
      <c r="A7" s="2" t="n">
        <v>45933</v>
      </c>
      <c r="B7" t="inlineStr">
        <is>
          <t>USD Credit Interest for Sep-2025</t>
        </is>
      </c>
      <c r="C7" t="inlineStr">
        <is>
          <t>USD</t>
        </is>
      </c>
      <c r="D7" t="n">
        <v>10.85</v>
      </c>
      <c r="E7" t="n">
        <v>10.85</v>
      </c>
      <c r="F7" t="n">
        <v>88.34999999999999</v>
      </c>
      <c r="G7" t="n">
        <v>959</v>
      </c>
    </row>
    <row r="8">
      <c r="A8" s="2" t="n">
        <v>45966</v>
      </c>
      <c r="B8" t="inlineStr">
        <is>
          <t>USD Debit Interest for Oct-2025</t>
        </is>
      </c>
      <c r="C8" t="inlineStr">
        <is>
          <t>USD</t>
        </is>
      </c>
      <c r="D8" t="n">
        <v>-0.04</v>
      </c>
      <c r="E8" t="n">
        <v>-0.04</v>
      </c>
      <c r="F8" t="n">
        <v>88.2</v>
      </c>
      <c r="G8" t="n">
        <v>-4</v>
      </c>
    </row>
    <row r="9">
      <c r="B9" t="inlineStr">
        <is>
          <t>TOTAL INTEREST</t>
        </is>
      </c>
      <c r="E9" t="n">
        <v>65.45999999999999</v>
      </c>
      <c r="G9" t="n">
        <v>5744</v>
      </c>
    </row>
    <row r="10"/>
    <row r="11">
      <c r="A11" t="inlineStr">
        <is>
          <t>— DIVIDENDS —</t>
        </is>
      </c>
    </row>
    <row r="12">
      <c r="A12" s="2" t="n">
        <v>45783</v>
      </c>
      <c r="B12" t="inlineStr">
        <is>
          <t>ASML(NL0010273215) Cash Dividend EUR 1.84 per Share (Ordinary Dividend)</t>
        </is>
      </c>
      <c r="C12" t="inlineStr">
        <is>
          <t>EUR</t>
        </is>
      </c>
      <c r="D12" t="n">
        <v>5.52</v>
      </c>
      <c r="E12" t="n">
        <v>6.4838</v>
      </c>
      <c r="F12" t="n">
        <v>84.25</v>
      </c>
      <c r="G12" t="n">
        <v>546</v>
      </c>
    </row>
    <row r="13">
      <c r="A13" s="2" t="n">
        <v>45831</v>
      </c>
      <c r="B13" t="inlineStr">
        <is>
          <t>SHELL.DVD(NL0015002HW4) Expire Dividend Right (Ordinary Dividend)</t>
        </is>
      </c>
      <c r="C13" t="inlineStr">
        <is>
          <t>EUR</t>
        </is>
      </c>
      <c r="D13" t="n">
        <v>37.63</v>
      </c>
      <c r="E13" t="n">
        <v>44.2002</v>
      </c>
      <c r="F13" t="n">
        <v>85.09999999999999</v>
      </c>
      <c r="G13" t="n">
        <v>3761</v>
      </c>
    </row>
    <row r="14">
      <c r="A14" s="2" t="n">
        <v>45967</v>
      </c>
      <c r="B14" t="inlineStr">
        <is>
          <t>ASML(NL0010273215) Cash Dividend EUR 1.60 per Share (Ordinary Dividend)</t>
        </is>
      </c>
      <c r="C14" t="inlineStr">
        <is>
          <t>EUR</t>
        </is>
      </c>
      <c r="D14" t="n">
        <v>3.2</v>
      </c>
      <c r="E14" t="n">
        <v>3.7587</v>
      </c>
      <c r="F14" t="n">
        <v>88.2</v>
      </c>
      <c r="G14" t="n">
        <v>332</v>
      </c>
    </row>
    <row r="15">
      <c r="A15" s="2" t="n">
        <v>45987</v>
      </c>
      <c r="B15" t="inlineStr">
        <is>
          <t>7203.T(JP3633400001) Cash Dividend JPY 45 per Share (Ordinary Dividend)</t>
        </is>
      </c>
      <c r="C15" t="inlineStr">
        <is>
          <t>JPY</t>
        </is>
      </c>
      <c r="D15" t="n">
        <v>4500</v>
      </c>
      <c r="E15" t="n">
        <v>28.7221</v>
      </c>
      <c r="F15" t="n">
        <v>88.2</v>
      </c>
      <c r="G15" t="n">
        <v>2533</v>
      </c>
    </row>
    <row r="16">
      <c r="A16" s="2" t="n">
        <v>46001</v>
      </c>
      <c r="B16" t="inlineStr">
        <is>
          <t>4568.T(JP3475350009) Cash Dividend JPY 39 per Share (Ordinary Dividend)</t>
        </is>
      </c>
      <c r="C16" t="inlineStr">
        <is>
          <t>JPY</t>
        </is>
      </c>
      <c r="D16" t="n">
        <v>15600</v>
      </c>
      <c r="E16" t="n">
        <v>99.5701</v>
      </c>
      <c r="F16" t="n">
        <v>88.95</v>
      </c>
      <c r="G16" t="n">
        <v>8857</v>
      </c>
    </row>
    <row r="17">
      <c r="A17" s="2" t="n">
        <v>45771</v>
      </c>
      <c r="B17" t="inlineStr">
        <is>
          <t>CRM(US79466L3024) Cash Dividend USD 0.416 per Share (Ordinary Dividend)</t>
        </is>
      </c>
      <c r="C17" t="inlineStr">
        <is>
          <t>USD</t>
        </is>
      </c>
      <c r="D17" t="n">
        <v>123.97</v>
      </c>
      <c r="E17" t="n">
        <v>123.97</v>
      </c>
      <c r="F17" t="n">
        <v>85.09999999999999</v>
      </c>
      <c r="G17" t="n">
        <v>10550</v>
      </c>
    </row>
    <row r="18">
      <c r="A18" s="2" t="n">
        <v>45782</v>
      </c>
      <c r="B18" t="inlineStr">
        <is>
          <t>BX(US09260D1072) Cash Dividend USD 0.93 per Share (Ordinary Dividend)</t>
        </is>
      </c>
      <c r="C18" t="inlineStr">
        <is>
          <t>USD</t>
        </is>
      </c>
      <c r="D18" t="n">
        <v>5.58</v>
      </c>
      <c r="E18" t="n">
        <v>5.58</v>
      </c>
      <c r="F18" t="n">
        <v>84.25</v>
      </c>
      <c r="G18" t="n">
        <v>470</v>
      </c>
    </row>
    <row r="19">
      <c r="A19" s="2" t="n">
        <v>45783</v>
      </c>
      <c r="B19" t="inlineStr">
        <is>
          <t>TIP(US4642871762) Cash Dividend USD 0.534953 per Share (Ordinary Dividend)</t>
        </is>
      </c>
      <c r="C19" t="inlineStr">
        <is>
          <t>USD</t>
        </is>
      </c>
      <c r="D19" t="n">
        <v>17.65</v>
      </c>
      <c r="E19" t="n">
        <v>17.65</v>
      </c>
      <c r="F19" t="n">
        <v>84.25</v>
      </c>
      <c r="G19" t="n">
        <v>1487</v>
      </c>
    </row>
    <row r="20">
      <c r="A20" s="2" t="n">
        <v>45797</v>
      </c>
      <c r="B20" t="inlineStr">
        <is>
          <t>CAT(US1491231015) Cash Dividend USD 1.41 per Share (Ordinary Dividend)</t>
        </is>
      </c>
      <c r="C20" t="inlineStr">
        <is>
          <t>USD</t>
        </is>
      </c>
      <c r="D20" t="n">
        <v>7.05</v>
      </c>
      <c r="E20" t="n">
        <v>7.05</v>
      </c>
      <c r="F20" t="n">
        <v>84.25</v>
      </c>
      <c r="G20" t="n">
        <v>594</v>
      </c>
    </row>
    <row r="21">
      <c r="A21" s="2" t="n">
        <v>45810</v>
      </c>
      <c r="B21" t="inlineStr">
        <is>
          <t>TGT(US87612E1064) Cash Dividend USD 1.12 per Share (Ordinary Dividend)</t>
        </is>
      </c>
      <c r="C21" t="inlineStr">
        <is>
          <t>USD</t>
        </is>
      </c>
      <c r="D21" t="n">
        <v>16.8</v>
      </c>
      <c r="E21" t="n">
        <v>16.8</v>
      </c>
      <c r="F21" t="n">
        <v>85.09999999999999</v>
      </c>
      <c r="G21" t="n">
        <v>1430</v>
      </c>
    </row>
    <row r="22">
      <c r="A22" s="2" t="n">
        <v>45813</v>
      </c>
      <c r="B22" t="inlineStr">
        <is>
          <t>TIP(US4642871762) Cash Dividend USD 0.273105 per Share (Ordinary Dividend)</t>
        </is>
      </c>
      <c r="C22" t="inlineStr">
        <is>
          <t>USD</t>
        </is>
      </c>
      <c r="D22" t="n">
        <v>9.01</v>
      </c>
      <c r="E22" t="n">
        <v>9.01</v>
      </c>
      <c r="F22" t="n">
        <v>85.09999999999999</v>
      </c>
      <c r="G22" t="n">
        <v>767</v>
      </c>
    </row>
    <row r="23">
      <c r="A23" s="2" t="n">
        <v>45818</v>
      </c>
      <c r="B23" t="inlineStr">
        <is>
          <t>LLY(US5324571083) Cash Dividend USD 1.50 per Share (Ordinary Dividend)</t>
        </is>
      </c>
      <c r="C23" t="inlineStr">
        <is>
          <t>USD</t>
        </is>
      </c>
      <c r="D23" t="n">
        <v>3</v>
      </c>
      <c r="E23" t="n">
        <v>3</v>
      </c>
      <c r="F23" t="n">
        <v>85.09999999999999</v>
      </c>
      <c r="G23" t="n">
        <v>255</v>
      </c>
    </row>
    <row r="24">
      <c r="A24" s="2" t="n">
        <v>45820</v>
      </c>
      <c r="B24" t="inlineStr">
        <is>
          <t>MSFT(US5949181045) Cash Dividend USD 0.83 per Share (Ordinary Dividend)</t>
        </is>
      </c>
      <c r="C24" t="inlineStr">
        <is>
          <t>USD</t>
        </is>
      </c>
      <c r="D24" t="n">
        <v>3.32</v>
      </c>
      <c r="E24" t="n">
        <v>3.32</v>
      </c>
      <c r="F24" t="n">
        <v>85.09999999999999</v>
      </c>
      <c r="G24" t="n">
        <v>283</v>
      </c>
    </row>
    <row r="25">
      <c r="A25" s="2" t="n">
        <v>45820</v>
      </c>
      <c r="B25" t="inlineStr">
        <is>
          <t>RTX(US75513E1010) Cash Dividend USD 0.68 per Share (Ordinary Dividend)</t>
        </is>
      </c>
      <c r="C25" t="inlineStr">
        <is>
          <t>USD</t>
        </is>
      </c>
      <c r="D25" t="n">
        <v>8.84</v>
      </c>
      <c r="E25" t="n">
        <v>8.84</v>
      </c>
      <c r="F25" t="n">
        <v>85.09999999999999</v>
      </c>
      <c r="G25" t="n">
        <v>752</v>
      </c>
    </row>
    <row r="26">
      <c r="A26" s="2" t="n">
        <v>45835</v>
      </c>
      <c r="B26" t="inlineStr">
        <is>
          <t>BAC(US0605051046) Cash Dividend USD 0.26 per Share (Ordinary Dividend)</t>
        </is>
      </c>
      <c r="C26" t="inlineStr">
        <is>
          <t>USD</t>
        </is>
      </c>
      <c r="D26" t="n">
        <v>6.24</v>
      </c>
      <c r="E26" t="n">
        <v>6.24</v>
      </c>
      <c r="F26" t="n">
        <v>85.09999999999999</v>
      </c>
      <c r="G26" t="n">
        <v>531</v>
      </c>
    </row>
    <row r="27">
      <c r="A27" s="2" t="n">
        <v>45835</v>
      </c>
      <c r="B27" t="inlineStr">
        <is>
          <t>DXJ(US97717W8516) Cash Dividend USD 1.34 per Share (Ordinary Dividend)</t>
        </is>
      </c>
      <c r="C27" t="inlineStr">
        <is>
          <t>USD</t>
        </is>
      </c>
      <c r="D27" t="n">
        <v>10.72</v>
      </c>
      <c r="E27" t="n">
        <v>10.72</v>
      </c>
      <c r="F27" t="n">
        <v>85.09999999999999</v>
      </c>
      <c r="G27" t="n">
        <v>912</v>
      </c>
    </row>
    <row r="28">
      <c r="A28" s="2" t="n">
        <v>45845</v>
      </c>
      <c r="B28" t="inlineStr">
        <is>
          <t>TIP(US4642871762) Cash Dividend USD 0.379923 per Share (Ordinary Dividend)</t>
        </is>
      </c>
      <c r="C28" t="inlineStr">
        <is>
          <t>USD</t>
        </is>
      </c>
      <c r="D28" t="n">
        <v>12.54</v>
      </c>
      <c r="E28" t="n">
        <v>12.54</v>
      </c>
      <c r="F28" t="n">
        <v>85.09999999999999</v>
      </c>
      <c r="G28" t="n">
        <v>1067</v>
      </c>
    </row>
    <row r="29">
      <c r="A29" s="2" t="n">
        <v>45848</v>
      </c>
      <c r="B29" t="inlineStr">
        <is>
          <t>CRM(US79466L3024) Cash Dividend USD 0.416 per Share (Ordinary Dividend)</t>
        </is>
      </c>
      <c r="C29" t="inlineStr">
        <is>
          <t>USD</t>
        </is>
      </c>
      <c r="D29" t="n">
        <v>107.33</v>
      </c>
      <c r="E29" t="n">
        <v>107.33</v>
      </c>
      <c r="F29" t="n">
        <v>85.09999999999999</v>
      </c>
      <c r="G29" t="n">
        <v>9134</v>
      </c>
    </row>
    <row r="30">
      <c r="A30" s="2" t="n">
        <v>45848</v>
      </c>
      <c r="B30" t="inlineStr">
        <is>
          <t>TSM(US8740391003) Cash Dividend USD 0.780305 per Share (Ordinary Div - NRA Withholding Exempt)</t>
        </is>
      </c>
      <c r="C30" t="inlineStr">
        <is>
          <t>USD</t>
        </is>
      </c>
      <c r="D30" t="n">
        <v>3.9</v>
      </c>
      <c r="E30" t="n">
        <v>3.9</v>
      </c>
      <c r="F30" t="n">
        <v>85.09999999999999</v>
      </c>
      <c r="G30" t="n">
        <v>332</v>
      </c>
    </row>
    <row r="31">
      <c r="A31" s="2" t="n">
        <v>45863</v>
      </c>
      <c r="B31" t="inlineStr">
        <is>
          <t>GE(US3696043013) Cash Dividend USD 0.36 per Share (Ordinary Dividend)</t>
        </is>
      </c>
      <c r="C31" t="inlineStr">
        <is>
          <t>USD</t>
        </is>
      </c>
      <c r="D31" t="n">
        <v>2.88</v>
      </c>
      <c r="E31" t="n">
        <v>2.88</v>
      </c>
      <c r="F31" t="n">
        <v>85.09999999999999</v>
      </c>
      <c r="G31" t="n">
        <v>245</v>
      </c>
    </row>
    <row r="32">
      <c r="A32" s="2" t="n">
        <v>45875</v>
      </c>
      <c r="B32" t="inlineStr">
        <is>
          <t>BTI(US1104481072) Cash Dividend USD 0.797416 per Share (Ordinary Dividend)</t>
        </is>
      </c>
      <c r="C32" t="inlineStr">
        <is>
          <t>USD</t>
        </is>
      </c>
      <c r="D32" t="n">
        <v>15.15</v>
      </c>
      <c r="E32" t="n">
        <v>15.15</v>
      </c>
      <c r="F32" t="n">
        <v>87.15000000000001</v>
      </c>
      <c r="G32" t="n">
        <v>1320</v>
      </c>
    </row>
    <row r="33">
      <c r="A33" s="2" t="n">
        <v>45875</v>
      </c>
      <c r="B33" t="inlineStr">
        <is>
          <t>TIP(US4642871762) Cash Dividend USD 0.264488 per Share (Ordinary Dividend)</t>
        </is>
      </c>
      <c r="C33" t="inlineStr">
        <is>
          <t>USD</t>
        </is>
      </c>
      <c r="D33" t="n">
        <v>8.73</v>
      </c>
      <c r="E33" t="n">
        <v>8.73</v>
      </c>
      <c r="F33" t="n">
        <v>87.15000000000001</v>
      </c>
      <c r="G33" t="n">
        <v>761</v>
      </c>
    </row>
    <row r="34">
      <c r="A34" s="2" t="n">
        <v>45877</v>
      </c>
      <c r="B34" t="inlineStr">
        <is>
          <t>AXP(US0258161092) Cash Dividend USD 0.82 per Share (Ordinary Dividend)</t>
        </is>
      </c>
      <c r="C34" t="inlineStr">
        <is>
          <t>USD</t>
        </is>
      </c>
      <c r="D34" t="n">
        <v>2.46</v>
      </c>
      <c r="E34" t="n">
        <v>2.46</v>
      </c>
      <c r="F34" t="n">
        <v>87.15000000000001</v>
      </c>
      <c r="G34" t="n">
        <v>214</v>
      </c>
    </row>
    <row r="35">
      <c r="A35" s="2" t="n">
        <v>45889</v>
      </c>
      <c r="B35" t="inlineStr">
        <is>
          <t>CAT(US1491231015) Cash Dividend USD 1.51 per Share (Ordinary Dividend)</t>
        </is>
      </c>
      <c r="C35" t="inlineStr">
        <is>
          <t>USD</t>
        </is>
      </c>
      <c r="D35" t="n">
        <v>7.55</v>
      </c>
      <c r="E35" t="n">
        <v>7.55</v>
      </c>
      <c r="F35" t="n">
        <v>87.15000000000001</v>
      </c>
      <c r="G35" t="n">
        <v>658</v>
      </c>
    </row>
    <row r="36">
      <c r="A36" s="2" t="n">
        <v>45905</v>
      </c>
      <c r="B36" t="inlineStr">
        <is>
          <t>TIP(US4642871762) Cash Dividend USD 0.417238 per Share (Ordinary Dividend)</t>
        </is>
      </c>
      <c r="C36" t="inlineStr">
        <is>
          <t>USD</t>
        </is>
      </c>
      <c r="D36" t="n">
        <v>13.77</v>
      </c>
      <c r="E36" t="n">
        <v>13.77</v>
      </c>
      <c r="F36" t="n">
        <v>87.7</v>
      </c>
      <c r="G36" t="n">
        <v>1208</v>
      </c>
    </row>
    <row r="37">
      <c r="A37" s="2" t="n">
        <v>45915</v>
      </c>
      <c r="B37" t="inlineStr">
        <is>
          <t>GOOG(US02079K1079) Cash Dividend USD 0.21 per Share (Ordinary Dividend)</t>
        </is>
      </c>
      <c r="C37" t="inlineStr">
        <is>
          <t>USD</t>
        </is>
      </c>
      <c r="D37" t="n">
        <v>0.63</v>
      </c>
      <c r="E37" t="n">
        <v>0.63</v>
      </c>
      <c r="F37" t="n">
        <v>87.7</v>
      </c>
      <c r="G37" t="n">
        <v>55</v>
      </c>
    </row>
    <row r="38">
      <c r="A38" s="2" t="n">
        <v>45919</v>
      </c>
      <c r="B38" t="inlineStr">
        <is>
          <t>IWR(US4642874998) Cash Dividend USD 0.322439 per Share (Ordinary Dividend)</t>
        </is>
      </c>
      <c r="C38" t="inlineStr">
        <is>
          <t>USD</t>
        </is>
      </c>
      <c r="D38" t="n">
        <v>3.87</v>
      </c>
      <c r="E38" t="n">
        <v>3.87</v>
      </c>
      <c r="F38" t="n">
        <v>87.7</v>
      </c>
      <c r="G38" t="n">
        <v>339</v>
      </c>
    </row>
    <row r="39">
      <c r="A39" s="2" t="n">
        <v>45923</v>
      </c>
      <c r="B39" t="inlineStr">
        <is>
          <t>VT(US9220427424) Cash Dividend USD 0.4781 per Share (Ordinary Dividend)</t>
        </is>
      </c>
      <c r="C39" t="inlineStr">
        <is>
          <t>USD</t>
        </is>
      </c>
      <c r="D39" t="n">
        <v>6.69</v>
      </c>
      <c r="E39" t="n">
        <v>6.69</v>
      </c>
      <c r="F39" t="n">
        <v>87.7</v>
      </c>
      <c r="G39" t="n">
        <v>587</v>
      </c>
    </row>
    <row r="40">
      <c r="A40" s="2" t="n">
        <v>45931</v>
      </c>
      <c r="B40" t="inlineStr">
        <is>
          <t>VTV(US9229087443) Cash Dividend USD 0.9433 per Share (Ordinary Dividend)</t>
        </is>
      </c>
      <c r="C40" t="inlineStr">
        <is>
          <t>USD</t>
        </is>
      </c>
      <c r="D40" t="n">
        <v>5.66</v>
      </c>
      <c r="E40" t="n">
        <v>5.66</v>
      </c>
      <c r="F40" t="n">
        <v>88.34999999999999</v>
      </c>
      <c r="G40" t="n">
        <v>500</v>
      </c>
    </row>
    <row r="41">
      <c r="A41" s="2" t="n">
        <v>45932</v>
      </c>
      <c r="B41" t="inlineStr">
        <is>
          <t>NVDA(US67066G1040) Cash Dividend USD 0.01 per Share (Ordinary Dividend)</t>
        </is>
      </c>
      <c r="C41" t="inlineStr">
        <is>
          <t>USD</t>
        </is>
      </c>
      <c r="D41" t="n">
        <v>0.06</v>
      </c>
      <c r="E41" t="n">
        <v>0.06</v>
      </c>
      <c r="F41" t="n">
        <v>88.34999999999999</v>
      </c>
      <c r="G41" t="n">
        <v>5</v>
      </c>
    </row>
    <row r="42">
      <c r="A42" s="2" t="n">
        <v>45936</v>
      </c>
      <c r="B42" t="inlineStr">
        <is>
          <t>IEF(US4642874402) Cash Dividend USD 0.294485 per Share (Ordinary Dividend)</t>
        </is>
      </c>
      <c r="C42" t="inlineStr">
        <is>
          <t>USD</t>
        </is>
      </c>
      <c r="D42" t="n">
        <v>3.53</v>
      </c>
      <c r="E42" t="n">
        <v>3.53</v>
      </c>
      <c r="F42" t="n">
        <v>88.34999999999999</v>
      </c>
      <c r="G42" t="n">
        <v>312</v>
      </c>
    </row>
    <row r="43">
      <c r="A43" s="2" t="n">
        <v>45936</v>
      </c>
      <c r="B43" t="inlineStr">
        <is>
          <t>TIP(US4642871762) Cash Dividend USD 0.198069 per Share (Ordinary Dividend)</t>
        </is>
      </c>
      <c r="C43" t="inlineStr">
        <is>
          <t>USD</t>
        </is>
      </c>
      <c r="D43" t="n">
        <v>6.54</v>
      </c>
      <c r="E43" t="n">
        <v>6.54</v>
      </c>
      <c r="F43" t="n">
        <v>88.34999999999999</v>
      </c>
      <c r="G43" t="n">
        <v>578</v>
      </c>
    </row>
    <row r="44">
      <c r="A44" s="2" t="n">
        <v>45939</v>
      </c>
      <c r="B44" t="inlineStr">
        <is>
          <t>CRM(US79466L3024) Cash Dividend USD 0.416 per Share (Ordinary Dividend)</t>
        </is>
      </c>
      <c r="C44" t="inlineStr">
        <is>
          <t>USD</t>
        </is>
      </c>
      <c r="D44" t="n">
        <v>107.33</v>
      </c>
      <c r="E44" t="n">
        <v>107.33</v>
      </c>
      <c r="F44" t="n">
        <v>88.34999999999999</v>
      </c>
      <c r="G44" t="n">
        <v>9483</v>
      </c>
    </row>
    <row r="45">
      <c r="A45" s="2" t="n">
        <v>45961</v>
      </c>
      <c r="B45" t="inlineStr">
        <is>
          <t>QQQ(US46090E1038) Cash Dividend USD 0.69395 per Share (Ordinary Dividend)</t>
        </is>
      </c>
      <c r="C45" t="inlineStr">
        <is>
          <t>USD</t>
        </is>
      </c>
      <c r="D45" t="n">
        <v>1.39</v>
      </c>
      <c r="E45" t="n">
        <v>1.39</v>
      </c>
      <c r="F45" t="n">
        <v>88.34999999999999</v>
      </c>
      <c r="G45" t="n">
        <v>123</v>
      </c>
    </row>
    <row r="46">
      <c r="A46" s="2" t="n">
        <v>45967</v>
      </c>
      <c r="B46" t="inlineStr">
        <is>
          <t>IEF(US4642874402) Cash Dividend USD 0.303792 per Share (Ordinary Dividend)</t>
        </is>
      </c>
      <c r="C46" t="inlineStr">
        <is>
          <t>USD</t>
        </is>
      </c>
      <c r="D46" t="n">
        <v>3.65</v>
      </c>
      <c r="E46" t="n">
        <v>3.65</v>
      </c>
      <c r="F46" t="n">
        <v>88.2</v>
      </c>
      <c r="G46" t="n">
        <v>322</v>
      </c>
    </row>
    <row r="47">
      <c r="A47" s="2" t="n">
        <v>45967</v>
      </c>
      <c r="B47" t="inlineStr">
        <is>
          <t>TIP(US4642871762) Cash Dividend USD 0.360933 per Share (Ordinary Dividend)</t>
        </is>
      </c>
      <c r="C47" t="inlineStr">
        <is>
          <t>USD</t>
        </is>
      </c>
      <c r="D47" t="n">
        <v>11.91</v>
      </c>
      <c r="E47" t="n">
        <v>11.91</v>
      </c>
      <c r="F47" t="n">
        <v>88.2</v>
      </c>
      <c r="G47" t="n">
        <v>1050</v>
      </c>
    </row>
    <row r="48">
      <c r="A48" s="2" t="n">
        <v>45974</v>
      </c>
      <c r="B48" t="inlineStr">
        <is>
          <t>AAPL(US0378331005) Cash Dividend USD 0.26 per Share (Ordinary Dividend)</t>
        </is>
      </c>
      <c r="C48" t="inlineStr">
        <is>
          <t>USD</t>
        </is>
      </c>
      <c r="D48" t="n">
        <v>0.78</v>
      </c>
      <c r="E48" t="n">
        <v>0.78</v>
      </c>
      <c r="F48" t="n">
        <v>88.2</v>
      </c>
      <c r="G48" t="n">
        <v>69</v>
      </c>
    </row>
    <row r="49">
      <c r="A49" s="2" t="n">
        <v>45974</v>
      </c>
      <c r="B49" t="inlineStr">
        <is>
          <t>BTI(US1104481072) Cash Dividend USD 0.788257 per Share (Ordinary Dividend)</t>
        </is>
      </c>
      <c r="C49" t="inlineStr">
        <is>
          <t>USD</t>
        </is>
      </c>
      <c r="D49" t="n">
        <v>19.71</v>
      </c>
      <c r="E49" t="n">
        <v>19.71</v>
      </c>
      <c r="F49" t="n">
        <v>88.2</v>
      </c>
      <c r="G49" t="n">
        <v>1738</v>
      </c>
    </row>
    <row r="50">
      <c r="A50" s="2" t="n">
        <v>45992</v>
      </c>
      <c r="B50" t="inlineStr">
        <is>
          <t>WFC(US9497461015) Cash Dividend USD 0.45 per Share (Ordinary Dividend)</t>
        </is>
      </c>
      <c r="C50" t="inlineStr">
        <is>
          <t>USD</t>
        </is>
      </c>
      <c r="D50" t="n">
        <v>14.85</v>
      </c>
      <c r="E50" t="n">
        <v>14.85</v>
      </c>
      <c r="F50" t="n">
        <v>88.95</v>
      </c>
      <c r="G50" t="n">
        <v>1321</v>
      </c>
    </row>
    <row r="51">
      <c r="A51" s="2" t="n">
        <v>45995</v>
      </c>
      <c r="B51" t="inlineStr">
        <is>
          <t>IEF(US4642874402) Cash Dividend USD 0.288439 per Share (Ordinary Dividend)</t>
        </is>
      </c>
      <c r="C51" t="inlineStr">
        <is>
          <t>USD</t>
        </is>
      </c>
      <c r="D51" t="n">
        <v>3.46</v>
      </c>
      <c r="E51" t="n">
        <v>3.46</v>
      </c>
      <c r="F51" t="n">
        <v>88.95</v>
      </c>
      <c r="G51" t="n">
        <v>308</v>
      </c>
    </row>
    <row r="52">
      <c r="A52" s="2" t="n">
        <v>45995</v>
      </c>
      <c r="B52" t="inlineStr">
        <is>
          <t>TIP(US4642871762) Cash Dividend USD 0.322417 per Share (Ordinary Dividend)</t>
        </is>
      </c>
      <c r="C52" t="inlineStr">
        <is>
          <t>USD</t>
        </is>
      </c>
      <c r="D52" t="n">
        <v>10.64</v>
      </c>
      <c r="E52" t="n">
        <v>10.64</v>
      </c>
      <c r="F52" t="n">
        <v>88.95</v>
      </c>
      <c r="G52" t="n">
        <v>946</v>
      </c>
    </row>
    <row r="53">
      <c r="A53" s="2" t="n">
        <v>46001</v>
      </c>
      <c r="B53" t="inlineStr">
        <is>
          <t>LLY(US5324571083) Cash Dividend USD 1.50 per Share (Ordinary Dividend)</t>
        </is>
      </c>
      <c r="C53" t="inlineStr">
        <is>
          <t>USD</t>
        </is>
      </c>
      <c r="D53" t="n">
        <v>2.25</v>
      </c>
      <c r="E53" t="n">
        <v>2.25</v>
      </c>
      <c r="F53" t="n">
        <v>88.95</v>
      </c>
      <c r="G53" t="n">
        <v>200</v>
      </c>
    </row>
    <row r="54">
      <c r="A54" s="2" t="n">
        <v>46001</v>
      </c>
      <c r="B54" t="inlineStr">
        <is>
          <t>XOM(US30231G1022) Cash Dividend USD 1.03 per Share (Ordinary Dividend)</t>
        </is>
      </c>
      <c r="C54" t="inlineStr">
        <is>
          <t>USD</t>
        </is>
      </c>
      <c r="D54" t="n">
        <v>12.36</v>
      </c>
      <c r="E54" t="n">
        <v>12.36</v>
      </c>
      <c r="F54" t="n">
        <v>88.95</v>
      </c>
      <c r="G54" t="n">
        <v>1099</v>
      </c>
    </row>
    <row r="55">
      <c r="A55" s="2" t="n">
        <v>46006</v>
      </c>
      <c r="B55" t="inlineStr">
        <is>
          <t>GOOG(US02079K1079) Cash Dividend USD 0.21 per Share (Ordinary Dividend)</t>
        </is>
      </c>
      <c r="C55" t="inlineStr">
        <is>
          <t>USD</t>
        </is>
      </c>
      <c r="D55" t="n">
        <v>0.63</v>
      </c>
      <c r="E55" t="n">
        <v>0.63</v>
      </c>
      <c r="F55" t="n">
        <v>88.95</v>
      </c>
      <c r="G55" t="n">
        <v>56</v>
      </c>
    </row>
    <row r="56">
      <c r="A56" s="2" t="n">
        <v>46009</v>
      </c>
      <c r="B56" t="inlineStr">
        <is>
          <t>QCOM(US7475251036) Cash Dividend USD 0.89 per Share (Ordinary Dividend)</t>
        </is>
      </c>
      <c r="C56" t="inlineStr">
        <is>
          <t>USD</t>
        </is>
      </c>
      <c r="D56" t="n">
        <v>8.01</v>
      </c>
      <c r="E56" t="n">
        <v>8.01</v>
      </c>
      <c r="F56" t="n">
        <v>88.95</v>
      </c>
      <c r="G56" t="n">
        <v>712</v>
      </c>
    </row>
    <row r="57">
      <c r="A57" s="2" t="n">
        <v>46010</v>
      </c>
      <c r="B57" t="inlineStr">
        <is>
          <t>AAXJ(US4642881829) Cash Dividend USD 1.12455 per Share (Ordinary Dividend)</t>
        </is>
      </c>
      <c r="C57" t="inlineStr">
        <is>
          <t>USD</t>
        </is>
      </c>
      <c r="D57" t="n">
        <v>9</v>
      </c>
      <c r="E57" t="n">
        <v>9</v>
      </c>
      <c r="F57" t="n">
        <v>88.95</v>
      </c>
      <c r="G57" t="n">
        <v>801</v>
      </c>
    </row>
    <row r="58">
      <c r="A58" s="2" t="n">
        <v>46010</v>
      </c>
      <c r="B58" t="inlineStr">
        <is>
          <t>ICLN(US4642882249) Cash Dividend USD 0.128205 per Share (Ordinary Dividend)</t>
        </is>
      </c>
      <c r="C58" t="inlineStr">
        <is>
          <t>USD</t>
        </is>
      </c>
      <c r="D58" t="n">
        <v>6.41</v>
      </c>
      <c r="E58" t="n">
        <v>6.41</v>
      </c>
      <c r="F58" t="n">
        <v>88.95</v>
      </c>
      <c r="G58" t="n">
        <v>570</v>
      </c>
    </row>
    <row r="59">
      <c r="A59" s="2" t="n">
        <v>46010</v>
      </c>
      <c r="B59" t="inlineStr">
        <is>
          <t>IWR(US4642874998) Cash Dividend USD 0.393709 per Share (Ordinary Dividend)</t>
        </is>
      </c>
      <c r="C59" t="inlineStr">
        <is>
          <t>USD</t>
        </is>
      </c>
      <c r="D59" t="n">
        <v>4.72</v>
      </c>
      <c r="E59" t="n">
        <v>4.72</v>
      </c>
      <c r="F59" t="n">
        <v>88.95</v>
      </c>
      <c r="G59" t="n">
        <v>420</v>
      </c>
    </row>
    <row r="60">
      <c r="A60" s="2" t="n">
        <v>46014</v>
      </c>
      <c r="B60" t="inlineStr">
        <is>
          <t>META(US30303M1027) Cash Dividend USD 0.525 per Share (Ordinary Dividend)</t>
        </is>
      </c>
      <c r="C60" t="inlineStr">
        <is>
          <t>USD</t>
        </is>
      </c>
      <c r="D60" t="n">
        <v>1.58</v>
      </c>
      <c r="E60" t="n">
        <v>1.58</v>
      </c>
      <c r="F60" t="n">
        <v>88.95</v>
      </c>
      <c r="G60" t="n">
        <v>141</v>
      </c>
    </row>
    <row r="61">
      <c r="A61" s="2" t="n">
        <v>46014</v>
      </c>
      <c r="B61" t="inlineStr">
        <is>
          <t>VT(US9220427424) Cash Dividend USD 1.1152 per Share (Ordinary Dividend)</t>
        </is>
      </c>
      <c r="C61" t="inlineStr">
        <is>
          <t>USD</t>
        </is>
      </c>
      <c r="D61" t="n">
        <v>15.61</v>
      </c>
      <c r="E61" t="n">
        <v>15.61</v>
      </c>
      <c r="F61" t="n">
        <v>88.95</v>
      </c>
      <c r="G61" t="n">
        <v>1389</v>
      </c>
    </row>
    <row r="62">
      <c r="A62" s="2" t="n">
        <v>46015</v>
      </c>
      <c r="B62" t="inlineStr">
        <is>
          <t>IEF(US4642874402) Cash Dividend USD 0.312713 per Share (Ordinary Dividend)</t>
        </is>
      </c>
      <c r="C62" t="inlineStr">
        <is>
          <t>USD</t>
        </is>
      </c>
      <c r="D62" t="n">
        <v>3.75</v>
      </c>
      <c r="E62" t="n">
        <v>3.75</v>
      </c>
      <c r="F62" t="n">
        <v>88.95</v>
      </c>
      <c r="G62" t="n">
        <v>334</v>
      </c>
    </row>
    <row r="63">
      <c r="A63" s="2" t="n">
        <v>46015</v>
      </c>
      <c r="B63" t="inlineStr">
        <is>
          <t>TIP(US4642871762) Cash Dividend USD 0.341961 per Share (Ordinary Dividend)</t>
        </is>
      </c>
      <c r="C63" t="inlineStr">
        <is>
          <t>USD</t>
        </is>
      </c>
      <c r="D63" t="n">
        <v>11.28</v>
      </c>
      <c r="E63" t="n">
        <v>11.28</v>
      </c>
      <c r="F63" t="n">
        <v>88.95</v>
      </c>
      <c r="G63" t="n">
        <v>1003</v>
      </c>
    </row>
    <row r="64">
      <c r="A64" s="2" t="n">
        <v>46015</v>
      </c>
      <c r="B64" t="inlineStr">
        <is>
          <t>VTV(US9229087443) Cash Dividend USD 0.9862 per Share (Ordinary Dividend)</t>
        </is>
      </c>
      <c r="C64" t="inlineStr">
        <is>
          <t>USD</t>
        </is>
      </c>
      <c r="D64" t="n">
        <v>5.92</v>
      </c>
      <c r="E64" t="n">
        <v>5.92</v>
      </c>
      <c r="F64" t="n">
        <v>88.95</v>
      </c>
      <c r="G64" t="n">
        <v>527</v>
      </c>
    </row>
    <row r="65">
      <c r="A65" s="2" t="n">
        <v>46017</v>
      </c>
      <c r="B65" t="inlineStr">
        <is>
          <t>NVDA(US67066G1040) Cash Dividend USD 0.01 per Share (Ordinary Dividend)</t>
        </is>
      </c>
      <c r="C65" t="inlineStr">
        <is>
          <t>USD</t>
        </is>
      </c>
      <c r="D65" t="n">
        <v>0.06</v>
      </c>
      <c r="E65" t="n">
        <v>0.06</v>
      </c>
      <c r="F65" t="n">
        <v>88.95</v>
      </c>
      <c r="G65" t="n">
        <v>5</v>
      </c>
    </row>
    <row r="66">
      <c r="A66" s="2" t="n">
        <v>46022</v>
      </c>
      <c r="B66" t="inlineStr">
        <is>
          <t>QQQ(US46090E1038) Cash Dividend USD 0.79408 per Share (Ordinary Dividend)</t>
        </is>
      </c>
      <c r="C66" t="inlineStr">
        <is>
          <t>USD</t>
        </is>
      </c>
      <c r="D66" t="n">
        <v>1.59</v>
      </c>
      <c r="E66" t="n">
        <v>1.59</v>
      </c>
      <c r="F66" t="n">
        <v>88.95</v>
      </c>
      <c r="G66" t="n">
        <v>141</v>
      </c>
    </row>
    <row r="67">
      <c r="B67" t="inlineStr">
        <is>
          <t>TOTAL DIVIDENDS</t>
        </is>
      </c>
      <c r="E67" t="n">
        <v>853.09</v>
      </c>
      <c r="G67" t="n">
        <v>74134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Debit Interest for Mar-2025</t>
        </is>
      </c>
      <c r="C4" t="inlineStr">
        <is>
          <t>USD</t>
        </is>
      </c>
      <c r="D4" t="n">
        <v>-0.03</v>
      </c>
      <c r="E4" t="n">
        <v>-0.03</v>
      </c>
      <c r="F4" t="n">
        <v>85.09999999999999</v>
      </c>
      <c r="G4" t="n">
        <v>-3</v>
      </c>
    </row>
    <row r="5">
      <c r="A5" s="2" t="n">
        <v>45874</v>
      </c>
      <c r="B5" t="inlineStr">
        <is>
          <t>USD Credit Interest for Jul-2025</t>
        </is>
      </c>
      <c r="C5" t="inlineStr">
        <is>
          <t>USD</t>
        </is>
      </c>
      <c r="D5" t="n">
        <v>6.32</v>
      </c>
      <c r="E5" t="n">
        <v>6.32</v>
      </c>
      <c r="F5" t="n">
        <v>87.15000000000001</v>
      </c>
      <c r="G5" t="n">
        <v>551</v>
      </c>
    </row>
    <row r="6">
      <c r="A6" s="2" t="n">
        <v>45904</v>
      </c>
      <c r="B6" t="inlineStr">
        <is>
          <t>USD Credit Interest for Aug-2025</t>
        </is>
      </c>
      <c r="C6" t="inlineStr">
        <is>
          <t>USD</t>
        </is>
      </c>
      <c r="D6" t="n">
        <v>48.36</v>
      </c>
      <c r="E6" t="n">
        <v>48.36</v>
      </c>
      <c r="F6" t="n">
        <v>87.7</v>
      </c>
      <c r="G6" t="n">
        <v>4241</v>
      </c>
    </row>
    <row r="7">
      <c r="A7" s="2" t="n">
        <v>45933</v>
      </c>
      <c r="B7" t="inlineStr">
        <is>
          <t>USD Credit Interest for Sep-2025</t>
        </is>
      </c>
      <c r="C7" t="inlineStr">
        <is>
          <t>USD</t>
        </is>
      </c>
      <c r="D7" t="n">
        <v>10.85</v>
      </c>
      <c r="E7" t="n">
        <v>10.85</v>
      </c>
      <c r="F7" t="n">
        <v>88.34999999999999</v>
      </c>
      <c r="G7" t="n">
        <v>959</v>
      </c>
    </row>
    <row r="8">
      <c r="A8" s="2" t="n">
        <v>45966</v>
      </c>
      <c r="B8" t="inlineStr">
        <is>
          <t>USD Debit Interest for Oct-2025</t>
        </is>
      </c>
      <c r="C8" t="inlineStr">
        <is>
          <t>USD</t>
        </is>
      </c>
      <c r="D8" t="n">
        <v>-0.04</v>
      </c>
      <c r="E8" t="n">
        <v>-0.04</v>
      </c>
      <c r="F8" t="n">
        <v>88.2</v>
      </c>
      <c r="G8" t="n">
        <v>-4</v>
      </c>
    </row>
    <row r="9">
      <c r="A9" s="2" t="n">
        <v>46057</v>
      </c>
      <c r="B9" t="inlineStr">
        <is>
          <t>USD Debit Interest for Jan-2026</t>
        </is>
      </c>
      <c r="C9" t="inlineStr">
        <is>
          <t>USD</t>
        </is>
      </c>
      <c r="D9" t="n">
        <v>-0.08</v>
      </c>
      <c r="E9" t="n">
        <v>-0.08</v>
      </c>
      <c r="F9" t="n">
        <v>91.34999999999999</v>
      </c>
      <c r="G9" t="n">
        <v>-7</v>
      </c>
    </row>
    <row r="10">
      <c r="B10" t="inlineStr">
        <is>
          <t>TOTAL INTEREST</t>
        </is>
      </c>
      <c r="E10" t="n">
        <v>65.38</v>
      </c>
      <c r="G10" t="n">
        <v>5737</v>
      </c>
    </row>
    <row r="11"/>
    <row r="12">
      <c r="A12" t="inlineStr">
        <is>
          <t>— DIVIDENDS —</t>
        </is>
      </c>
    </row>
    <row r="13">
      <c r="A13" s="2" t="n">
        <v>45771</v>
      </c>
      <c r="B13" t="inlineStr">
        <is>
          <t>CRM(US79466L3024) Cash Dividend USD 0.416 per Share (Ordinary Dividend)</t>
        </is>
      </c>
      <c r="C13" t="inlineStr">
        <is>
          <t>USD</t>
        </is>
      </c>
      <c r="D13" t="n">
        <v>123.97</v>
      </c>
      <c r="E13" t="n">
        <v>123.97</v>
      </c>
      <c r="F13" t="n">
        <v>85.09999999999999</v>
      </c>
      <c r="G13" t="n">
        <v>10550</v>
      </c>
    </row>
    <row r="14">
      <c r="A14" s="2" t="n">
        <v>45782</v>
      </c>
      <c r="B14" t="inlineStr">
        <is>
          <t>BX(US09260D1072) Cash Dividend USD 0.93 per Share (Ordinary Dividend)</t>
        </is>
      </c>
      <c r="C14" t="inlineStr">
        <is>
          <t>USD</t>
        </is>
      </c>
      <c r="D14" t="n">
        <v>5.58</v>
      </c>
      <c r="E14" t="n">
        <v>5.58</v>
      </c>
      <c r="F14" t="n">
        <v>84.25</v>
      </c>
      <c r="G14" t="n">
        <v>470</v>
      </c>
    </row>
    <row r="15">
      <c r="A15" s="2" t="n">
        <v>45783</v>
      </c>
      <c r="B15" t="inlineStr">
        <is>
          <t>ASML(NL0010273215) Cash Dividend EUR 1.84 per Share (Ordinary Dividend)</t>
        </is>
      </c>
      <c r="C15" t="inlineStr">
        <is>
          <t>EUR</t>
        </is>
      </c>
      <c r="D15" t="n">
        <v>5.52</v>
      </c>
      <c r="E15" t="n">
        <v>6.4838</v>
      </c>
      <c r="F15" t="n">
        <v>84.25</v>
      </c>
      <c r="G15" t="n">
        <v>546</v>
      </c>
    </row>
    <row r="16">
      <c r="A16" s="2" t="n">
        <v>45783</v>
      </c>
      <c r="B16" t="inlineStr">
        <is>
          <t>TIP(US4642871762) Cash Dividend USD 0.534953 per Share (Ordinary Dividend)</t>
        </is>
      </c>
      <c r="C16" t="inlineStr">
        <is>
          <t>USD</t>
        </is>
      </c>
      <c r="D16" t="n">
        <v>17.65</v>
      </c>
      <c r="E16" t="n">
        <v>17.65</v>
      </c>
      <c r="F16" t="n">
        <v>84.25</v>
      </c>
      <c r="G16" t="n">
        <v>1487</v>
      </c>
    </row>
    <row r="17">
      <c r="A17" s="2" t="n">
        <v>45797</v>
      </c>
      <c r="B17" t="inlineStr">
        <is>
          <t>CAT(US1491231015) Cash Dividend USD 1.41 per Share (Ordinary Dividend)</t>
        </is>
      </c>
      <c r="C17" t="inlineStr">
        <is>
          <t>USD</t>
        </is>
      </c>
      <c r="D17" t="n">
        <v>7.05</v>
      </c>
      <c r="E17" t="n">
        <v>7.05</v>
      </c>
      <c r="F17" t="n">
        <v>84.25</v>
      </c>
      <c r="G17" t="n">
        <v>594</v>
      </c>
    </row>
    <row r="18">
      <c r="A18" s="2" t="n">
        <v>45810</v>
      </c>
      <c r="B18" t="inlineStr">
        <is>
          <t>TGT(US87612E1064) Cash Dividend USD 1.12 per Share (Ordinary Dividend)</t>
        </is>
      </c>
      <c r="C18" t="inlineStr">
        <is>
          <t>USD</t>
        </is>
      </c>
      <c r="D18" t="n">
        <v>16.8</v>
      </c>
      <c r="E18" t="n">
        <v>16.8</v>
      </c>
      <c r="F18" t="n">
        <v>85.09999999999999</v>
      </c>
      <c r="G18" t="n">
        <v>1430</v>
      </c>
    </row>
    <row r="19">
      <c r="A19" s="2" t="n">
        <v>45813</v>
      </c>
      <c r="B19" t="inlineStr">
        <is>
          <t>TIP(US4642871762) Cash Dividend USD 0.273105 per Share (Ordinary Dividend)</t>
        </is>
      </c>
      <c r="C19" t="inlineStr">
        <is>
          <t>USD</t>
        </is>
      </c>
      <c r="D19" t="n">
        <v>9.01</v>
      </c>
      <c r="E19" t="n">
        <v>9.01</v>
      </c>
      <c r="F19" t="n">
        <v>85.09999999999999</v>
      </c>
      <c r="G19" t="n">
        <v>767</v>
      </c>
    </row>
    <row r="20">
      <c r="A20" s="2" t="n">
        <v>45818</v>
      </c>
      <c r="B20" t="inlineStr">
        <is>
          <t>LLY(US5324571083) Cash Dividend USD 1.50 per Share (Ordinary Dividend)</t>
        </is>
      </c>
      <c r="C20" t="inlineStr">
        <is>
          <t>USD</t>
        </is>
      </c>
      <c r="D20" t="n">
        <v>3</v>
      </c>
      <c r="E20" t="n">
        <v>3</v>
      </c>
      <c r="F20" t="n">
        <v>85.09999999999999</v>
      </c>
      <c r="G20" t="n">
        <v>255</v>
      </c>
    </row>
    <row r="21">
      <c r="A21" s="2" t="n">
        <v>45820</v>
      </c>
      <c r="B21" t="inlineStr">
        <is>
          <t>MSFT(US5949181045) Cash Dividend USD 0.83 per Share (Ordinary Dividend)</t>
        </is>
      </c>
      <c r="C21" t="inlineStr">
        <is>
          <t>USD</t>
        </is>
      </c>
      <c r="D21" t="n">
        <v>3.32</v>
      </c>
      <c r="E21" t="n">
        <v>3.32</v>
      </c>
      <c r="F21" t="n">
        <v>85.09999999999999</v>
      </c>
      <c r="G21" t="n">
        <v>283</v>
      </c>
    </row>
    <row r="22">
      <c r="A22" s="2" t="n">
        <v>45820</v>
      </c>
      <c r="B22" t="inlineStr">
        <is>
          <t>RTX(US75513E1010) Cash Dividend USD 0.68 per Share (Ordinary Dividend)</t>
        </is>
      </c>
      <c r="C22" t="inlineStr">
        <is>
          <t>USD</t>
        </is>
      </c>
      <c r="D22" t="n">
        <v>8.84</v>
      </c>
      <c r="E22" t="n">
        <v>8.84</v>
      </c>
      <c r="F22" t="n">
        <v>85.09999999999999</v>
      </c>
      <c r="G22" t="n">
        <v>752</v>
      </c>
    </row>
    <row r="23">
      <c r="A23" s="2" t="n">
        <v>45831</v>
      </c>
      <c r="B23" t="inlineStr">
        <is>
          <t>SHELL.DVD(NL0015002HW4) Expire Dividend Right (Ordinary Dividend)</t>
        </is>
      </c>
      <c r="C23" t="inlineStr">
        <is>
          <t>EUR</t>
        </is>
      </c>
      <c r="D23" t="n">
        <v>37.63</v>
      </c>
      <c r="E23" t="n">
        <v>44.2002</v>
      </c>
      <c r="F23" t="n">
        <v>85.09999999999999</v>
      </c>
      <c r="G23" t="n">
        <v>3761</v>
      </c>
    </row>
    <row r="24">
      <c r="A24" s="2" t="n">
        <v>45835</v>
      </c>
      <c r="B24" t="inlineStr">
        <is>
          <t>BAC(US0605051046) Cash Dividend USD 0.26 per Share (Ordinary Dividend)</t>
        </is>
      </c>
      <c r="C24" t="inlineStr">
        <is>
          <t>USD</t>
        </is>
      </c>
      <c r="D24" t="n">
        <v>6.24</v>
      </c>
      <c r="E24" t="n">
        <v>6.24</v>
      </c>
      <c r="F24" t="n">
        <v>85.09999999999999</v>
      </c>
      <c r="G24" t="n">
        <v>531</v>
      </c>
    </row>
    <row r="25">
      <c r="A25" s="2" t="n">
        <v>45835</v>
      </c>
      <c r="B25" t="inlineStr">
        <is>
          <t>DXJ(US97717W8516) Cash Dividend USD 1.34 per Share (Ordinary Dividend)</t>
        </is>
      </c>
      <c r="C25" t="inlineStr">
        <is>
          <t>USD</t>
        </is>
      </c>
      <c r="D25" t="n">
        <v>10.72</v>
      </c>
      <c r="E25" t="n">
        <v>10.72</v>
      </c>
      <c r="F25" t="n">
        <v>85.09999999999999</v>
      </c>
      <c r="G25" t="n">
        <v>912</v>
      </c>
    </row>
    <row r="26">
      <c r="A26" s="2" t="n">
        <v>45845</v>
      </c>
      <c r="B26" t="inlineStr">
        <is>
          <t>TIP(US4642871762) Cash Dividend USD 0.379923 per Share (Ordinary Dividend)</t>
        </is>
      </c>
      <c r="C26" t="inlineStr">
        <is>
          <t>USD</t>
        </is>
      </c>
      <c r="D26" t="n">
        <v>12.54</v>
      </c>
      <c r="E26" t="n">
        <v>12.54</v>
      </c>
      <c r="F26" t="n">
        <v>85.09999999999999</v>
      </c>
      <c r="G26" t="n">
        <v>1067</v>
      </c>
    </row>
    <row r="27">
      <c r="A27" s="2" t="n">
        <v>45848</v>
      </c>
      <c r="B27" t="inlineStr">
        <is>
          <t>CRM(US79466L3024) Cash Dividend USD 0.416 per Share (Ordinary Dividend)</t>
        </is>
      </c>
      <c r="C27" t="inlineStr">
        <is>
          <t>USD</t>
        </is>
      </c>
      <c r="D27" t="n">
        <v>107.33</v>
      </c>
      <c r="E27" t="n">
        <v>107.33</v>
      </c>
      <c r="F27" t="n">
        <v>85.09999999999999</v>
      </c>
      <c r="G27" t="n">
        <v>9134</v>
      </c>
    </row>
    <row r="28">
      <c r="A28" s="2" t="n">
        <v>45848</v>
      </c>
      <c r="B28" t="inlineStr">
        <is>
          <t>TSM(US8740391003) Cash Dividend USD 0.780305 per Share (Ordinary Div - NRA Withholding Exempt)</t>
        </is>
      </c>
      <c r="C28" t="inlineStr">
        <is>
          <t>USD</t>
        </is>
      </c>
      <c r="D28" t="n">
        <v>3.9</v>
      </c>
      <c r="E28" t="n">
        <v>3.9</v>
      </c>
      <c r="F28" t="n">
        <v>85.09999999999999</v>
      </c>
      <c r="G28" t="n">
        <v>332</v>
      </c>
    </row>
    <row r="29">
      <c r="A29" s="2" t="n">
        <v>45863</v>
      </c>
      <c r="B29" t="inlineStr">
        <is>
          <t>GE(US3696043013) Cash Dividend USD 0.36 per Share (Ordinary Dividend)</t>
        </is>
      </c>
      <c r="C29" t="inlineStr">
        <is>
          <t>USD</t>
        </is>
      </c>
      <c r="D29" t="n">
        <v>2.88</v>
      </c>
      <c r="E29" t="n">
        <v>2.88</v>
      </c>
      <c r="F29" t="n">
        <v>85.09999999999999</v>
      </c>
      <c r="G29" t="n">
        <v>245</v>
      </c>
    </row>
    <row r="30">
      <c r="A30" s="2" t="n">
        <v>45875</v>
      </c>
      <c r="B30" t="inlineStr">
        <is>
          <t>BTI(US1104481072) Cash Dividend USD 0.797416 per Share (Ordinary Dividend)</t>
        </is>
      </c>
      <c r="C30" t="inlineStr">
        <is>
          <t>USD</t>
        </is>
      </c>
      <c r="D30" t="n">
        <v>15.15</v>
      </c>
      <c r="E30" t="n">
        <v>15.15</v>
      </c>
      <c r="F30" t="n">
        <v>87.15000000000001</v>
      </c>
      <c r="G30" t="n">
        <v>1320</v>
      </c>
    </row>
    <row r="31">
      <c r="A31" s="2" t="n">
        <v>45875</v>
      </c>
      <c r="B31" t="inlineStr">
        <is>
          <t>TIP(US4642871762) Cash Dividend USD 0.264488 per Share (Ordinary Dividend)</t>
        </is>
      </c>
      <c r="C31" t="inlineStr">
        <is>
          <t>USD</t>
        </is>
      </c>
      <c r="D31" t="n">
        <v>8.73</v>
      </c>
      <c r="E31" t="n">
        <v>8.73</v>
      </c>
      <c r="F31" t="n">
        <v>87.15000000000001</v>
      </c>
      <c r="G31" t="n">
        <v>761</v>
      </c>
    </row>
    <row r="32">
      <c r="A32" s="2" t="n">
        <v>45877</v>
      </c>
      <c r="B32" t="inlineStr">
        <is>
          <t>AXP(US0258161092) Cash Dividend USD 0.82 per Share (Ordinary Dividend)</t>
        </is>
      </c>
      <c r="C32" t="inlineStr">
        <is>
          <t>USD</t>
        </is>
      </c>
      <c r="D32" t="n">
        <v>2.46</v>
      </c>
      <c r="E32" t="n">
        <v>2.46</v>
      </c>
      <c r="F32" t="n">
        <v>87.15000000000001</v>
      </c>
      <c r="G32" t="n">
        <v>214</v>
      </c>
    </row>
    <row r="33">
      <c r="A33" s="2" t="n">
        <v>45889</v>
      </c>
      <c r="B33" t="inlineStr">
        <is>
          <t>CAT(US1491231015) Cash Dividend USD 1.51 per Share (Ordinary Dividend)</t>
        </is>
      </c>
      <c r="C33" t="inlineStr">
        <is>
          <t>USD</t>
        </is>
      </c>
      <c r="D33" t="n">
        <v>7.55</v>
      </c>
      <c r="E33" t="n">
        <v>7.55</v>
      </c>
      <c r="F33" t="n">
        <v>87.15000000000001</v>
      </c>
      <c r="G33" t="n">
        <v>658</v>
      </c>
    </row>
    <row r="34">
      <c r="A34" s="2" t="n">
        <v>45905</v>
      </c>
      <c r="B34" t="inlineStr">
        <is>
          <t>TIP(US4642871762) Cash Dividend USD 0.417238 per Share (Ordinary Dividend)</t>
        </is>
      </c>
      <c r="C34" t="inlineStr">
        <is>
          <t>USD</t>
        </is>
      </c>
      <c r="D34" t="n">
        <v>13.77</v>
      </c>
      <c r="E34" t="n">
        <v>13.77</v>
      </c>
      <c r="F34" t="n">
        <v>87.7</v>
      </c>
      <c r="G34" t="n">
        <v>1208</v>
      </c>
    </row>
    <row r="35">
      <c r="A35" s="2" t="n">
        <v>45915</v>
      </c>
      <c r="B35" t="inlineStr">
        <is>
          <t>GOOG(US02079K1079) Cash Dividend USD 0.21 per Share (Ordinary Dividend)</t>
        </is>
      </c>
      <c r="C35" t="inlineStr">
        <is>
          <t>USD</t>
        </is>
      </c>
      <c r="D35" t="n">
        <v>0.63</v>
      </c>
      <c r="E35" t="n">
        <v>0.63</v>
      </c>
      <c r="F35" t="n">
        <v>87.7</v>
      </c>
      <c r="G35" t="n">
        <v>55</v>
      </c>
    </row>
    <row r="36">
      <c r="A36" s="2" t="n">
        <v>45919</v>
      </c>
      <c r="B36" t="inlineStr">
        <is>
          <t>IWR(US4642874998) Cash Dividend USD 0.322439 per Share (Ordinary Dividend)</t>
        </is>
      </c>
      <c r="C36" t="inlineStr">
        <is>
          <t>USD</t>
        </is>
      </c>
      <c r="D36" t="n">
        <v>3.87</v>
      </c>
      <c r="E36" t="n">
        <v>3.87</v>
      </c>
      <c r="F36" t="n">
        <v>87.7</v>
      </c>
      <c r="G36" t="n">
        <v>339</v>
      </c>
    </row>
    <row r="37">
      <c r="A37" s="2" t="n">
        <v>45923</v>
      </c>
      <c r="B37" t="inlineStr">
        <is>
          <t>VT(US9220427424) Cash Dividend USD 0.4781 per Share (Ordinary Dividend)</t>
        </is>
      </c>
      <c r="C37" t="inlineStr">
        <is>
          <t>USD</t>
        </is>
      </c>
      <c r="D37" t="n">
        <v>6.69</v>
      </c>
      <c r="E37" t="n">
        <v>6.69</v>
      </c>
      <c r="F37" t="n">
        <v>87.7</v>
      </c>
      <c r="G37" t="n">
        <v>587</v>
      </c>
    </row>
    <row r="38">
      <c r="A38" s="2" t="n">
        <v>45931</v>
      </c>
      <c r="B38" t="inlineStr">
        <is>
          <t>VTV(US9229087443) Cash Dividend USD 0.9433 per Share (Ordinary Dividend)</t>
        </is>
      </c>
      <c r="C38" t="inlineStr">
        <is>
          <t>USD</t>
        </is>
      </c>
      <c r="D38" t="n">
        <v>5.66</v>
      </c>
      <c r="E38" t="n">
        <v>5.66</v>
      </c>
      <c r="F38" t="n">
        <v>88.34999999999999</v>
      </c>
      <c r="G38" t="n">
        <v>500</v>
      </c>
    </row>
    <row r="39">
      <c r="A39" s="2" t="n">
        <v>45932</v>
      </c>
      <c r="B39" t="inlineStr">
        <is>
          <t>NVDA(US67066G1040) Cash Dividend USD 0.01 per Share (Ordinary Dividend)</t>
        </is>
      </c>
      <c r="C39" t="inlineStr">
        <is>
          <t>USD</t>
        </is>
      </c>
      <c r="D39" t="n">
        <v>0.06</v>
      </c>
      <c r="E39" t="n">
        <v>0.06</v>
      </c>
      <c r="F39" t="n">
        <v>88.34999999999999</v>
      </c>
      <c r="G39" t="n">
        <v>5</v>
      </c>
    </row>
    <row r="40">
      <c r="A40" s="2" t="n">
        <v>45936</v>
      </c>
      <c r="B40" t="inlineStr">
        <is>
          <t>IEF(US4642874402) Cash Dividend USD 0.294485 per Share (Ordinary Dividend)</t>
        </is>
      </c>
      <c r="C40" t="inlineStr">
        <is>
          <t>USD</t>
        </is>
      </c>
      <c r="D40" t="n">
        <v>3.53</v>
      </c>
      <c r="E40" t="n">
        <v>3.53</v>
      </c>
      <c r="F40" t="n">
        <v>88.34999999999999</v>
      </c>
      <c r="G40" t="n">
        <v>312</v>
      </c>
    </row>
    <row r="41">
      <c r="A41" s="2" t="n">
        <v>45936</v>
      </c>
      <c r="B41" t="inlineStr">
        <is>
          <t>TIP(US4642871762) Cash Dividend USD 0.198069 per Share (Ordinary Dividend)</t>
        </is>
      </c>
      <c r="C41" t="inlineStr">
        <is>
          <t>USD</t>
        </is>
      </c>
      <c r="D41" t="n">
        <v>6.54</v>
      </c>
      <c r="E41" t="n">
        <v>6.54</v>
      </c>
      <c r="F41" t="n">
        <v>88.34999999999999</v>
      </c>
      <c r="G41" t="n">
        <v>578</v>
      </c>
    </row>
    <row r="42">
      <c r="A42" s="2" t="n">
        <v>45939</v>
      </c>
      <c r="B42" t="inlineStr">
        <is>
          <t>CRM(US79466L3024) Cash Dividend USD 0.416 per Share (Ordinary Dividend)</t>
        </is>
      </c>
      <c r="C42" t="inlineStr">
        <is>
          <t>USD</t>
        </is>
      </c>
      <c r="D42" t="n">
        <v>107.33</v>
      </c>
      <c r="E42" t="n">
        <v>107.33</v>
      </c>
      <c r="F42" t="n">
        <v>88.34999999999999</v>
      </c>
      <c r="G42" t="n">
        <v>9483</v>
      </c>
    </row>
    <row r="43">
      <c r="A43" s="2" t="n">
        <v>45961</v>
      </c>
      <c r="B43" t="inlineStr">
        <is>
          <t>QQQ(US46090E1038) Cash Dividend USD 0.69395 per Share (Ordinary Dividend)</t>
        </is>
      </c>
      <c r="C43" t="inlineStr">
        <is>
          <t>USD</t>
        </is>
      </c>
      <c r="D43" t="n">
        <v>1.39</v>
      </c>
      <c r="E43" t="n">
        <v>1.39</v>
      </c>
      <c r="F43" t="n">
        <v>88.34999999999999</v>
      </c>
      <c r="G43" t="n">
        <v>123</v>
      </c>
    </row>
    <row r="44">
      <c r="A44" s="2" t="n">
        <v>45967</v>
      </c>
      <c r="B44" t="inlineStr">
        <is>
          <t>ASML(NL0010273215) Cash Dividend EUR 1.60 per Share (Ordinary Dividend)</t>
        </is>
      </c>
      <c r="C44" t="inlineStr">
        <is>
          <t>EUR</t>
        </is>
      </c>
      <c r="D44" t="n">
        <v>3.2</v>
      </c>
      <c r="E44" t="n">
        <v>3.7587</v>
      </c>
      <c r="F44" t="n">
        <v>88.2</v>
      </c>
      <c r="G44" t="n">
        <v>332</v>
      </c>
    </row>
    <row r="45">
      <c r="A45" s="2" t="n">
        <v>45967</v>
      </c>
      <c r="B45" t="inlineStr">
        <is>
          <t>IEF(US4642874402) Cash Dividend USD 0.303792 per Share (Ordinary Dividend)</t>
        </is>
      </c>
      <c r="C45" t="inlineStr">
        <is>
          <t>USD</t>
        </is>
      </c>
      <c r="D45" t="n">
        <v>3.65</v>
      </c>
      <c r="E45" t="n">
        <v>3.65</v>
      </c>
      <c r="F45" t="n">
        <v>88.2</v>
      </c>
      <c r="G45" t="n">
        <v>322</v>
      </c>
    </row>
    <row r="46">
      <c r="A46" s="2" t="n">
        <v>45967</v>
      </c>
      <c r="B46" t="inlineStr">
        <is>
          <t>TIP(US4642871762) Cash Dividend USD 0.360933 per Share (Ordinary Dividend)</t>
        </is>
      </c>
      <c r="C46" t="inlineStr">
        <is>
          <t>USD</t>
        </is>
      </c>
      <c r="D46" t="n">
        <v>11.91</v>
      </c>
      <c r="E46" t="n">
        <v>11.91</v>
      </c>
      <c r="F46" t="n">
        <v>88.2</v>
      </c>
      <c r="G46" t="n">
        <v>1050</v>
      </c>
    </row>
    <row r="47">
      <c r="A47" s="2" t="n">
        <v>45974</v>
      </c>
      <c r="B47" t="inlineStr">
        <is>
          <t>AAPL(US0378331005) Cash Dividend USD 0.26 per Share (Ordinary Dividend)</t>
        </is>
      </c>
      <c r="C47" t="inlineStr">
        <is>
          <t>USD</t>
        </is>
      </c>
      <c r="D47" t="n">
        <v>0.78</v>
      </c>
      <c r="E47" t="n">
        <v>0.78</v>
      </c>
      <c r="F47" t="n">
        <v>88.2</v>
      </c>
      <c r="G47" t="n">
        <v>69</v>
      </c>
    </row>
    <row r="48">
      <c r="A48" s="2" t="n">
        <v>45974</v>
      </c>
      <c r="B48" t="inlineStr">
        <is>
          <t>BTI(US1104481072) Cash Dividend USD 0.788257 per Share (Ordinary Dividend)</t>
        </is>
      </c>
      <c r="C48" t="inlineStr">
        <is>
          <t>USD</t>
        </is>
      </c>
      <c r="D48" t="n">
        <v>19.71</v>
      </c>
      <c r="E48" t="n">
        <v>19.71</v>
      </c>
      <c r="F48" t="n">
        <v>88.2</v>
      </c>
      <c r="G48" t="n">
        <v>1738</v>
      </c>
    </row>
    <row r="49">
      <c r="A49" s="2" t="n">
        <v>45987</v>
      </c>
      <c r="B49" t="inlineStr">
        <is>
          <t>7203.T(JP3633400001) Cash Dividend JPY 45 per Share (Ordinary Dividend)</t>
        </is>
      </c>
      <c r="C49" t="inlineStr">
        <is>
          <t>JPY</t>
        </is>
      </c>
      <c r="D49" t="n">
        <v>4500</v>
      </c>
      <c r="E49" t="n">
        <v>28.7221</v>
      </c>
      <c r="F49" t="n">
        <v>88.2</v>
      </c>
      <c r="G49" t="n">
        <v>2533</v>
      </c>
    </row>
    <row r="50">
      <c r="A50" s="2" t="n">
        <v>45992</v>
      </c>
      <c r="B50" t="inlineStr">
        <is>
          <t>WFC(US9497461015) Cash Dividend USD 0.45 per Share (Ordinary Dividend)</t>
        </is>
      </c>
      <c r="C50" t="inlineStr">
        <is>
          <t>USD</t>
        </is>
      </c>
      <c r="D50" t="n">
        <v>14.85</v>
      </c>
      <c r="E50" t="n">
        <v>14.85</v>
      </c>
      <c r="F50" t="n">
        <v>88.95</v>
      </c>
      <c r="G50" t="n">
        <v>1321</v>
      </c>
    </row>
    <row r="51">
      <c r="A51" s="2" t="n">
        <v>45995</v>
      </c>
      <c r="B51" t="inlineStr">
        <is>
          <t>IEF(US4642874402) Cash Dividend USD 0.288439 per Share (Ordinary Dividend)</t>
        </is>
      </c>
      <c r="C51" t="inlineStr">
        <is>
          <t>USD</t>
        </is>
      </c>
      <c r="D51" t="n">
        <v>3.46</v>
      </c>
      <c r="E51" t="n">
        <v>3.46</v>
      </c>
      <c r="F51" t="n">
        <v>88.95</v>
      </c>
      <c r="G51" t="n">
        <v>308</v>
      </c>
    </row>
    <row r="52">
      <c r="A52" s="2" t="n">
        <v>45995</v>
      </c>
      <c r="B52" t="inlineStr">
        <is>
          <t>TIP(US4642871762) Cash Dividend USD 0.322417 per Share (Ordinary Dividend)</t>
        </is>
      </c>
      <c r="C52" t="inlineStr">
        <is>
          <t>USD</t>
        </is>
      </c>
      <c r="D52" t="n">
        <v>10.64</v>
      </c>
      <c r="E52" t="n">
        <v>10.64</v>
      </c>
      <c r="F52" t="n">
        <v>88.95</v>
      </c>
      <c r="G52" t="n">
        <v>946</v>
      </c>
    </row>
    <row r="53">
      <c r="A53" s="2" t="n">
        <v>46001</v>
      </c>
      <c r="B53" t="inlineStr">
        <is>
          <t>4568.T(JP3475350009) Cash Dividend JPY 39 per Share (Ordinary Dividend)</t>
        </is>
      </c>
      <c r="C53" t="inlineStr">
        <is>
          <t>JPY</t>
        </is>
      </c>
      <c r="D53" t="n">
        <v>15600</v>
      </c>
      <c r="E53" t="n">
        <v>99.5701</v>
      </c>
      <c r="F53" t="n">
        <v>88.95</v>
      </c>
      <c r="G53" t="n">
        <v>8857</v>
      </c>
    </row>
    <row r="54">
      <c r="A54" s="2" t="n">
        <v>46001</v>
      </c>
      <c r="B54" t="inlineStr">
        <is>
          <t>LLY(US5324571083) Cash Dividend USD 1.50 per Share (Ordinary Dividend)</t>
        </is>
      </c>
      <c r="C54" t="inlineStr">
        <is>
          <t>USD</t>
        </is>
      </c>
      <c r="D54" t="n">
        <v>2.25</v>
      </c>
      <c r="E54" t="n">
        <v>2.25</v>
      </c>
      <c r="F54" t="n">
        <v>88.95</v>
      </c>
      <c r="G54" t="n">
        <v>200</v>
      </c>
    </row>
    <row r="55">
      <c r="A55" s="2" t="n">
        <v>46001</v>
      </c>
      <c r="B55" t="inlineStr">
        <is>
          <t>XOM(US30231G1022) Cash Dividend USD 1.03 per Share (Ordinary Dividend)</t>
        </is>
      </c>
      <c r="C55" t="inlineStr">
        <is>
          <t>USD</t>
        </is>
      </c>
      <c r="D55" t="n">
        <v>12.36</v>
      </c>
      <c r="E55" t="n">
        <v>12.36</v>
      </c>
      <c r="F55" t="n">
        <v>88.95</v>
      </c>
      <c r="G55" t="n">
        <v>1099</v>
      </c>
    </row>
    <row r="56">
      <c r="A56" s="2" t="n">
        <v>46006</v>
      </c>
      <c r="B56" t="inlineStr">
        <is>
          <t>GOOG(US02079K1079) Cash Dividend USD 0.21 per Share (Ordinary Dividend)</t>
        </is>
      </c>
      <c r="C56" t="inlineStr">
        <is>
          <t>USD</t>
        </is>
      </c>
      <c r="D56" t="n">
        <v>0.63</v>
      </c>
      <c r="E56" t="n">
        <v>0.63</v>
      </c>
      <c r="F56" t="n">
        <v>88.95</v>
      </c>
      <c r="G56" t="n">
        <v>56</v>
      </c>
    </row>
    <row r="57">
      <c r="A57" s="2" t="n">
        <v>46009</v>
      </c>
      <c r="B57" t="inlineStr">
        <is>
          <t>QCOM(US7475251036) Cash Dividend USD 0.89 per Share (Ordinary Dividend)</t>
        </is>
      </c>
      <c r="C57" t="inlineStr">
        <is>
          <t>USD</t>
        </is>
      </c>
      <c r="D57" t="n">
        <v>8.01</v>
      </c>
      <c r="E57" t="n">
        <v>8.01</v>
      </c>
      <c r="F57" t="n">
        <v>88.95</v>
      </c>
      <c r="G57" t="n">
        <v>712</v>
      </c>
    </row>
    <row r="58">
      <c r="A58" s="2" t="n">
        <v>46010</v>
      </c>
      <c r="B58" t="inlineStr">
        <is>
          <t>AAXJ(US4642881829) Cash Dividend USD 1.12455 per Share (Ordinary Dividend)</t>
        </is>
      </c>
      <c r="C58" t="inlineStr">
        <is>
          <t>USD</t>
        </is>
      </c>
      <c r="D58" t="n">
        <v>9</v>
      </c>
      <c r="E58" t="n">
        <v>9</v>
      </c>
      <c r="F58" t="n">
        <v>88.95</v>
      </c>
      <c r="G58" t="n">
        <v>801</v>
      </c>
    </row>
    <row r="59">
      <c r="A59" s="2" t="n">
        <v>46010</v>
      </c>
      <c r="B59" t="inlineStr">
        <is>
          <t>ICLN(US4642882249) Cash Dividend USD 0.128205 per Share (Ordinary Dividend)</t>
        </is>
      </c>
      <c r="C59" t="inlineStr">
        <is>
          <t>USD</t>
        </is>
      </c>
      <c r="D59" t="n">
        <v>6.41</v>
      </c>
      <c r="E59" t="n">
        <v>6.41</v>
      </c>
      <c r="F59" t="n">
        <v>88.95</v>
      </c>
      <c r="G59" t="n">
        <v>570</v>
      </c>
    </row>
    <row r="60">
      <c r="A60" s="2" t="n">
        <v>46010</v>
      </c>
      <c r="B60" t="inlineStr">
        <is>
          <t>IWR(US4642874998) Cash Dividend USD 0.393709 per Share (Ordinary Dividend)</t>
        </is>
      </c>
      <c r="C60" t="inlineStr">
        <is>
          <t>USD</t>
        </is>
      </c>
      <c r="D60" t="n">
        <v>4.72</v>
      </c>
      <c r="E60" t="n">
        <v>4.72</v>
      </c>
      <c r="F60" t="n">
        <v>88.95</v>
      </c>
      <c r="G60" t="n">
        <v>420</v>
      </c>
    </row>
    <row r="61">
      <c r="A61" s="2" t="n">
        <v>46014</v>
      </c>
      <c r="B61" t="inlineStr">
        <is>
          <t>META(US30303M1027) Cash Dividend USD 0.525 per Share (Ordinary Dividend)</t>
        </is>
      </c>
      <c r="C61" t="inlineStr">
        <is>
          <t>USD</t>
        </is>
      </c>
      <c r="D61" t="n">
        <v>1.58</v>
      </c>
      <c r="E61" t="n">
        <v>1.58</v>
      </c>
      <c r="F61" t="n">
        <v>88.95</v>
      </c>
      <c r="G61" t="n">
        <v>141</v>
      </c>
    </row>
    <row r="62">
      <c r="A62" s="2" t="n">
        <v>46014</v>
      </c>
      <c r="B62" t="inlineStr">
        <is>
          <t>VT(US9220427424) Cash Dividend USD 1.1152 per Share (Ordinary Dividend)</t>
        </is>
      </c>
      <c r="C62" t="inlineStr">
        <is>
          <t>USD</t>
        </is>
      </c>
      <c r="D62" t="n">
        <v>15.61</v>
      </c>
      <c r="E62" t="n">
        <v>15.61</v>
      </c>
      <c r="F62" t="n">
        <v>88.95</v>
      </c>
      <c r="G62" t="n">
        <v>1389</v>
      </c>
    </row>
    <row r="63">
      <c r="A63" s="2" t="n">
        <v>46015</v>
      </c>
      <c r="B63" t="inlineStr">
        <is>
          <t>IEF(US4642874402) Cash Dividend USD 0.312713 per Share (Ordinary Dividend)</t>
        </is>
      </c>
      <c r="C63" t="inlineStr">
        <is>
          <t>USD</t>
        </is>
      </c>
      <c r="D63" t="n">
        <v>3.75</v>
      </c>
      <c r="E63" t="n">
        <v>3.75</v>
      </c>
      <c r="F63" t="n">
        <v>88.95</v>
      </c>
      <c r="G63" t="n">
        <v>334</v>
      </c>
    </row>
    <row r="64">
      <c r="A64" s="2" t="n">
        <v>46015</v>
      </c>
      <c r="B64" t="inlineStr">
        <is>
          <t>TIP(US4642871762) Cash Dividend USD 0.341961 per Share (Ordinary Dividend)</t>
        </is>
      </c>
      <c r="C64" t="inlineStr">
        <is>
          <t>USD</t>
        </is>
      </c>
      <c r="D64" t="n">
        <v>11.28</v>
      </c>
      <c r="E64" t="n">
        <v>11.28</v>
      </c>
      <c r="F64" t="n">
        <v>88.95</v>
      </c>
      <c r="G64" t="n">
        <v>1003</v>
      </c>
    </row>
    <row r="65">
      <c r="A65" s="2" t="n">
        <v>46015</v>
      </c>
      <c r="B65" t="inlineStr">
        <is>
          <t>VTV(US9229087443) Cash Dividend USD 0.9862 per Share (Ordinary Dividend)</t>
        </is>
      </c>
      <c r="C65" t="inlineStr">
        <is>
          <t>USD</t>
        </is>
      </c>
      <c r="D65" t="n">
        <v>5.92</v>
      </c>
      <c r="E65" t="n">
        <v>5.92</v>
      </c>
      <c r="F65" t="n">
        <v>88.95</v>
      </c>
      <c r="G65" t="n">
        <v>527</v>
      </c>
    </row>
    <row r="66">
      <c r="A66" s="2" t="n">
        <v>46017</v>
      </c>
      <c r="B66" t="inlineStr">
        <is>
          <t>NVDA(US67066G1040) Cash Dividend USD 0.01 per Share (Ordinary Dividend)</t>
        </is>
      </c>
      <c r="C66" t="inlineStr">
        <is>
          <t>USD</t>
        </is>
      </c>
      <c r="D66" t="n">
        <v>0.06</v>
      </c>
      <c r="E66" t="n">
        <v>0.06</v>
      </c>
      <c r="F66" t="n">
        <v>88.95</v>
      </c>
      <c r="G66" t="n">
        <v>5</v>
      </c>
    </row>
    <row r="67">
      <c r="A67" s="2" t="n">
        <v>46022</v>
      </c>
      <c r="B67" t="inlineStr">
        <is>
          <t>QQQ(US46090E1038) Cash Dividend USD 0.79408 per Share (Ordinary Dividend)</t>
        </is>
      </c>
      <c r="C67" t="inlineStr">
        <is>
          <t>USD</t>
        </is>
      </c>
      <c r="D67" t="n">
        <v>1.59</v>
      </c>
      <c r="E67" t="n">
        <v>1.59</v>
      </c>
      <c r="F67" t="n">
        <v>88.95</v>
      </c>
      <c r="G67" t="n">
        <v>141</v>
      </c>
    </row>
    <row r="68">
      <c r="A68" s="2" t="n">
        <v>46029</v>
      </c>
      <c r="B68" t="inlineStr">
        <is>
          <t>BOTZ(US37954Y7159) Cash Dividend USD 0.157961 per Share (Ordinary Dividend)</t>
        </is>
      </c>
      <c r="C68" t="inlineStr">
        <is>
          <t>USD</t>
        </is>
      </c>
      <c r="D68" t="n">
        <v>3.79</v>
      </c>
      <c r="E68" t="n">
        <v>3.79</v>
      </c>
      <c r="F68" t="n">
        <v>89.47</v>
      </c>
      <c r="G68" t="n">
        <v>339</v>
      </c>
    </row>
    <row r="69">
      <c r="A69" s="2" t="n">
        <v>46029</v>
      </c>
      <c r="B69" t="inlineStr">
        <is>
          <t>URA(US37954Y8710) Cash Dividend USD 2.084331 per Share (Ordinary Dividend)</t>
        </is>
      </c>
      <c r="C69" t="inlineStr">
        <is>
          <t>USD</t>
        </is>
      </c>
      <c r="D69" t="n">
        <v>50.02</v>
      </c>
      <c r="E69" t="n">
        <v>50.02</v>
      </c>
      <c r="F69" t="n">
        <v>89.47</v>
      </c>
      <c r="G69" t="n">
        <v>4475</v>
      </c>
    </row>
    <row r="70">
      <c r="A70" s="2" t="n">
        <v>46030</v>
      </c>
      <c r="B70" t="inlineStr">
        <is>
          <t>CRM(US79466L3024) Cash Dividend USD 0.416 per Share (Ordinary Dividend)</t>
        </is>
      </c>
      <c r="C70" t="inlineStr">
        <is>
          <t>USD</t>
        </is>
      </c>
      <c r="D70" t="n">
        <v>99.01000000000001</v>
      </c>
      <c r="E70" t="n">
        <v>99.01000000000001</v>
      </c>
      <c r="F70" t="n">
        <v>89.47</v>
      </c>
      <c r="G70" t="n">
        <v>8858</v>
      </c>
    </row>
    <row r="71">
      <c r="A71" s="2" t="n">
        <v>46058</v>
      </c>
      <c r="B71" t="inlineStr">
        <is>
          <t>IEF(US4642874402) Cash Dividend USD 0.311986 per Share (Ordinary Dividend)</t>
        </is>
      </c>
      <c r="C71" t="inlineStr">
        <is>
          <t>USD</t>
        </is>
      </c>
      <c r="D71" t="n">
        <v>3.74</v>
      </c>
      <c r="E71" t="n">
        <v>3.74</v>
      </c>
      <c r="F71" t="n">
        <v>91.34999999999999</v>
      </c>
      <c r="G71" t="n">
        <v>342</v>
      </c>
    </row>
    <row r="72">
      <c r="A72" s="2" t="n">
        <v>46062</v>
      </c>
      <c r="B72" t="inlineStr">
        <is>
          <t>BTI(US1104481072) Cash Dividend USD 0.823362 per Share (Ordinary Dividend)</t>
        </is>
      </c>
      <c r="C72" t="inlineStr">
        <is>
          <t>USD</t>
        </is>
      </c>
      <c r="D72" t="n">
        <v>20.58</v>
      </c>
      <c r="E72" t="n">
        <v>20.58</v>
      </c>
      <c r="F72" t="n">
        <v>91.34999999999999</v>
      </c>
      <c r="G72" t="n">
        <v>1880</v>
      </c>
    </row>
    <row r="73">
      <c r="A73" s="2" t="n">
        <v>46065</v>
      </c>
      <c r="B73" t="inlineStr">
        <is>
          <t>AAPL(US0378331005) Cash Dividend USD 0.26 per Share (Ordinary Dividend)</t>
        </is>
      </c>
      <c r="C73" t="inlineStr">
        <is>
          <t>USD</t>
        </is>
      </c>
      <c r="D73" t="n">
        <v>0.78</v>
      </c>
      <c r="E73" t="n">
        <v>0.78</v>
      </c>
      <c r="F73" t="n">
        <v>91.34999999999999</v>
      </c>
      <c r="G73" t="n">
        <v>71</v>
      </c>
    </row>
    <row r="74">
      <c r="A74" s="2" t="n">
        <v>46071</v>
      </c>
      <c r="B74" t="inlineStr">
        <is>
          <t>ASML(NL0010273215) Cash Dividend EUR 1.60 per Share (Ordinary Dividend)</t>
        </is>
      </c>
      <c r="C74" t="inlineStr">
        <is>
          <t>EUR</t>
        </is>
      </c>
      <c r="D74" t="n">
        <v>3.2</v>
      </c>
      <c r="E74" t="n">
        <v>3.7587</v>
      </c>
      <c r="F74" t="n">
        <v>91.34999999999999</v>
      </c>
      <c r="G74" t="n">
        <v>343</v>
      </c>
    </row>
    <row r="75">
      <c r="A75" s="2" t="n">
        <v>46082</v>
      </c>
      <c r="B75" t="inlineStr">
        <is>
          <t>WFC(US9497461015) Cash Dividend USD 0.45 per Share (Ordinary Dividend)</t>
        </is>
      </c>
      <c r="C75" t="inlineStr">
        <is>
          <t>USD</t>
        </is>
      </c>
      <c r="D75" t="n">
        <v>14.85</v>
      </c>
      <c r="E75" t="n">
        <v>14.85</v>
      </c>
      <c r="F75" t="n">
        <v>90.56</v>
      </c>
      <c r="G75" t="n">
        <v>1345</v>
      </c>
    </row>
    <row r="76">
      <c r="A76" s="2" t="n">
        <v>46086</v>
      </c>
      <c r="B76" t="inlineStr">
        <is>
          <t>IEF(US4642874402) Cash Dividend USD 0.28276 per Share (Ordinary Dividend)</t>
        </is>
      </c>
      <c r="C76" t="inlineStr">
        <is>
          <t>USD</t>
        </is>
      </c>
      <c r="D76" t="n">
        <v>3.39</v>
      </c>
      <c r="E76" t="n">
        <v>3.39</v>
      </c>
      <c r="F76" t="n">
        <v>90.56</v>
      </c>
      <c r="G76" t="n">
        <v>307</v>
      </c>
    </row>
    <row r="77">
      <c r="A77" s="2" t="n">
        <v>46091</v>
      </c>
      <c r="B77" t="inlineStr">
        <is>
          <t>AEP(US0255371017) Cash Dividend USD 0.95 per Share (Ordinary Dividend)</t>
        </is>
      </c>
      <c r="C77" t="inlineStr">
        <is>
          <t>USD</t>
        </is>
      </c>
      <c r="D77" t="n">
        <v>9.5</v>
      </c>
      <c r="E77" t="n">
        <v>9.5</v>
      </c>
      <c r="F77" t="n">
        <v>90.56</v>
      </c>
      <c r="G77" t="n">
        <v>860</v>
      </c>
    </row>
    <row r="78">
      <c r="A78" s="2" t="n">
        <v>46091</v>
      </c>
      <c r="B78" t="inlineStr">
        <is>
          <t>LLY(US5324571083) Cash Dividend USD 1.73 per Share (Ordinary Dividend)</t>
        </is>
      </c>
      <c r="C78" t="inlineStr">
        <is>
          <t>USD</t>
        </is>
      </c>
      <c r="D78" t="n">
        <v>2.6</v>
      </c>
      <c r="E78" t="n">
        <v>2.6</v>
      </c>
      <c r="F78" t="n">
        <v>90.56</v>
      </c>
      <c r="G78" t="n">
        <v>235</v>
      </c>
    </row>
    <row r="79">
      <c r="A79" s="2" t="n">
        <v>46091</v>
      </c>
      <c r="B79" t="inlineStr">
        <is>
          <t>XOM(US30231G1022) Cash Dividend USD 1.03 per Share (Ordinary Dividend)</t>
        </is>
      </c>
      <c r="C79" t="inlineStr">
        <is>
          <t>USD</t>
        </is>
      </c>
      <c r="D79" t="n">
        <v>12.36</v>
      </c>
      <c r="E79" t="n">
        <v>12.36</v>
      </c>
      <c r="F79" t="n">
        <v>90.56</v>
      </c>
      <c r="G79" t="n">
        <v>1119</v>
      </c>
    </row>
    <row r="80">
      <c r="A80" s="2" t="n">
        <v>46097</v>
      </c>
      <c r="B80" t="inlineStr">
        <is>
          <t>GOOG(US02079K1079) Cash Dividend USD 0.21 per Share (Ordinary Dividend)</t>
        </is>
      </c>
      <c r="C80" t="inlineStr">
        <is>
          <t>USD</t>
        </is>
      </c>
      <c r="D80" t="n">
        <v>0.63</v>
      </c>
      <c r="E80" t="n">
        <v>0.63</v>
      </c>
      <c r="F80" t="n">
        <v>90.56</v>
      </c>
      <c r="G80" t="n">
        <v>57</v>
      </c>
    </row>
    <row r="81">
      <c r="A81" s="2" t="n">
        <v>46101</v>
      </c>
      <c r="B81" t="inlineStr">
        <is>
          <t>IWR(US4642874998) Cash Dividend USD 0.261651 per Share (Ordinary Dividend)</t>
        </is>
      </c>
      <c r="C81" t="inlineStr">
        <is>
          <t>USD</t>
        </is>
      </c>
      <c r="D81" t="n">
        <v>3.14</v>
      </c>
      <c r="E81" t="n">
        <v>3.14</v>
      </c>
      <c r="F81" t="n">
        <v>90.56</v>
      </c>
      <c r="G81" t="n">
        <v>284</v>
      </c>
    </row>
    <row r="82">
      <c r="A82" s="2" t="n">
        <v>46105</v>
      </c>
      <c r="B82" t="inlineStr">
        <is>
          <t>VT(US9220427424) Cash Dividend USD 0.3272 per Share (Ordinary Dividend)</t>
        </is>
      </c>
      <c r="C82" t="inlineStr">
        <is>
          <t>USD</t>
        </is>
      </c>
      <c r="D82" t="n">
        <v>4.58</v>
      </c>
      <c r="E82" t="n">
        <v>4.58</v>
      </c>
      <c r="F82" t="n">
        <v>90.56</v>
      </c>
      <c r="G82" t="n">
        <v>415</v>
      </c>
    </row>
    <row r="83">
      <c r="A83" s="2" t="n">
        <v>46107</v>
      </c>
      <c r="B83" t="inlineStr">
        <is>
          <t>META(US30303M1027) Cash Dividend USD 0.525 per Share (Ordinary Dividend)</t>
        </is>
      </c>
      <c r="C83" t="inlineStr">
        <is>
          <t>USD</t>
        </is>
      </c>
      <c r="D83" t="n">
        <v>1.58</v>
      </c>
      <c r="E83" t="n">
        <v>1.58</v>
      </c>
      <c r="F83" t="n">
        <v>90.56</v>
      </c>
      <c r="G83" t="n">
        <v>143</v>
      </c>
    </row>
    <row r="84">
      <c r="A84" s="2" t="n">
        <v>46107</v>
      </c>
      <c r="B84" t="inlineStr">
        <is>
          <t>QCOM(US7475251036) Cash Dividend USD 0.89 per Share (Ordinary Dividend)</t>
        </is>
      </c>
      <c r="C84" t="inlineStr">
        <is>
          <t>USD</t>
        </is>
      </c>
      <c r="D84" t="n">
        <v>8.01</v>
      </c>
      <c r="E84" t="n">
        <v>8.01</v>
      </c>
      <c r="F84" t="n">
        <v>90.56</v>
      </c>
      <c r="G84" t="n">
        <v>725</v>
      </c>
    </row>
    <row r="85">
      <c r="A85" s="2" t="n">
        <v>46108</v>
      </c>
      <c r="B85" t="inlineStr">
        <is>
          <t>QQQ(US46090E1038) Cash Dividend USD 0.73282 per Share (Ordinary Dividend)</t>
        </is>
      </c>
      <c r="C85" t="inlineStr">
        <is>
          <t>USD</t>
        </is>
      </c>
      <c r="D85" t="n">
        <v>1.47</v>
      </c>
      <c r="E85" t="n">
        <v>1.47</v>
      </c>
      <c r="F85" t="n">
        <v>90.56</v>
      </c>
      <c r="G85" t="n">
        <v>133</v>
      </c>
    </row>
    <row r="86">
      <c r="A86" s="2" t="n">
        <v>46112</v>
      </c>
      <c r="B86" t="inlineStr">
        <is>
          <t>VTV(US9229087443) Cash Dividend USD 1.0792 per Share (Ordinary Dividend)</t>
        </is>
      </c>
      <c r="C86" t="inlineStr">
        <is>
          <t>USD</t>
        </is>
      </c>
      <c r="D86" t="n">
        <v>6.48</v>
      </c>
      <c r="E86" t="n">
        <v>6.48</v>
      </c>
      <c r="F86" t="n">
        <v>90.56</v>
      </c>
      <c r="G86" t="n">
        <v>587</v>
      </c>
    </row>
    <row r="87">
      <c r="B87" t="inlineStr">
        <is>
          <t>TOTAL DIVIDENDS</t>
        </is>
      </c>
      <c r="E87" t="n">
        <v>1103.36</v>
      </c>
      <c r="G87" t="n">
        <v>96654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45783</v>
      </c>
      <c r="C3" t="inlineStr">
        <is>
          <t>ASML(NL0010273215) Cash Dividend EUR 1.84 per Share - NL Tax</t>
        </is>
      </c>
      <c r="D3" t="inlineStr">
        <is>
          <t>EUR</t>
        </is>
      </c>
      <c r="E3" t="n">
        <v>-0.83</v>
      </c>
      <c r="F3" t="n">
        <v>-0.9749</v>
      </c>
      <c r="G3" t="n">
        <v>84.25</v>
      </c>
      <c r="H3" t="n">
        <v>-82</v>
      </c>
    </row>
    <row r="4">
      <c r="A4" t="inlineStr">
        <is>
          <t>CY2025</t>
        </is>
      </c>
      <c r="B4" s="2" t="n">
        <v>45967</v>
      </c>
      <c r="C4" t="inlineStr">
        <is>
          <t>ASML(NL0010273215) Cash Dividend EUR 1.60 per Share - NL Tax</t>
        </is>
      </c>
      <c r="D4" t="inlineStr">
        <is>
          <t>EUR</t>
        </is>
      </c>
      <c r="E4" t="n">
        <v>-0.48</v>
      </c>
      <c r="F4" t="n">
        <v>-0.5638</v>
      </c>
      <c r="G4" t="n">
        <v>88.2</v>
      </c>
      <c r="H4" t="n">
        <v>-50</v>
      </c>
    </row>
    <row r="5">
      <c r="A5" t="inlineStr">
        <is>
          <t>CY2025</t>
        </is>
      </c>
      <c r="B5" s="2" t="n">
        <v>45987</v>
      </c>
      <c r="C5" t="inlineStr">
        <is>
          <t>7203.T(JP3633400001) Cash Dividend JPY 45 per Share - JP Tax</t>
        </is>
      </c>
      <c r="D5" t="inlineStr">
        <is>
          <t>JPY</t>
        </is>
      </c>
      <c r="E5" t="n">
        <v>-689</v>
      </c>
      <c r="F5" t="n">
        <v>-4.3977</v>
      </c>
      <c r="G5" t="n">
        <v>88.2</v>
      </c>
      <c r="H5" t="n">
        <v>-388</v>
      </c>
    </row>
    <row r="6">
      <c r="A6" t="inlineStr">
        <is>
          <t>CY2025</t>
        </is>
      </c>
      <c r="B6" s="2" t="n">
        <v>46001</v>
      </c>
      <c r="C6" t="inlineStr">
        <is>
          <t>4568.T(JP3475350009) Cash Dividend JPY 39 per Share - JP Tax</t>
        </is>
      </c>
      <c r="D6" t="inlineStr">
        <is>
          <t>JPY</t>
        </is>
      </c>
      <c r="E6" t="n">
        <v>-2389</v>
      </c>
      <c r="F6" t="n">
        <v>-15.2483</v>
      </c>
      <c r="G6" t="n">
        <v>88.95</v>
      </c>
      <c r="H6" t="n">
        <v>-1356</v>
      </c>
    </row>
    <row r="7">
      <c r="A7" t="inlineStr">
        <is>
          <t>CY2025</t>
        </is>
      </c>
      <c r="B7" s="2" t="n">
        <v>45771</v>
      </c>
      <c r="C7" t="inlineStr">
        <is>
          <t>CRM(US79466L3024) Cash Dividend USD 0.416 per Share - US Tax</t>
        </is>
      </c>
      <c r="D7" t="inlineStr">
        <is>
          <t>USD</t>
        </is>
      </c>
      <c r="E7" t="n">
        <v>-37.19</v>
      </c>
      <c r="F7" t="n">
        <v>-37.19</v>
      </c>
      <c r="G7" t="n">
        <v>85.09999999999999</v>
      </c>
      <c r="H7" t="n">
        <v>-3165</v>
      </c>
    </row>
    <row r="8">
      <c r="A8" t="inlineStr">
        <is>
          <t>CY2025</t>
        </is>
      </c>
      <c r="B8" s="2" t="n">
        <v>45771</v>
      </c>
      <c r="C8" t="inlineStr">
        <is>
          <t>CRM(US79466L3024) Cash Dividend USD 0.416 per Share - US Tax</t>
        </is>
      </c>
      <c r="D8" t="inlineStr">
        <is>
          <t>USD</t>
        </is>
      </c>
      <c r="E8" t="n">
        <v>37.19</v>
      </c>
      <c r="F8" t="n">
        <v>37.19</v>
      </c>
      <c r="G8" t="n">
        <v>85.09999999999999</v>
      </c>
      <c r="H8" t="n">
        <v>3165</v>
      </c>
    </row>
    <row r="9">
      <c r="A9" t="inlineStr">
        <is>
          <t>CY2025</t>
        </is>
      </c>
      <c r="B9" s="2" t="n">
        <v>45771</v>
      </c>
      <c r="C9" t="inlineStr">
        <is>
          <t>CRM(US79466L3024) Cash Dividend USD 0.416 per Share - US Tax</t>
        </is>
      </c>
      <c r="D9" t="inlineStr">
        <is>
          <t>USD</t>
        </is>
      </c>
      <c r="E9" t="n">
        <v>-30.99</v>
      </c>
      <c r="F9" t="n">
        <v>-30.99</v>
      </c>
      <c r="G9" t="n">
        <v>85.09999999999999</v>
      </c>
      <c r="H9" t="n">
        <v>-2637</v>
      </c>
    </row>
    <row r="10">
      <c r="A10" t="inlineStr">
        <is>
          <t>CY2025</t>
        </is>
      </c>
      <c r="B10" s="2" t="n">
        <v>45782</v>
      </c>
      <c r="C10" t="inlineStr">
        <is>
          <t>BX(US09260D1072) Cash Dividend USD 0.93 per Share - US Tax</t>
        </is>
      </c>
      <c r="D10" t="inlineStr">
        <is>
          <t>USD</t>
        </is>
      </c>
      <c r="E10" t="n">
        <v>-1.67</v>
      </c>
      <c r="F10" t="n">
        <v>-1.67</v>
      </c>
      <c r="G10" t="n">
        <v>84.25</v>
      </c>
      <c r="H10" t="n">
        <v>-141</v>
      </c>
    </row>
    <row r="11">
      <c r="A11" t="inlineStr">
        <is>
          <t>CY2025</t>
        </is>
      </c>
      <c r="B11" s="2" t="n">
        <v>45782</v>
      </c>
      <c r="C11" t="inlineStr">
        <is>
          <t>BX(US09260D1072) Cash Dividend USD 0.93 per Share - US Tax</t>
        </is>
      </c>
      <c r="D11" t="inlineStr">
        <is>
          <t>USD</t>
        </is>
      </c>
      <c r="E11" t="n">
        <v>1.67</v>
      </c>
      <c r="F11" t="n">
        <v>1.67</v>
      </c>
      <c r="G11" t="n">
        <v>84.25</v>
      </c>
      <c r="H11" t="n">
        <v>141</v>
      </c>
    </row>
    <row r="12">
      <c r="A12" t="inlineStr">
        <is>
          <t>CY2025</t>
        </is>
      </c>
      <c r="B12" s="2" t="n">
        <v>45782</v>
      </c>
      <c r="C12" t="inlineStr">
        <is>
          <t>BX(US09260D1072) Cash Dividend USD 0.93 per Share - US Tax</t>
        </is>
      </c>
      <c r="D12" t="inlineStr">
        <is>
          <t>USD</t>
        </is>
      </c>
      <c r="E12" t="n">
        <v>-1.4</v>
      </c>
      <c r="F12" t="n">
        <v>-1.4</v>
      </c>
      <c r="G12" t="n">
        <v>84.25</v>
      </c>
      <c r="H12" t="n">
        <v>-118</v>
      </c>
    </row>
    <row r="13">
      <c r="A13" t="inlineStr">
        <is>
          <t>CY2025</t>
        </is>
      </c>
      <c r="B13" s="2" t="n">
        <v>45783</v>
      </c>
      <c r="C13" t="inlineStr">
        <is>
          <t>TIP(US4642871762) Cash Dividend USD 0.534953 per Share - US Tax</t>
        </is>
      </c>
      <c r="D13" t="inlineStr">
        <is>
          <t>USD</t>
        </is>
      </c>
      <c r="E13" t="n">
        <v>-5.3</v>
      </c>
      <c r="F13" t="n">
        <v>-5.3</v>
      </c>
      <c r="G13" t="n">
        <v>84.25</v>
      </c>
      <c r="H13" t="n">
        <v>-447</v>
      </c>
    </row>
    <row r="14">
      <c r="A14" t="inlineStr">
        <is>
          <t>CY2025</t>
        </is>
      </c>
      <c r="B14" s="2" t="n">
        <v>45783</v>
      </c>
      <c r="C14" t="inlineStr">
        <is>
          <t>TIP(US4642871762) Cash Dividend USD 0.534953 per Share - US Tax</t>
        </is>
      </c>
      <c r="D14" t="inlineStr">
        <is>
          <t>USD</t>
        </is>
      </c>
      <c r="E14" t="n">
        <v>5.3</v>
      </c>
      <c r="F14" t="n">
        <v>5.3</v>
      </c>
      <c r="G14" t="n">
        <v>84.25</v>
      </c>
      <c r="H14" t="n">
        <v>447</v>
      </c>
    </row>
    <row r="15">
      <c r="A15" t="inlineStr">
        <is>
          <t>CY2025</t>
        </is>
      </c>
      <c r="B15" s="2" t="n">
        <v>45783</v>
      </c>
      <c r="C15" t="inlineStr">
        <is>
          <t>TIP(US4642871762) Cash Dividend USD 0.534953 per Share - US Tax</t>
        </is>
      </c>
      <c r="D15" t="inlineStr">
        <is>
          <t>USD</t>
        </is>
      </c>
      <c r="E15" t="n">
        <v>-4.41</v>
      </c>
      <c r="F15" t="n">
        <v>-4.41</v>
      </c>
      <c r="G15" t="n">
        <v>84.25</v>
      </c>
      <c r="H15" t="n">
        <v>-372</v>
      </c>
    </row>
    <row r="16">
      <c r="A16" t="inlineStr">
        <is>
          <t>CY2025</t>
        </is>
      </c>
      <c r="B16" s="2" t="n">
        <v>45797</v>
      </c>
      <c r="C16" t="inlineStr">
        <is>
          <t>CAT(US1491231015) Cash Dividend USD 1.41 per Share - US Tax</t>
        </is>
      </c>
      <c r="D16" t="inlineStr">
        <is>
          <t>USD</t>
        </is>
      </c>
      <c r="E16" t="n">
        <v>-1.76</v>
      </c>
      <c r="F16" t="n">
        <v>-1.76</v>
      </c>
      <c r="G16" t="n">
        <v>84.25</v>
      </c>
      <c r="H16" t="n">
        <v>-148</v>
      </c>
    </row>
    <row r="17">
      <c r="A17" t="inlineStr">
        <is>
          <t>CY2025</t>
        </is>
      </c>
      <c r="B17" s="2" t="n">
        <v>45810</v>
      </c>
      <c r="C17" t="inlineStr">
        <is>
          <t>TGT(US87612E1064) Cash Dividend USD 1.12 per Share - US Tax</t>
        </is>
      </c>
      <c r="D17" t="inlineStr">
        <is>
          <t>USD</t>
        </is>
      </c>
      <c r="E17" t="n">
        <v>-4.2</v>
      </c>
      <c r="F17" t="n">
        <v>-4.2</v>
      </c>
      <c r="G17" t="n">
        <v>85.09999999999999</v>
      </c>
      <c r="H17" t="n">
        <v>-357</v>
      </c>
    </row>
    <row r="18">
      <c r="A18" t="inlineStr">
        <is>
          <t>CY2025</t>
        </is>
      </c>
      <c r="B18" s="2" t="n">
        <v>45813</v>
      </c>
      <c r="C18" t="inlineStr">
        <is>
          <t>TIP(US4642871762) Cash Dividend USD 0.273105 per Share - US Tax</t>
        </is>
      </c>
      <c r="D18" t="inlineStr">
        <is>
          <t>USD</t>
        </is>
      </c>
      <c r="E18" t="n">
        <v>-2.25</v>
      </c>
      <c r="F18" t="n">
        <v>-2.25</v>
      </c>
      <c r="G18" t="n">
        <v>85.09999999999999</v>
      </c>
      <c r="H18" t="n">
        <v>-191</v>
      </c>
    </row>
    <row r="19">
      <c r="A19" t="inlineStr">
        <is>
          <t>CY2025</t>
        </is>
      </c>
      <c r="B19" s="2" t="n">
        <v>45818</v>
      </c>
      <c r="C19" t="inlineStr">
        <is>
          <t>LLY(US5324571083) Cash Dividend USD 1.50 per Share - US Tax</t>
        </is>
      </c>
      <c r="D19" t="inlineStr">
        <is>
          <t>USD</t>
        </is>
      </c>
      <c r="E19" t="n">
        <v>-0.75</v>
      </c>
      <c r="F19" t="n">
        <v>-0.75</v>
      </c>
      <c r="G19" t="n">
        <v>85.09999999999999</v>
      </c>
      <c r="H19" t="n">
        <v>-64</v>
      </c>
    </row>
    <row r="20">
      <c r="A20" t="inlineStr">
        <is>
          <t>CY2025</t>
        </is>
      </c>
      <c r="B20" s="2" t="n">
        <v>45820</v>
      </c>
      <c r="C20" t="inlineStr">
        <is>
          <t>MSFT(US5949181045) Cash Dividend USD 0.83 per Share - US Tax</t>
        </is>
      </c>
      <c r="D20" t="inlineStr">
        <is>
          <t>USD</t>
        </is>
      </c>
      <c r="E20" t="n">
        <v>-0.83</v>
      </c>
      <c r="F20" t="n">
        <v>-0.83</v>
      </c>
      <c r="G20" t="n">
        <v>85.09999999999999</v>
      </c>
      <c r="H20" t="n">
        <v>-71</v>
      </c>
    </row>
    <row r="21">
      <c r="A21" t="inlineStr">
        <is>
          <t>CY2025</t>
        </is>
      </c>
      <c r="B21" s="2" t="n">
        <v>45820</v>
      </c>
      <c r="C21" t="inlineStr">
        <is>
          <t>RTX(US75513E1010) Cash Dividend USD 0.68 per Share - US Tax</t>
        </is>
      </c>
      <c r="D21" t="inlineStr">
        <is>
          <t>USD</t>
        </is>
      </c>
      <c r="E21" t="n">
        <v>-2.21</v>
      </c>
      <c r="F21" t="n">
        <v>-2.21</v>
      </c>
      <c r="G21" t="n">
        <v>85.09999999999999</v>
      </c>
      <c r="H21" t="n">
        <v>-188</v>
      </c>
    </row>
    <row r="22">
      <c r="A22" t="inlineStr">
        <is>
          <t>CY2025</t>
        </is>
      </c>
      <c r="B22" s="2" t="n">
        <v>45835</v>
      </c>
      <c r="C22" t="inlineStr">
        <is>
          <t>BAC(US0605051046) Cash Dividend USD 0.26 per Share - US Tax</t>
        </is>
      </c>
      <c r="D22" t="inlineStr">
        <is>
          <t>USD</t>
        </is>
      </c>
      <c r="E22" t="n">
        <v>-1.56</v>
      </c>
      <c r="F22" t="n">
        <v>-1.56</v>
      </c>
      <c r="G22" t="n">
        <v>85.09999999999999</v>
      </c>
      <c r="H22" t="n">
        <v>-133</v>
      </c>
    </row>
    <row r="23">
      <c r="A23" t="inlineStr">
        <is>
          <t>CY2025</t>
        </is>
      </c>
      <c r="B23" s="2" t="n">
        <v>45835</v>
      </c>
      <c r="C23" t="inlineStr">
        <is>
          <t>DXJ(US97717W8516) Cash Dividend USD 1.34 per Share - US Tax</t>
        </is>
      </c>
      <c r="D23" t="inlineStr">
        <is>
          <t>USD</t>
        </is>
      </c>
      <c r="E23" t="n">
        <v>-2.68</v>
      </c>
      <c r="F23" t="n">
        <v>-2.68</v>
      </c>
      <c r="G23" t="n">
        <v>85.09999999999999</v>
      </c>
      <c r="H23" t="n">
        <v>-228</v>
      </c>
    </row>
    <row r="24">
      <c r="A24" t="inlineStr">
        <is>
          <t>CY2025</t>
        </is>
      </c>
      <c r="B24" s="2" t="n">
        <v>45845</v>
      </c>
      <c r="C24" t="inlineStr">
        <is>
          <t>TIP(US4642871762) Cash Dividend USD 0.379923 per Share - US Tax</t>
        </is>
      </c>
      <c r="D24" t="inlineStr">
        <is>
          <t>USD</t>
        </is>
      </c>
      <c r="E24" t="n">
        <v>-3.14</v>
      </c>
      <c r="F24" t="n">
        <v>-3.14</v>
      </c>
      <c r="G24" t="n">
        <v>85.09999999999999</v>
      </c>
      <c r="H24" t="n">
        <v>-267</v>
      </c>
    </row>
    <row r="25">
      <c r="A25" t="inlineStr">
        <is>
          <t>CY2025</t>
        </is>
      </c>
      <c r="B25" s="2" t="n">
        <v>45848</v>
      </c>
      <c r="C25" t="inlineStr">
        <is>
          <t>CRM(US79466L3024) Cash Dividend USD 0.416 per Share - US Tax</t>
        </is>
      </c>
      <c r="D25" t="inlineStr">
        <is>
          <t>USD</t>
        </is>
      </c>
      <c r="E25" t="n">
        <v>-26.83</v>
      </c>
      <c r="F25" t="n">
        <v>-26.83</v>
      </c>
      <c r="G25" t="n">
        <v>85.09999999999999</v>
      </c>
      <c r="H25" t="n">
        <v>-2283</v>
      </c>
    </row>
    <row r="26">
      <c r="A26" t="inlineStr">
        <is>
          <t>CY2025</t>
        </is>
      </c>
      <c r="B26" s="2" t="n">
        <v>45848</v>
      </c>
      <c r="C26" t="inlineStr">
        <is>
          <t>TSM(US8740391003) Cash Dividend USD 0.780305 per Share - TW Tax</t>
        </is>
      </c>
      <c r="D26" t="inlineStr">
        <is>
          <t>USD</t>
        </is>
      </c>
      <c r="E26" t="n">
        <v>-0.82</v>
      </c>
      <c r="F26" t="n">
        <v>-0.82</v>
      </c>
      <c r="G26" t="n">
        <v>85.09999999999999</v>
      </c>
      <c r="H26" t="n">
        <v>-70</v>
      </c>
    </row>
    <row r="27">
      <c r="A27" t="inlineStr">
        <is>
          <t>CY2025</t>
        </is>
      </c>
      <c r="B27" s="2" t="n">
        <v>45863</v>
      </c>
      <c r="C27" t="inlineStr">
        <is>
          <t>GE(US3696043013) Cash Dividend USD 0.36 per Share - US Tax</t>
        </is>
      </c>
      <c r="D27" t="inlineStr">
        <is>
          <t>USD</t>
        </is>
      </c>
      <c r="E27" t="n">
        <v>-0.72</v>
      </c>
      <c r="F27" t="n">
        <v>-0.72</v>
      </c>
      <c r="G27" t="n">
        <v>85.09999999999999</v>
      </c>
      <c r="H27" t="n">
        <v>-61</v>
      </c>
    </row>
    <row r="28">
      <c r="A28" t="inlineStr">
        <is>
          <t>CY2025</t>
        </is>
      </c>
      <c r="B28" s="2" t="n">
        <v>45875</v>
      </c>
      <c r="C28" t="inlineStr">
        <is>
          <t>TIP(US4642871762) Cash Dividend USD 0.264488 per Share - US Tax</t>
        </is>
      </c>
      <c r="D28" t="inlineStr">
        <is>
          <t>USD</t>
        </is>
      </c>
      <c r="E28" t="n">
        <v>-2.18</v>
      </c>
      <c r="F28" t="n">
        <v>-2.18</v>
      </c>
      <c r="G28" t="n">
        <v>87.15000000000001</v>
      </c>
      <c r="H28" t="n">
        <v>-190</v>
      </c>
    </row>
    <row r="29">
      <c r="A29" t="inlineStr">
        <is>
          <t>CY2025</t>
        </is>
      </c>
      <c r="B29" s="2" t="n">
        <v>45877</v>
      </c>
      <c r="C29" t="inlineStr">
        <is>
          <t>AXP(US0258161092) Cash Dividend USD 0.82 per Share - US Tax</t>
        </is>
      </c>
      <c r="D29" t="inlineStr">
        <is>
          <t>USD</t>
        </is>
      </c>
      <c r="E29" t="n">
        <v>-0.62</v>
      </c>
      <c r="F29" t="n">
        <v>-0.62</v>
      </c>
      <c r="G29" t="n">
        <v>87.15000000000001</v>
      </c>
      <c r="H29" t="n">
        <v>-54</v>
      </c>
    </row>
    <row r="30">
      <c r="A30" t="inlineStr">
        <is>
          <t>CY2025</t>
        </is>
      </c>
      <c r="B30" s="2" t="n">
        <v>45889</v>
      </c>
      <c r="C30" t="inlineStr">
        <is>
          <t>CAT(US1491231015) Cash Dividend USD 1.51 per Share - US Tax</t>
        </is>
      </c>
      <c r="D30" t="inlineStr">
        <is>
          <t>USD</t>
        </is>
      </c>
      <c r="E30" t="n">
        <v>-1.89</v>
      </c>
      <c r="F30" t="n">
        <v>-1.89</v>
      </c>
      <c r="G30" t="n">
        <v>87.15000000000001</v>
      </c>
      <c r="H30" t="n">
        <v>-165</v>
      </c>
    </row>
    <row r="31">
      <c r="A31" t="inlineStr">
        <is>
          <t>CY2025</t>
        </is>
      </c>
      <c r="B31" s="2" t="n">
        <v>45905</v>
      </c>
      <c r="C31" t="inlineStr">
        <is>
          <t>TIP(US4642871762) Cash Dividend USD 0.417238 per Share - US Tax</t>
        </is>
      </c>
      <c r="D31" t="inlineStr">
        <is>
          <t>USD</t>
        </is>
      </c>
      <c r="E31" t="n">
        <v>-3.44</v>
      </c>
      <c r="F31" t="n">
        <v>-3.44</v>
      </c>
      <c r="G31" t="n">
        <v>87.7</v>
      </c>
      <c r="H31" t="n">
        <v>-302</v>
      </c>
    </row>
    <row r="32">
      <c r="A32" t="inlineStr">
        <is>
          <t>CY2025</t>
        </is>
      </c>
      <c r="B32" s="2" t="n">
        <v>45915</v>
      </c>
      <c r="C32" t="inlineStr">
        <is>
          <t>GOOG(US02079K1079) Cash Dividend USD 0.21 per Share - US Tax</t>
        </is>
      </c>
      <c r="D32" t="inlineStr">
        <is>
          <t>USD</t>
        </is>
      </c>
      <c r="E32" t="n">
        <v>-0.16</v>
      </c>
      <c r="F32" t="n">
        <v>-0.16</v>
      </c>
      <c r="G32" t="n">
        <v>87.7</v>
      </c>
      <c r="H32" t="n">
        <v>-14</v>
      </c>
    </row>
    <row r="33">
      <c r="A33" t="inlineStr">
        <is>
          <t>CY2025</t>
        </is>
      </c>
      <c r="B33" s="2" t="n">
        <v>45919</v>
      </c>
      <c r="C33" t="inlineStr">
        <is>
          <t>IWR(US4642874998) Cash Dividend USD 0.322439 per Share - US Tax</t>
        </is>
      </c>
      <c r="D33" t="inlineStr">
        <is>
          <t>USD</t>
        </is>
      </c>
      <c r="E33" t="n">
        <v>-0.97</v>
      </c>
      <c r="F33" t="n">
        <v>-0.97</v>
      </c>
      <c r="G33" t="n">
        <v>87.7</v>
      </c>
      <c r="H33" t="n">
        <v>-85</v>
      </c>
    </row>
    <row r="34">
      <c r="A34" t="inlineStr">
        <is>
          <t>CY2025</t>
        </is>
      </c>
      <c r="B34" s="2" t="n">
        <v>45923</v>
      </c>
      <c r="C34" t="inlineStr">
        <is>
          <t>VT(US9220427424) Cash Dividend USD 0.4781 per Share - US Tax</t>
        </is>
      </c>
      <c r="D34" t="inlineStr">
        <is>
          <t>USD</t>
        </is>
      </c>
      <c r="E34" t="n">
        <v>-1.67</v>
      </c>
      <c r="F34" t="n">
        <v>-1.67</v>
      </c>
      <c r="G34" t="n">
        <v>87.7</v>
      </c>
      <c r="H34" t="n">
        <v>-146</v>
      </c>
    </row>
    <row r="35">
      <c r="A35" t="inlineStr">
        <is>
          <t>CY2025</t>
        </is>
      </c>
      <c r="B35" s="2" t="n">
        <v>45931</v>
      </c>
      <c r="C35" t="inlineStr">
        <is>
          <t>VTV(US9229087443) Cash Dividend USD 0.9433 per Share - US Tax</t>
        </is>
      </c>
      <c r="D35" t="inlineStr">
        <is>
          <t>USD</t>
        </is>
      </c>
      <c r="E35" t="n">
        <v>-1.42</v>
      </c>
      <c r="F35" t="n">
        <v>-1.42</v>
      </c>
      <c r="G35" t="n">
        <v>88.34999999999999</v>
      </c>
      <c r="H35" t="n">
        <v>-125</v>
      </c>
    </row>
    <row r="36">
      <c r="A36" t="inlineStr">
        <is>
          <t>CY2025</t>
        </is>
      </c>
      <c r="B36" s="2" t="n">
        <v>45932</v>
      </c>
      <c r="C36" t="inlineStr">
        <is>
          <t>NVDA(US67066G1040) Cash Dividend USD 0.01 per Share - US Tax</t>
        </is>
      </c>
      <c r="D36" t="inlineStr">
        <is>
          <t>USD</t>
        </is>
      </c>
      <c r="E36" t="n">
        <v>-0.02</v>
      </c>
      <c r="F36" t="n">
        <v>-0.02</v>
      </c>
      <c r="G36" t="n">
        <v>88.34999999999999</v>
      </c>
      <c r="H36" t="n">
        <v>-2</v>
      </c>
    </row>
    <row r="37">
      <c r="A37" t="inlineStr">
        <is>
          <t>CY2025</t>
        </is>
      </c>
      <c r="B37" s="2" t="n">
        <v>45936</v>
      </c>
      <c r="C37" t="inlineStr">
        <is>
          <t>IEF(US4642874402) Cash Dividend USD 0.294485 per Share - US Tax</t>
        </is>
      </c>
      <c r="D37" t="inlineStr">
        <is>
          <t>USD</t>
        </is>
      </c>
      <c r="E37" t="n">
        <v>-0.88</v>
      </c>
      <c r="F37" t="n">
        <v>-0.88</v>
      </c>
      <c r="G37" t="n">
        <v>88.34999999999999</v>
      </c>
      <c r="H37" t="n">
        <v>-78</v>
      </c>
    </row>
    <row r="38">
      <c r="A38" t="inlineStr">
        <is>
          <t>CY2025</t>
        </is>
      </c>
      <c r="B38" s="2" t="n">
        <v>45936</v>
      </c>
      <c r="C38" t="inlineStr">
        <is>
          <t>TIP(US4642871762) Cash Dividend USD 0.198069 per Share - US Tax</t>
        </is>
      </c>
      <c r="D38" t="inlineStr">
        <is>
          <t>USD</t>
        </is>
      </c>
      <c r="E38" t="n">
        <v>-1.64</v>
      </c>
      <c r="F38" t="n">
        <v>-1.64</v>
      </c>
      <c r="G38" t="n">
        <v>88.34999999999999</v>
      </c>
      <c r="H38" t="n">
        <v>-145</v>
      </c>
    </row>
    <row r="39">
      <c r="A39" t="inlineStr">
        <is>
          <t>CY2025</t>
        </is>
      </c>
      <c r="B39" s="2" t="n">
        <v>45939</v>
      </c>
      <c r="C39" t="inlineStr">
        <is>
          <t>CRM(US79466L3024) Cash Dividend USD 0.416 per Share - US Tax</t>
        </is>
      </c>
      <c r="D39" t="inlineStr">
        <is>
          <t>USD</t>
        </is>
      </c>
      <c r="E39" t="n">
        <v>-26.83</v>
      </c>
      <c r="F39" t="n">
        <v>-26.83</v>
      </c>
      <c r="G39" t="n">
        <v>88.34999999999999</v>
      </c>
      <c r="H39" t="n">
        <v>-2370</v>
      </c>
    </row>
    <row r="40">
      <c r="A40" t="inlineStr">
        <is>
          <t>CY2025</t>
        </is>
      </c>
      <c r="B40" s="2" t="n">
        <v>45961</v>
      </c>
      <c r="C40" t="inlineStr">
        <is>
          <t>QQQ(US46090E1038) Cash Dividend USD 0.69395 per Share - US Tax</t>
        </is>
      </c>
      <c r="D40" t="inlineStr">
        <is>
          <t>USD</t>
        </is>
      </c>
      <c r="E40" t="n">
        <v>-0.35</v>
      </c>
      <c r="F40" t="n">
        <v>-0.35</v>
      </c>
      <c r="G40" t="n">
        <v>88.34999999999999</v>
      </c>
      <c r="H40" t="n">
        <v>-31</v>
      </c>
    </row>
    <row r="41">
      <c r="A41" t="inlineStr">
        <is>
          <t>CY2025</t>
        </is>
      </c>
      <c r="B41" s="2" t="n">
        <v>45967</v>
      </c>
      <c r="C41" t="inlineStr">
        <is>
          <t>IEF(US4642874402) Cash Dividend USD 0.303792 per Share - US Tax</t>
        </is>
      </c>
      <c r="D41" t="inlineStr">
        <is>
          <t>USD</t>
        </is>
      </c>
      <c r="E41" t="n">
        <v>-0.91</v>
      </c>
      <c r="F41" t="n">
        <v>-0.91</v>
      </c>
      <c r="G41" t="n">
        <v>88.2</v>
      </c>
      <c r="H41" t="n">
        <v>-80</v>
      </c>
    </row>
    <row r="42">
      <c r="A42" t="inlineStr">
        <is>
          <t>CY2025</t>
        </is>
      </c>
      <c r="B42" s="2" t="n">
        <v>45967</v>
      </c>
      <c r="C42" t="inlineStr">
        <is>
          <t>TIP(US4642871762) Cash Dividend USD 0.360933 per Share - US Tax</t>
        </is>
      </c>
      <c r="D42" t="inlineStr">
        <is>
          <t>USD</t>
        </is>
      </c>
      <c r="E42" t="n">
        <v>-2.98</v>
      </c>
      <c r="F42" t="n">
        <v>-2.98</v>
      </c>
      <c r="G42" t="n">
        <v>88.2</v>
      </c>
      <c r="H42" t="n">
        <v>-263</v>
      </c>
    </row>
    <row r="43">
      <c r="A43" t="inlineStr">
        <is>
          <t>CY2025</t>
        </is>
      </c>
      <c r="B43" s="2" t="n">
        <v>45974</v>
      </c>
      <c r="C43" t="inlineStr">
        <is>
          <t>AAPL(US0378331005) Cash Dividend USD 0.26 per Share - US Tax</t>
        </is>
      </c>
      <c r="D43" t="inlineStr">
        <is>
          <t>USD</t>
        </is>
      </c>
      <c r="E43" t="n">
        <v>-0.2</v>
      </c>
      <c r="F43" t="n">
        <v>-0.2</v>
      </c>
      <c r="G43" t="n">
        <v>88.2</v>
      </c>
      <c r="H43" t="n">
        <v>-18</v>
      </c>
    </row>
    <row r="44">
      <c r="A44" t="inlineStr">
        <is>
          <t>CY2025</t>
        </is>
      </c>
      <c r="B44" s="2" t="n">
        <v>45992</v>
      </c>
      <c r="C44" t="inlineStr">
        <is>
          <t>WFC(US9497461015) Cash Dividend USD 0.45 per Share - US Tax</t>
        </is>
      </c>
      <c r="D44" t="inlineStr">
        <is>
          <t>USD</t>
        </is>
      </c>
      <c r="E44" t="n">
        <v>-3.71</v>
      </c>
      <c r="F44" t="n">
        <v>-3.71</v>
      </c>
      <c r="G44" t="n">
        <v>88.95</v>
      </c>
      <c r="H44" t="n">
        <v>-330</v>
      </c>
    </row>
    <row r="45">
      <c r="A45" t="inlineStr">
        <is>
          <t>CY2025</t>
        </is>
      </c>
      <c r="B45" s="2" t="n">
        <v>45995</v>
      </c>
      <c r="C45" t="inlineStr">
        <is>
          <t>IEF(US4642874402) Cash Dividend USD 0.288439 per Share - US Tax</t>
        </is>
      </c>
      <c r="D45" t="inlineStr">
        <is>
          <t>USD</t>
        </is>
      </c>
      <c r="E45" t="n">
        <v>-0.87</v>
      </c>
      <c r="F45" t="n">
        <v>-0.87</v>
      </c>
      <c r="G45" t="n">
        <v>88.95</v>
      </c>
      <c r="H45" t="n">
        <v>-77</v>
      </c>
    </row>
    <row r="46">
      <c r="A46" t="inlineStr">
        <is>
          <t>CY2025</t>
        </is>
      </c>
      <c r="B46" s="2" t="n">
        <v>45995</v>
      </c>
      <c r="C46" t="inlineStr">
        <is>
          <t>TIP(US4642871762) Cash Dividend USD 0.322417 per Share - US Tax</t>
        </is>
      </c>
      <c r="D46" t="inlineStr">
        <is>
          <t>USD</t>
        </is>
      </c>
      <c r="E46" t="n">
        <v>-2.66</v>
      </c>
      <c r="F46" t="n">
        <v>-2.66</v>
      </c>
      <c r="G46" t="n">
        <v>88.95</v>
      </c>
      <c r="H46" t="n">
        <v>-237</v>
      </c>
    </row>
    <row r="47">
      <c r="A47" t="inlineStr">
        <is>
          <t>CY2025</t>
        </is>
      </c>
      <c r="B47" s="2" t="n">
        <v>46001</v>
      </c>
      <c r="C47" t="inlineStr">
        <is>
          <t>LLY(US5324571083) Cash Dividend USD 1.50 per Share - US Tax</t>
        </is>
      </c>
      <c r="D47" t="inlineStr">
        <is>
          <t>USD</t>
        </is>
      </c>
      <c r="E47" t="n">
        <v>-0.5600000000000001</v>
      </c>
      <c r="F47" t="n">
        <v>-0.5600000000000001</v>
      </c>
      <c r="G47" t="n">
        <v>88.95</v>
      </c>
      <c r="H47" t="n">
        <v>-50</v>
      </c>
    </row>
    <row r="48">
      <c r="A48" t="inlineStr">
        <is>
          <t>CY2025</t>
        </is>
      </c>
      <c r="B48" s="2" t="n">
        <v>46001</v>
      </c>
      <c r="C48" t="inlineStr">
        <is>
          <t>XOM(US30231G1022) Cash Dividend USD 1.03 per Share - US Tax</t>
        </is>
      </c>
      <c r="D48" t="inlineStr">
        <is>
          <t>USD</t>
        </is>
      </c>
      <c r="E48" t="n">
        <v>-3.09</v>
      </c>
      <c r="F48" t="n">
        <v>-3.09</v>
      </c>
      <c r="G48" t="n">
        <v>88.95</v>
      </c>
      <c r="H48" t="n">
        <v>-275</v>
      </c>
    </row>
    <row r="49">
      <c r="A49" t="inlineStr">
        <is>
          <t>CY2025</t>
        </is>
      </c>
      <c r="B49" s="2" t="n">
        <v>46006</v>
      </c>
      <c r="C49" t="inlineStr">
        <is>
          <t>GOOG(US02079K1079) Cash Dividend USD 0.21 per Share - US Tax</t>
        </is>
      </c>
      <c r="D49" t="inlineStr">
        <is>
          <t>USD</t>
        </is>
      </c>
      <c r="E49" t="n">
        <v>-0.16</v>
      </c>
      <c r="F49" t="n">
        <v>-0.16</v>
      </c>
      <c r="G49" t="n">
        <v>88.95</v>
      </c>
      <c r="H49" t="n">
        <v>-14</v>
      </c>
    </row>
    <row r="50">
      <c r="A50" t="inlineStr">
        <is>
          <t>CY2025</t>
        </is>
      </c>
      <c r="B50" s="2" t="n">
        <v>46009</v>
      </c>
      <c r="C50" t="inlineStr">
        <is>
          <t>QCOM(US7475251036) Cash Dividend USD 0.89 per Share - US Tax</t>
        </is>
      </c>
      <c r="D50" t="inlineStr">
        <is>
          <t>USD</t>
        </is>
      </c>
      <c r="E50" t="n">
        <v>-2</v>
      </c>
      <c r="F50" t="n">
        <v>-2</v>
      </c>
      <c r="G50" t="n">
        <v>88.95</v>
      </c>
      <c r="H50" t="n">
        <v>-178</v>
      </c>
    </row>
    <row r="51">
      <c r="A51" t="inlineStr">
        <is>
          <t>CY2025</t>
        </is>
      </c>
      <c r="B51" s="2" t="n">
        <v>46010</v>
      </c>
      <c r="C51" t="inlineStr">
        <is>
          <t>AAXJ(US4642881829) Cash Dividend USD 1.12455 per Share - US Tax</t>
        </is>
      </c>
      <c r="D51" t="inlineStr">
        <is>
          <t>USD</t>
        </is>
      </c>
      <c r="E51" t="n">
        <v>-2.25</v>
      </c>
      <c r="F51" t="n">
        <v>-2.25</v>
      </c>
      <c r="G51" t="n">
        <v>88.95</v>
      </c>
      <c r="H51" t="n">
        <v>-200</v>
      </c>
    </row>
    <row r="52">
      <c r="A52" t="inlineStr">
        <is>
          <t>CY2025</t>
        </is>
      </c>
      <c r="B52" s="2" t="n">
        <v>46010</v>
      </c>
      <c r="C52" t="inlineStr">
        <is>
          <t>ICLN(US4642882249) Cash Dividend USD 0.128205 per Share - US Tax</t>
        </is>
      </c>
      <c r="D52" t="inlineStr">
        <is>
          <t>USD</t>
        </is>
      </c>
      <c r="E52" t="n">
        <v>-1.6</v>
      </c>
      <c r="F52" t="n">
        <v>-1.6</v>
      </c>
      <c r="G52" t="n">
        <v>88.95</v>
      </c>
      <c r="H52" t="n">
        <v>-142</v>
      </c>
    </row>
    <row r="53">
      <c r="A53" t="inlineStr">
        <is>
          <t>CY2025</t>
        </is>
      </c>
      <c r="B53" s="2" t="n">
        <v>46010</v>
      </c>
      <c r="C53" t="inlineStr">
        <is>
          <t>IWR(US4642874998) Cash Dividend USD 0.393709 per Share - US Tax</t>
        </is>
      </c>
      <c r="D53" t="inlineStr">
        <is>
          <t>USD</t>
        </is>
      </c>
      <c r="E53" t="n">
        <v>-1.18</v>
      </c>
      <c r="F53" t="n">
        <v>-1.18</v>
      </c>
      <c r="G53" t="n">
        <v>88.95</v>
      </c>
      <c r="H53" t="n">
        <v>-105</v>
      </c>
    </row>
    <row r="54">
      <c r="A54" t="inlineStr">
        <is>
          <t>CY2025</t>
        </is>
      </c>
      <c r="B54" s="2" t="n">
        <v>46014</v>
      </c>
      <c r="C54" t="inlineStr">
        <is>
          <t>META(US30303M1027) Cash Dividend USD 0.525 per Share - US Tax</t>
        </is>
      </c>
      <c r="D54" t="inlineStr">
        <is>
          <t>USD</t>
        </is>
      </c>
      <c r="E54" t="n">
        <v>-0.4</v>
      </c>
      <c r="F54" t="n">
        <v>-0.4</v>
      </c>
      <c r="G54" t="n">
        <v>88.95</v>
      </c>
      <c r="H54" t="n">
        <v>-36</v>
      </c>
    </row>
    <row r="55">
      <c r="A55" t="inlineStr">
        <is>
          <t>CY2025</t>
        </is>
      </c>
      <c r="B55" s="2" t="n">
        <v>46014</v>
      </c>
      <c r="C55" t="inlineStr">
        <is>
          <t>VT(US9220427424) Cash Dividend USD 1.1152 per Share - US Tax</t>
        </is>
      </c>
      <c r="D55" t="inlineStr">
        <is>
          <t>USD</t>
        </is>
      </c>
      <c r="E55" t="n">
        <v>-3.9</v>
      </c>
      <c r="F55" t="n">
        <v>-3.9</v>
      </c>
      <c r="G55" t="n">
        <v>88.95</v>
      </c>
      <c r="H55" t="n">
        <v>-347</v>
      </c>
    </row>
    <row r="56">
      <c r="A56" t="inlineStr">
        <is>
          <t>CY2025</t>
        </is>
      </c>
      <c r="B56" s="2" t="n">
        <v>46015</v>
      </c>
      <c r="C56" t="inlineStr">
        <is>
          <t>IEF(US4642874402) Cash Dividend USD 0.312713 per Share - US Tax</t>
        </is>
      </c>
      <c r="D56" t="inlineStr">
        <is>
          <t>USD</t>
        </is>
      </c>
      <c r="E56" t="n">
        <v>-0.9399999999999999</v>
      </c>
      <c r="F56" t="n">
        <v>-0.9399999999999999</v>
      </c>
      <c r="G56" t="n">
        <v>88.95</v>
      </c>
      <c r="H56" t="n">
        <v>-84</v>
      </c>
    </row>
    <row r="57">
      <c r="A57" t="inlineStr">
        <is>
          <t>CY2025</t>
        </is>
      </c>
      <c r="B57" s="2" t="n">
        <v>46015</v>
      </c>
      <c r="C57" t="inlineStr">
        <is>
          <t>TIP(US4642871762) Cash Dividend USD 0.341961 per Share - US Tax</t>
        </is>
      </c>
      <c r="D57" t="inlineStr">
        <is>
          <t>USD</t>
        </is>
      </c>
      <c r="E57" t="n">
        <v>-2.82</v>
      </c>
      <c r="F57" t="n">
        <v>-2.82</v>
      </c>
      <c r="G57" t="n">
        <v>88.95</v>
      </c>
      <c r="H57" t="n">
        <v>-251</v>
      </c>
    </row>
    <row r="58">
      <c r="A58" t="inlineStr">
        <is>
          <t>CY2025</t>
        </is>
      </c>
      <c r="B58" s="2" t="n">
        <v>46015</v>
      </c>
      <c r="C58" t="inlineStr">
        <is>
          <t>VTV(US9229087443) Cash Dividend USD 0.9862 per Share - US Tax</t>
        </is>
      </c>
      <c r="D58" t="inlineStr">
        <is>
          <t>USD</t>
        </is>
      </c>
      <c r="E58" t="n">
        <v>-1.48</v>
      </c>
      <c r="F58" t="n">
        <v>-1.48</v>
      </c>
      <c r="G58" t="n">
        <v>88.95</v>
      </c>
      <c r="H58" t="n">
        <v>-132</v>
      </c>
    </row>
    <row r="59">
      <c r="A59" t="inlineStr">
        <is>
          <t>CY2025</t>
        </is>
      </c>
      <c r="B59" s="2" t="n">
        <v>46017</v>
      </c>
      <c r="C59" t="inlineStr">
        <is>
          <t>NVDA(US67066G1040) Cash Dividend USD 0.01 per Share - US Tax</t>
        </is>
      </c>
      <c r="D59" t="inlineStr">
        <is>
          <t>USD</t>
        </is>
      </c>
      <c r="E59" t="n">
        <v>-0.02</v>
      </c>
      <c r="F59" t="n">
        <v>-0.02</v>
      </c>
      <c r="G59" t="n">
        <v>88.95</v>
      </c>
      <c r="H59" t="n">
        <v>-2</v>
      </c>
    </row>
    <row r="60">
      <c r="A60" t="inlineStr">
        <is>
          <t>CY2025</t>
        </is>
      </c>
      <c r="B60" s="2" t="n">
        <v>46022</v>
      </c>
      <c r="C60" t="inlineStr">
        <is>
          <t>QQQ(US46090E1038) Cash Dividend USD 0.79408 per Share - US Tax</t>
        </is>
      </c>
      <c r="D60" t="inlineStr">
        <is>
          <t>USD</t>
        </is>
      </c>
      <c r="E60" t="n">
        <v>-0.4</v>
      </c>
      <c r="F60" t="n">
        <v>-0.4</v>
      </c>
      <c r="G60" t="n">
        <v>88.95</v>
      </c>
      <c r="H60" t="n">
        <v>-36</v>
      </c>
    </row>
    <row r="61">
      <c r="A61" t="inlineStr">
        <is>
          <t>FY2025-26</t>
        </is>
      </c>
      <c r="B61" s="2" t="n">
        <v>45783</v>
      </c>
      <c r="C61" t="inlineStr">
        <is>
          <t>ASML(NL0010273215) Cash Dividend EUR 1.84 per Share - NL Tax</t>
        </is>
      </c>
      <c r="D61" t="inlineStr">
        <is>
          <t>EUR</t>
        </is>
      </c>
      <c r="E61" t="n">
        <v>-0.83</v>
      </c>
      <c r="F61" t="n">
        <v>-0.9749</v>
      </c>
      <c r="G61" t="n">
        <v>84.25</v>
      </c>
      <c r="H61" t="n">
        <v>-82</v>
      </c>
    </row>
    <row r="62">
      <c r="A62" t="inlineStr">
        <is>
          <t>FY2025-26</t>
        </is>
      </c>
      <c r="B62" s="2" t="n">
        <v>45967</v>
      </c>
      <c r="C62" t="inlineStr">
        <is>
          <t>ASML(NL0010273215) Cash Dividend EUR 1.60 per Share - NL Tax</t>
        </is>
      </c>
      <c r="D62" t="inlineStr">
        <is>
          <t>EUR</t>
        </is>
      </c>
      <c r="E62" t="n">
        <v>-0.48</v>
      </c>
      <c r="F62" t="n">
        <v>-0.5638</v>
      </c>
      <c r="G62" t="n">
        <v>88.2</v>
      </c>
      <c r="H62" t="n">
        <v>-50</v>
      </c>
    </row>
    <row r="63">
      <c r="A63" t="inlineStr">
        <is>
          <t>FY2025-26</t>
        </is>
      </c>
      <c r="B63" s="2" t="n">
        <v>46071</v>
      </c>
      <c r="C63" t="inlineStr">
        <is>
          <t>ASML(NL0010273215) Cash Dividend EUR 1.60 per Share - NL Tax</t>
        </is>
      </c>
      <c r="D63" t="inlineStr">
        <is>
          <t>EUR</t>
        </is>
      </c>
      <c r="E63" t="n">
        <v>-0.48</v>
      </c>
      <c r="F63" t="n">
        <v>-0.5638</v>
      </c>
      <c r="G63" t="n">
        <v>91.34999999999999</v>
      </c>
      <c r="H63" t="n">
        <v>-52</v>
      </c>
    </row>
    <row r="64">
      <c r="A64" t="inlineStr">
        <is>
          <t>FY2025-26</t>
        </is>
      </c>
      <c r="B64" s="2" t="n">
        <v>45987</v>
      </c>
      <c r="C64" t="inlineStr">
        <is>
          <t>7203.T(JP3633400001) Cash Dividend JPY 45 per Share - JP Tax</t>
        </is>
      </c>
      <c r="D64" t="inlineStr">
        <is>
          <t>JPY</t>
        </is>
      </c>
      <c r="E64" t="n">
        <v>-689</v>
      </c>
      <c r="F64" t="n">
        <v>-4.3977</v>
      </c>
      <c r="G64" t="n">
        <v>88.2</v>
      </c>
      <c r="H64" t="n">
        <v>-388</v>
      </c>
    </row>
    <row r="65">
      <c r="A65" t="inlineStr">
        <is>
          <t>FY2025-26</t>
        </is>
      </c>
      <c r="B65" s="2" t="n">
        <v>46001</v>
      </c>
      <c r="C65" t="inlineStr">
        <is>
          <t>4568.T(JP3475350009) Cash Dividend JPY 39 per Share - JP Tax</t>
        </is>
      </c>
      <c r="D65" t="inlineStr">
        <is>
          <t>JPY</t>
        </is>
      </c>
      <c r="E65" t="n">
        <v>-2389</v>
      </c>
      <c r="F65" t="n">
        <v>-15.2483</v>
      </c>
      <c r="G65" t="n">
        <v>88.95</v>
      </c>
      <c r="H65" t="n">
        <v>-1356</v>
      </c>
    </row>
    <row r="66">
      <c r="A66" t="inlineStr">
        <is>
          <t>FY2025-26</t>
        </is>
      </c>
      <c r="B66" s="2" t="n">
        <v>45771</v>
      </c>
      <c r="C66" t="inlineStr">
        <is>
          <t>CRM(US79466L3024) Cash Dividend USD 0.416 per Share - US Tax</t>
        </is>
      </c>
      <c r="D66" t="inlineStr">
        <is>
          <t>USD</t>
        </is>
      </c>
      <c r="E66" t="n">
        <v>-37.19</v>
      </c>
      <c r="F66" t="n">
        <v>-37.19</v>
      </c>
      <c r="G66" t="n">
        <v>85.09999999999999</v>
      </c>
      <c r="H66" t="n">
        <v>-3165</v>
      </c>
    </row>
    <row r="67">
      <c r="A67" t="inlineStr">
        <is>
          <t>FY2025-26</t>
        </is>
      </c>
      <c r="B67" s="2" t="n">
        <v>45771</v>
      </c>
      <c r="C67" t="inlineStr">
        <is>
          <t>CRM(US79466L3024) Cash Dividend USD 0.416 per Share - US Tax</t>
        </is>
      </c>
      <c r="D67" t="inlineStr">
        <is>
          <t>USD</t>
        </is>
      </c>
      <c r="E67" t="n">
        <v>37.19</v>
      </c>
      <c r="F67" t="n">
        <v>37.19</v>
      </c>
      <c r="G67" t="n">
        <v>85.09999999999999</v>
      </c>
      <c r="H67" t="n">
        <v>3165</v>
      </c>
    </row>
    <row r="68">
      <c r="A68" t="inlineStr">
        <is>
          <t>FY2025-26</t>
        </is>
      </c>
      <c r="B68" s="2" t="n">
        <v>45771</v>
      </c>
      <c r="C68" t="inlineStr">
        <is>
          <t>CRM(US79466L3024) Cash Dividend USD 0.416 per Share - US Tax</t>
        </is>
      </c>
      <c r="D68" t="inlineStr">
        <is>
          <t>USD</t>
        </is>
      </c>
      <c r="E68" t="n">
        <v>-30.99</v>
      </c>
      <c r="F68" t="n">
        <v>-30.99</v>
      </c>
      <c r="G68" t="n">
        <v>85.09999999999999</v>
      </c>
      <c r="H68" t="n">
        <v>-2637</v>
      </c>
    </row>
    <row r="69">
      <c r="A69" t="inlineStr">
        <is>
          <t>FY2025-26</t>
        </is>
      </c>
      <c r="B69" s="2" t="n">
        <v>45782</v>
      </c>
      <c r="C69" t="inlineStr">
        <is>
          <t>BX(US09260D1072) Cash Dividend USD 0.93 per Share - US Tax</t>
        </is>
      </c>
      <c r="D69" t="inlineStr">
        <is>
          <t>USD</t>
        </is>
      </c>
      <c r="E69" t="n">
        <v>-1.67</v>
      </c>
      <c r="F69" t="n">
        <v>-1.67</v>
      </c>
      <c r="G69" t="n">
        <v>84.25</v>
      </c>
      <c r="H69" t="n">
        <v>-141</v>
      </c>
    </row>
    <row r="70">
      <c r="A70" t="inlineStr">
        <is>
          <t>FY2025-26</t>
        </is>
      </c>
      <c r="B70" s="2" t="n">
        <v>45782</v>
      </c>
      <c r="C70" t="inlineStr">
        <is>
          <t>BX(US09260D1072) Cash Dividend USD 0.93 per Share - US Tax</t>
        </is>
      </c>
      <c r="D70" t="inlineStr">
        <is>
          <t>USD</t>
        </is>
      </c>
      <c r="E70" t="n">
        <v>1.67</v>
      </c>
      <c r="F70" t="n">
        <v>1.67</v>
      </c>
      <c r="G70" t="n">
        <v>84.25</v>
      </c>
      <c r="H70" t="n">
        <v>141</v>
      </c>
    </row>
    <row r="71">
      <c r="A71" t="inlineStr">
        <is>
          <t>FY2025-26</t>
        </is>
      </c>
      <c r="B71" s="2" t="n">
        <v>45782</v>
      </c>
      <c r="C71" t="inlineStr">
        <is>
          <t>BX(US09260D1072) Cash Dividend USD 0.93 per Share - US Tax</t>
        </is>
      </c>
      <c r="D71" t="inlineStr">
        <is>
          <t>USD</t>
        </is>
      </c>
      <c r="E71" t="n">
        <v>-1.4</v>
      </c>
      <c r="F71" t="n">
        <v>-1.4</v>
      </c>
      <c r="G71" t="n">
        <v>84.25</v>
      </c>
      <c r="H71" t="n">
        <v>-118</v>
      </c>
    </row>
    <row r="72">
      <c r="A72" t="inlineStr">
        <is>
          <t>FY2025-26</t>
        </is>
      </c>
      <c r="B72" s="2" t="n">
        <v>45782</v>
      </c>
      <c r="C72" t="inlineStr">
        <is>
          <t>BX(US09260D1072) Cash Dividend USD 0.93 per Share - US Tax</t>
        </is>
      </c>
      <c r="D72" t="inlineStr">
        <is>
          <t>USD</t>
        </is>
      </c>
      <c r="E72" t="n">
        <v>1.4</v>
      </c>
      <c r="F72" t="n">
        <v>1.4</v>
      </c>
      <c r="G72" t="n">
        <v>84.25</v>
      </c>
      <c r="H72" t="n">
        <v>118</v>
      </c>
    </row>
    <row r="73">
      <c r="A73" t="inlineStr">
        <is>
          <t>FY2025-26</t>
        </is>
      </c>
      <c r="B73" s="2" t="n">
        <v>45782</v>
      </c>
      <c r="C73" t="inlineStr">
        <is>
          <t>BX(US09260D1072) Cash Dividend USD 0.93 per Share - US Tax</t>
        </is>
      </c>
      <c r="D73" t="inlineStr">
        <is>
          <t>USD</t>
        </is>
      </c>
      <c r="E73" t="n">
        <v>-0.7</v>
      </c>
      <c r="F73" t="n">
        <v>-0.7</v>
      </c>
      <c r="G73" t="n">
        <v>84.25</v>
      </c>
      <c r="H73" t="n">
        <v>-59</v>
      </c>
    </row>
    <row r="74">
      <c r="A74" t="inlineStr">
        <is>
          <t>FY2025-26</t>
        </is>
      </c>
      <c r="B74" s="2" t="n">
        <v>45783</v>
      </c>
      <c r="C74" t="inlineStr">
        <is>
          <t>TIP(US4642871762) Cash Dividend USD 0.534953 per Share - US Tax</t>
        </is>
      </c>
      <c r="D74" t="inlineStr">
        <is>
          <t>USD</t>
        </is>
      </c>
      <c r="E74" t="n">
        <v>-5.3</v>
      </c>
      <c r="F74" t="n">
        <v>-5.3</v>
      </c>
      <c r="G74" t="n">
        <v>84.25</v>
      </c>
      <c r="H74" t="n">
        <v>-447</v>
      </c>
    </row>
    <row r="75">
      <c r="A75" t="inlineStr">
        <is>
          <t>FY2025-26</t>
        </is>
      </c>
      <c r="B75" s="2" t="n">
        <v>45783</v>
      </c>
      <c r="C75" t="inlineStr">
        <is>
          <t>TIP(US4642871762) Cash Dividend USD 0.534953 per Share - US Tax</t>
        </is>
      </c>
      <c r="D75" t="inlineStr">
        <is>
          <t>USD</t>
        </is>
      </c>
      <c r="E75" t="n">
        <v>5.3</v>
      </c>
      <c r="F75" t="n">
        <v>5.3</v>
      </c>
      <c r="G75" t="n">
        <v>84.25</v>
      </c>
      <c r="H75" t="n">
        <v>447</v>
      </c>
    </row>
    <row r="76">
      <c r="A76" t="inlineStr">
        <is>
          <t>FY2025-26</t>
        </is>
      </c>
      <c r="B76" s="2" t="n">
        <v>45783</v>
      </c>
      <c r="C76" t="inlineStr">
        <is>
          <t>TIP(US4642871762) Cash Dividend USD 0.534953 per Share - US Tax</t>
        </is>
      </c>
      <c r="D76" t="inlineStr">
        <is>
          <t>USD</t>
        </is>
      </c>
      <c r="E76" t="n">
        <v>-4.41</v>
      </c>
      <c r="F76" t="n">
        <v>-4.41</v>
      </c>
      <c r="G76" t="n">
        <v>84.25</v>
      </c>
      <c r="H76" t="n">
        <v>-372</v>
      </c>
    </row>
    <row r="77">
      <c r="A77" t="inlineStr">
        <is>
          <t>FY2025-26</t>
        </is>
      </c>
      <c r="B77" s="2" t="n">
        <v>45783</v>
      </c>
      <c r="C77" t="inlineStr">
        <is>
          <t>TIP(US4642871762) Cash Dividend USD 0.534953 per Share - US Tax</t>
        </is>
      </c>
      <c r="D77" t="inlineStr">
        <is>
          <t>USD</t>
        </is>
      </c>
      <c r="E77" t="n">
        <v>4.41</v>
      </c>
      <c r="F77" t="n">
        <v>4.41</v>
      </c>
      <c r="G77" t="n">
        <v>84.25</v>
      </c>
      <c r="H77" t="n">
        <v>372</v>
      </c>
    </row>
    <row r="78">
      <c r="A78" t="inlineStr">
        <is>
          <t>FY2025-26</t>
        </is>
      </c>
      <c r="B78" s="2" t="n">
        <v>45797</v>
      </c>
      <c r="C78" t="inlineStr">
        <is>
          <t>CAT(US1491231015) Cash Dividend USD 1.41 per Share - US Tax</t>
        </is>
      </c>
      <c r="D78" t="inlineStr">
        <is>
          <t>USD</t>
        </is>
      </c>
      <c r="E78" t="n">
        <v>-1.76</v>
      </c>
      <c r="F78" t="n">
        <v>-1.76</v>
      </c>
      <c r="G78" t="n">
        <v>84.25</v>
      </c>
      <c r="H78" t="n">
        <v>-148</v>
      </c>
    </row>
    <row r="79">
      <c r="A79" t="inlineStr">
        <is>
          <t>FY2025-26</t>
        </is>
      </c>
      <c r="B79" s="2" t="n">
        <v>45810</v>
      </c>
      <c r="C79" t="inlineStr">
        <is>
          <t>TGT(US87612E1064) Cash Dividend USD 1.12 per Share - US Tax</t>
        </is>
      </c>
      <c r="D79" t="inlineStr">
        <is>
          <t>USD</t>
        </is>
      </c>
      <c r="E79" t="n">
        <v>-4.2</v>
      </c>
      <c r="F79" t="n">
        <v>-4.2</v>
      </c>
      <c r="G79" t="n">
        <v>85.09999999999999</v>
      </c>
      <c r="H79" t="n">
        <v>-357</v>
      </c>
    </row>
    <row r="80">
      <c r="A80" t="inlineStr">
        <is>
          <t>FY2025-26</t>
        </is>
      </c>
      <c r="B80" s="2" t="n">
        <v>45813</v>
      </c>
      <c r="C80" t="inlineStr">
        <is>
          <t>TIP(US4642871762) Cash Dividend USD 0.273105 per Share - US Tax</t>
        </is>
      </c>
      <c r="D80" t="inlineStr">
        <is>
          <t>USD</t>
        </is>
      </c>
      <c r="E80" t="n">
        <v>-2.25</v>
      </c>
      <c r="F80" t="n">
        <v>-2.25</v>
      </c>
      <c r="G80" t="n">
        <v>85.09999999999999</v>
      </c>
      <c r="H80" t="n">
        <v>-191</v>
      </c>
    </row>
    <row r="81">
      <c r="A81" t="inlineStr">
        <is>
          <t>FY2025-26</t>
        </is>
      </c>
      <c r="B81" s="2" t="n">
        <v>45813</v>
      </c>
      <c r="C81" t="inlineStr">
        <is>
          <t>TIP(US4642871762) Cash Dividend USD 0.273105 per Share - US Tax</t>
        </is>
      </c>
      <c r="D81" t="inlineStr">
        <is>
          <t>USD</t>
        </is>
      </c>
      <c r="E81" t="n">
        <v>2.25</v>
      </c>
      <c r="F81" t="n">
        <v>2.25</v>
      </c>
      <c r="G81" t="n">
        <v>85.09999999999999</v>
      </c>
      <c r="H81" t="n">
        <v>191</v>
      </c>
    </row>
    <row r="82">
      <c r="A82" t="inlineStr">
        <is>
          <t>FY2025-26</t>
        </is>
      </c>
      <c r="B82" s="2" t="n">
        <v>45818</v>
      </c>
      <c r="C82" t="inlineStr">
        <is>
          <t>LLY(US5324571083) Cash Dividend USD 1.50 per Share - US Tax</t>
        </is>
      </c>
      <c r="D82" t="inlineStr">
        <is>
          <t>USD</t>
        </is>
      </c>
      <c r="E82" t="n">
        <v>-0.75</v>
      </c>
      <c r="F82" t="n">
        <v>-0.75</v>
      </c>
      <c r="G82" t="n">
        <v>85.09999999999999</v>
      </c>
      <c r="H82" t="n">
        <v>-64</v>
      </c>
    </row>
    <row r="83">
      <c r="A83" t="inlineStr">
        <is>
          <t>FY2025-26</t>
        </is>
      </c>
      <c r="B83" s="2" t="n">
        <v>45820</v>
      </c>
      <c r="C83" t="inlineStr">
        <is>
          <t>MSFT(US5949181045) Cash Dividend USD 0.83 per Share - US Tax</t>
        </is>
      </c>
      <c r="D83" t="inlineStr">
        <is>
          <t>USD</t>
        </is>
      </c>
      <c r="E83" t="n">
        <v>-0.83</v>
      </c>
      <c r="F83" t="n">
        <v>-0.83</v>
      </c>
      <c r="G83" t="n">
        <v>85.09999999999999</v>
      </c>
      <c r="H83" t="n">
        <v>-71</v>
      </c>
    </row>
    <row r="84">
      <c r="A84" t="inlineStr">
        <is>
          <t>FY2025-26</t>
        </is>
      </c>
      <c r="B84" s="2" t="n">
        <v>45820</v>
      </c>
      <c r="C84" t="inlineStr">
        <is>
          <t>RTX(US75513E1010) Cash Dividend USD 0.68 per Share - US Tax</t>
        </is>
      </c>
      <c r="D84" t="inlineStr">
        <is>
          <t>USD</t>
        </is>
      </c>
      <c r="E84" t="n">
        <v>-2.21</v>
      </c>
      <c r="F84" t="n">
        <v>-2.21</v>
      </c>
      <c r="G84" t="n">
        <v>85.09999999999999</v>
      </c>
      <c r="H84" t="n">
        <v>-188</v>
      </c>
    </row>
    <row r="85">
      <c r="A85" t="inlineStr">
        <is>
          <t>FY2025-26</t>
        </is>
      </c>
      <c r="B85" s="2" t="n">
        <v>45835</v>
      </c>
      <c r="C85" t="inlineStr">
        <is>
          <t>BAC(US0605051046) Cash Dividend USD 0.26 per Share - US Tax</t>
        </is>
      </c>
      <c r="D85" t="inlineStr">
        <is>
          <t>USD</t>
        </is>
      </c>
      <c r="E85" t="n">
        <v>-1.56</v>
      </c>
      <c r="F85" t="n">
        <v>-1.56</v>
      </c>
      <c r="G85" t="n">
        <v>85.09999999999999</v>
      </c>
      <c r="H85" t="n">
        <v>-133</v>
      </c>
    </row>
    <row r="86">
      <c r="A86" t="inlineStr">
        <is>
          <t>FY2025-26</t>
        </is>
      </c>
      <c r="B86" s="2" t="n">
        <v>45835</v>
      </c>
      <c r="C86" t="inlineStr">
        <is>
          <t>DXJ(US97717W8516) Cash Dividend USD 1.34 per Share - US Tax</t>
        </is>
      </c>
      <c r="D86" t="inlineStr">
        <is>
          <t>USD</t>
        </is>
      </c>
      <c r="E86" t="n">
        <v>-2.68</v>
      </c>
      <c r="F86" t="n">
        <v>-2.68</v>
      </c>
      <c r="G86" t="n">
        <v>85.09999999999999</v>
      </c>
      <c r="H86" t="n">
        <v>-228</v>
      </c>
    </row>
    <row r="87">
      <c r="A87" t="inlineStr">
        <is>
          <t>FY2025-26</t>
        </is>
      </c>
      <c r="B87" s="2" t="n">
        <v>45845</v>
      </c>
      <c r="C87" t="inlineStr">
        <is>
          <t>TIP(US4642871762) Cash Dividend USD 0.379923 per Share - US Tax</t>
        </is>
      </c>
      <c r="D87" t="inlineStr">
        <is>
          <t>USD</t>
        </is>
      </c>
      <c r="E87" t="n">
        <v>-3.14</v>
      </c>
      <c r="F87" t="n">
        <v>-3.14</v>
      </c>
      <c r="G87" t="n">
        <v>85.09999999999999</v>
      </c>
      <c r="H87" t="n">
        <v>-267</v>
      </c>
    </row>
    <row r="88">
      <c r="A88" t="inlineStr">
        <is>
          <t>FY2025-26</t>
        </is>
      </c>
      <c r="B88" s="2" t="n">
        <v>45845</v>
      </c>
      <c r="C88" t="inlineStr">
        <is>
          <t>TIP(US4642871762) Cash Dividend USD 0.379923 per Share - US Tax</t>
        </is>
      </c>
      <c r="D88" t="inlineStr">
        <is>
          <t>USD</t>
        </is>
      </c>
      <c r="E88" t="n">
        <v>3.14</v>
      </c>
      <c r="F88" t="n">
        <v>3.14</v>
      </c>
      <c r="G88" t="n">
        <v>85.09999999999999</v>
      </c>
      <c r="H88" t="n">
        <v>267</v>
      </c>
    </row>
    <row r="89">
      <c r="A89" t="inlineStr">
        <is>
          <t>FY2025-26</t>
        </is>
      </c>
      <c r="B89" s="2" t="n">
        <v>45848</v>
      </c>
      <c r="C89" t="inlineStr">
        <is>
          <t>CRM(US79466L3024) Cash Dividend USD 0.416 per Share - US Tax</t>
        </is>
      </c>
      <c r="D89" t="inlineStr">
        <is>
          <t>USD</t>
        </is>
      </c>
      <c r="E89" t="n">
        <v>-26.83</v>
      </c>
      <c r="F89" t="n">
        <v>-26.83</v>
      </c>
      <c r="G89" t="n">
        <v>85.09999999999999</v>
      </c>
      <c r="H89" t="n">
        <v>-2283</v>
      </c>
    </row>
    <row r="90">
      <c r="A90" t="inlineStr">
        <is>
          <t>FY2025-26</t>
        </is>
      </c>
      <c r="B90" s="2" t="n">
        <v>45848</v>
      </c>
      <c r="C90" t="inlineStr">
        <is>
          <t>TSM(US8740391003) Cash Dividend USD 0.780305 per Share - TW Tax</t>
        </is>
      </c>
      <c r="D90" t="inlineStr">
        <is>
          <t>USD</t>
        </is>
      </c>
      <c r="E90" t="n">
        <v>-0.82</v>
      </c>
      <c r="F90" t="n">
        <v>-0.82</v>
      </c>
      <c r="G90" t="n">
        <v>85.09999999999999</v>
      </c>
      <c r="H90" t="n">
        <v>-70</v>
      </c>
    </row>
    <row r="91">
      <c r="A91" t="inlineStr">
        <is>
          <t>FY2025-26</t>
        </is>
      </c>
      <c r="B91" s="2" t="n">
        <v>45863</v>
      </c>
      <c r="C91" t="inlineStr">
        <is>
          <t>GE(US3696043013) Cash Dividend USD 0.36 per Share - US Tax</t>
        </is>
      </c>
      <c r="D91" t="inlineStr">
        <is>
          <t>USD</t>
        </is>
      </c>
      <c r="E91" t="n">
        <v>-0.72</v>
      </c>
      <c r="F91" t="n">
        <v>-0.72</v>
      </c>
      <c r="G91" t="n">
        <v>85.09999999999999</v>
      </c>
      <c r="H91" t="n">
        <v>-61</v>
      </c>
    </row>
    <row r="92">
      <c r="A92" t="inlineStr">
        <is>
          <t>FY2025-26</t>
        </is>
      </c>
      <c r="B92" s="2" t="n">
        <v>45875</v>
      </c>
      <c r="C92" t="inlineStr">
        <is>
          <t>TIP(US4642871762) Cash Dividend USD 0.264488 per Share - US Tax</t>
        </is>
      </c>
      <c r="D92" t="inlineStr">
        <is>
          <t>USD</t>
        </is>
      </c>
      <c r="E92" t="n">
        <v>-2.18</v>
      </c>
      <c r="F92" t="n">
        <v>-2.18</v>
      </c>
      <c r="G92" t="n">
        <v>87.15000000000001</v>
      </c>
      <c r="H92" t="n">
        <v>-190</v>
      </c>
    </row>
    <row r="93">
      <c r="A93" t="inlineStr">
        <is>
          <t>FY2025-26</t>
        </is>
      </c>
      <c r="B93" s="2" t="n">
        <v>45875</v>
      </c>
      <c r="C93" t="inlineStr">
        <is>
          <t>TIP(US4642871762) Cash Dividend USD 0.264488 per Share - US Tax</t>
        </is>
      </c>
      <c r="D93" t="inlineStr">
        <is>
          <t>USD</t>
        </is>
      </c>
      <c r="E93" t="n">
        <v>2.18</v>
      </c>
      <c r="F93" t="n">
        <v>2.18</v>
      </c>
      <c r="G93" t="n">
        <v>87.15000000000001</v>
      </c>
      <c r="H93" t="n">
        <v>190</v>
      </c>
    </row>
    <row r="94">
      <c r="A94" t="inlineStr">
        <is>
          <t>FY2025-26</t>
        </is>
      </c>
      <c r="B94" s="2" t="n">
        <v>45877</v>
      </c>
      <c r="C94" t="inlineStr">
        <is>
          <t>AXP(US0258161092) Cash Dividend USD 0.82 per Share - US Tax</t>
        </is>
      </c>
      <c r="D94" t="inlineStr">
        <is>
          <t>USD</t>
        </is>
      </c>
      <c r="E94" t="n">
        <v>-0.62</v>
      </c>
      <c r="F94" t="n">
        <v>-0.62</v>
      </c>
      <c r="G94" t="n">
        <v>87.15000000000001</v>
      </c>
      <c r="H94" t="n">
        <v>-54</v>
      </c>
    </row>
    <row r="95">
      <c r="A95" t="inlineStr">
        <is>
          <t>FY2025-26</t>
        </is>
      </c>
      <c r="B95" s="2" t="n">
        <v>45889</v>
      </c>
      <c r="C95" t="inlineStr">
        <is>
          <t>CAT(US1491231015) Cash Dividend USD 1.51 per Share - US Tax</t>
        </is>
      </c>
      <c r="D95" t="inlineStr">
        <is>
          <t>USD</t>
        </is>
      </c>
      <c r="E95" t="n">
        <v>-1.89</v>
      </c>
      <c r="F95" t="n">
        <v>-1.89</v>
      </c>
      <c r="G95" t="n">
        <v>87.15000000000001</v>
      </c>
      <c r="H95" t="n">
        <v>-165</v>
      </c>
    </row>
    <row r="96">
      <c r="A96" t="inlineStr">
        <is>
          <t>FY2025-26</t>
        </is>
      </c>
      <c r="B96" s="2" t="n">
        <v>45905</v>
      </c>
      <c r="C96" t="inlineStr">
        <is>
          <t>TIP(US4642871762) Cash Dividend USD 0.417238 per Share - US Tax</t>
        </is>
      </c>
      <c r="D96" t="inlineStr">
        <is>
          <t>USD</t>
        </is>
      </c>
      <c r="E96" t="n">
        <v>-3.44</v>
      </c>
      <c r="F96" t="n">
        <v>-3.44</v>
      </c>
      <c r="G96" t="n">
        <v>87.7</v>
      </c>
      <c r="H96" t="n">
        <v>-302</v>
      </c>
    </row>
    <row r="97">
      <c r="A97" t="inlineStr">
        <is>
          <t>FY2025-26</t>
        </is>
      </c>
      <c r="B97" s="2" t="n">
        <v>45905</v>
      </c>
      <c r="C97" t="inlineStr">
        <is>
          <t>TIP(US4642871762) Cash Dividend USD 0.417238 per Share - US Tax</t>
        </is>
      </c>
      <c r="D97" t="inlineStr">
        <is>
          <t>USD</t>
        </is>
      </c>
      <c r="E97" t="n">
        <v>3.44</v>
      </c>
      <c r="F97" t="n">
        <v>3.44</v>
      </c>
      <c r="G97" t="n">
        <v>87.7</v>
      </c>
      <c r="H97" t="n">
        <v>302</v>
      </c>
    </row>
    <row r="98">
      <c r="A98" t="inlineStr">
        <is>
          <t>FY2025-26</t>
        </is>
      </c>
      <c r="B98" s="2" t="n">
        <v>45915</v>
      </c>
      <c r="C98" t="inlineStr">
        <is>
          <t>GOOG(US02079K1079) Cash Dividend USD 0.21 per Share - US Tax</t>
        </is>
      </c>
      <c r="D98" t="inlineStr">
        <is>
          <t>USD</t>
        </is>
      </c>
      <c r="E98" t="n">
        <v>-0.16</v>
      </c>
      <c r="F98" t="n">
        <v>-0.16</v>
      </c>
      <c r="G98" t="n">
        <v>87.7</v>
      </c>
      <c r="H98" t="n">
        <v>-14</v>
      </c>
    </row>
    <row r="99">
      <c r="A99" t="inlineStr">
        <is>
          <t>FY2025-26</t>
        </is>
      </c>
      <c r="B99" s="2" t="n">
        <v>45919</v>
      </c>
      <c r="C99" t="inlineStr">
        <is>
          <t>IWR(US4642874998) Cash Dividend USD 0.322439 per Share - US Tax</t>
        </is>
      </c>
      <c r="D99" t="inlineStr">
        <is>
          <t>USD</t>
        </is>
      </c>
      <c r="E99" t="n">
        <v>-0.97</v>
      </c>
      <c r="F99" t="n">
        <v>-0.97</v>
      </c>
      <c r="G99" t="n">
        <v>87.7</v>
      </c>
      <c r="H99" t="n">
        <v>-85</v>
      </c>
    </row>
    <row r="100">
      <c r="A100" t="inlineStr">
        <is>
          <t>FY2025-26</t>
        </is>
      </c>
      <c r="B100" s="2" t="n">
        <v>45919</v>
      </c>
      <c r="C100" t="inlineStr">
        <is>
          <t>IWR(US4642874998) Cash Dividend USD 0.322439 per Share - US Tax</t>
        </is>
      </c>
      <c r="D100" t="inlineStr">
        <is>
          <t>USD</t>
        </is>
      </c>
      <c r="E100" t="n">
        <v>0.97</v>
      </c>
      <c r="F100" t="n">
        <v>0.97</v>
      </c>
      <c r="G100" t="n">
        <v>87.7</v>
      </c>
      <c r="H100" t="n">
        <v>85</v>
      </c>
    </row>
    <row r="101">
      <c r="A101" t="inlineStr">
        <is>
          <t>FY2025-26</t>
        </is>
      </c>
      <c r="B101" s="2" t="n">
        <v>45919</v>
      </c>
      <c r="C101" t="inlineStr">
        <is>
          <t>IWR(US4642874998) Cash Dividend USD 0.322439 per Share - US Tax</t>
        </is>
      </c>
      <c r="D101" t="inlineStr">
        <is>
          <t>USD</t>
        </is>
      </c>
      <c r="E101" t="n">
        <v>-0.96</v>
      </c>
      <c r="F101" t="n">
        <v>-0.96</v>
      </c>
      <c r="G101" t="n">
        <v>87.7</v>
      </c>
      <c r="H101" t="n">
        <v>-84</v>
      </c>
    </row>
    <row r="102">
      <c r="A102" t="inlineStr">
        <is>
          <t>FY2025-26</t>
        </is>
      </c>
      <c r="B102" s="2" t="n">
        <v>45923</v>
      </c>
      <c r="C102" t="inlineStr">
        <is>
          <t>VT(US9220427424) Cash Dividend USD 0.4781 per Share - US Tax</t>
        </is>
      </c>
      <c r="D102" t="inlineStr">
        <is>
          <t>USD</t>
        </is>
      </c>
      <c r="E102" t="n">
        <v>-1.67</v>
      </c>
      <c r="F102" t="n">
        <v>-1.67</v>
      </c>
      <c r="G102" t="n">
        <v>87.7</v>
      </c>
      <c r="H102" t="n">
        <v>-146</v>
      </c>
    </row>
    <row r="103">
      <c r="A103" t="inlineStr">
        <is>
          <t>FY2025-26</t>
        </is>
      </c>
      <c r="B103" s="2" t="n">
        <v>45931</v>
      </c>
      <c r="C103" t="inlineStr">
        <is>
          <t>VTV(US9229087443) Cash Dividend USD 0.9433 per Share - US Tax</t>
        </is>
      </c>
      <c r="D103" t="inlineStr">
        <is>
          <t>USD</t>
        </is>
      </c>
      <c r="E103" t="n">
        <v>-1.42</v>
      </c>
      <c r="F103" t="n">
        <v>-1.42</v>
      </c>
      <c r="G103" t="n">
        <v>88.34999999999999</v>
      </c>
      <c r="H103" t="n">
        <v>-125</v>
      </c>
    </row>
    <row r="104">
      <c r="A104" t="inlineStr">
        <is>
          <t>FY2025-26</t>
        </is>
      </c>
      <c r="B104" s="2" t="n">
        <v>45932</v>
      </c>
      <c r="C104" t="inlineStr">
        <is>
          <t>NVDA(US67066G1040) Cash Dividend USD 0.01 per Share - US Tax</t>
        </is>
      </c>
      <c r="D104" t="inlineStr">
        <is>
          <t>USD</t>
        </is>
      </c>
      <c r="E104" t="n">
        <v>-0.02</v>
      </c>
      <c r="F104" t="n">
        <v>-0.02</v>
      </c>
      <c r="G104" t="n">
        <v>88.34999999999999</v>
      </c>
      <c r="H104" t="n">
        <v>-2</v>
      </c>
    </row>
    <row r="105">
      <c r="A105" t="inlineStr">
        <is>
          <t>FY2025-26</t>
        </is>
      </c>
      <c r="B105" s="2" t="n">
        <v>45936</v>
      </c>
      <c r="C105" t="inlineStr">
        <is>
          <t>IEF(US4642874402) Cash Dividend USD 0.294485 per Share - US Tax</t>
        </is>
      </c>
      <c r="D105" t="inlineStr">
        <is>
          <t>USD</t>
        </is>
      </c>
      <c r="E105" t="n">
        <v>-0.88</v>
      </c>
      <c r="F105" t="n">
        <v>-0.88</v>
      </c>
      <c r="G105" t="n">
        <v>88.34999999999999</v>
      </c>
      <c r="H105" t="n">
        <v>-78</v>
      </c>
    </row>
    <row r="106">
      <c r="A106" t="inlineStr">
        <is>
          <t>FY2025-26</t>
        </is>
      </c>
      <c r="B106" s="2" t="n">
        <v>45936</v>
      </c>
      <c r="C106" t="inlineStr">
        <is>
          <t>IEF(US4642874402) Cash Dividend USD 0.294485 per Share - US Tax</t>
        </is>
      </c>
      <c r="D106" t="inlineStr">
        <is>
          <t>USD</t>
        </is>
      </c>
      <c r="E106" t="n">
        <v>0.88</v>
      </c>
      <c r="F106" t="n">
        <v>0.88</v>
      </c>
      <c r="G106" t="n">
        <v>88.34999999999999</v>
      </c>
      <c r="H106" t="n">
        <v>78</v>
      </c>
    </row>
    <row r="107">
      <c r="A107" t="inlineStr">
        <is>
          <t>FY2025-26</t>
        </is>
      </c>
      <c r="B107" s="2" t="n">
        <v>45936</v>
      </c>
      <c r="C107" t="inlineStr">
        <is>
          <t>TIP(US4642871762) Cash Dividend USD 0.198069 per Share - US Tax</t>
        </is>
      </c>
      <c r="D107" t="inlineStr">
        <is>
          <t>USD</t>
        </is>
      </c>
      <c r="E107" t="n">
        <v>-1.64</v>
      </c>
      <c r="F107" t="n">
        <v>-1.64</v>
      </c>
      <c r="G107" t="n">
        <v>88.34999999999999</v>
      </c>
      <c r="H107" t="n">
        <v>-145</v>
      </c>
    </row>
    <row r="108">
      <c r="A108" t="inlineStr">
        <is>
          <t>FY2025-26</t>
        </is>
      </c>
      <c r="B108" s="2" t="n">
        <v>45936</v>
      </c>
      <c r="C108" t="inlineStr">
        <is>
          <t>TIP(US4642871762) Cash Dividend USD 0.198069 per Share - US Tax</t>
        </is>
      </c>
      <c r="D108" t="inlineStr">
        <is>
          <t>USD</t>
        </is>
      </c>
      <c r="E108" t="n">
        <v>1.64</v>
      </c>
      <c r="F108" t="n">
        <v>1.64</v>
      </c>
      <c r="G108" t="n">
        <v>88.34999999999999</v>
      </c>
      <c r="H108" t="n">
        <v>145</v>
      </c>
    </row>
    <row r="109">
      <c r="A109" t="inlineStr">
        <is>
          <t>FY2025-26</t>
        </is>
      </c>
      <c r="B109" s="2" t="n">
        <v>45939</v>
      </c>
      <c r="C109" t="inlineStr">
        <is>
          <t>CRM(US79466L3024) Cash Dividend USD 0.416 per Share - US Tax</t>
        </is>
      </c>
      <c r="D109" t="inlineStr">
        <is>
          <t>USD</t>
        </is>
      </c>
      <c r="E109" t="n">
        <v>-26.83</v>
      </c>
      <c r="F109" t="n">
        <v>-26.83</v>
      </c>
      <c r="G109" t="n">
        <v>88.34999999999999</v>
      </c>
      <c r="H109" t="n">
        <v>-2370</v>
      </c>
    </row>
    <row r="110">
      <c r="A110" t="inlineStr">
        <is>
          <t>FY2025-26</t>
        </is>
      </c>
      <c r="B110" s="2" t="n">
        <v>45961</v>
      </c>
      <c r="C110" t="inlineStr">
        <is>
          <t>QQQ(US46090E1038) Cash Dividend USD 0.69395 per Share - US Tax</t>
        </is>
      </c>
      <c r="D110" t="inlineStr">
        <is>
          <t>USD</t>
        </is>
      </c>
      <c r="E110" t="n">
        <v>-0.35</v>
      </c>
      <c r="F110" t="n">
        <v>-0.35</v>
      </c>
      <c r="G110" t="n">
        <v>88.34999999999999</v>
      </c>
      <c r="H110" t="n">
        <v>-31</v>
      </c>
    </row>
    <row r="111">
      <c r="A111" t="inlineStr">
        <is>
          <t>FY2025-26</t>
        </is>
      </c>
      <c r="B111" s="2" t="n">
        <v>45967</v>
      </c>
      <c r="C111" t="inlineStr">
        <is>
          <t>IEF(US4642874402) Cash Dividend USD 0.303792 per Share - US Tax</t>
        </is>
      </c>
      <c r="D111" t="inlineStr">
        <is>
          <t>USD</t>
        </is>
      </c>
      <c r="E111" t="n">
        <v>-0.91</v>
      </c>
      <c r="F111" t="n">
        <v>-0.91</v>
      </c>
      <c r="G111" t="n">
        <v>88.2</v>
      </c>
      <c r="H111" t="n">
        <v>-80</v>
      </c>
    </row>
    <row r="112">
      <c r="A112" t="inlineStr">
        <is>
          <t>FY2025-26</t>
        </is>
      </c>
      <c r="B112" s="2" t="n">
        <v>45967</v>
      </c>
      <c r="C112" t="inlineStr">
        <is>
          <t>IEF(US4642874402) Cash Dividend USD 0.303792 per Share - US Tax</t>
        </is>
      </c>
      <c r="D112" t="inlineStr">
        <is>
          <t>USD</t>
        </is>
      </c>
      <c r="E112" t="n">
        <v>0.91</v>
      </c>
      <c r="F112" t="n">
        <v>0.91</v>
      </c>
      <c r="G112" t="n">
        <v>88.2</v>
      </c>
      <c r="H112" t="n">
        <v>80</v>
      </c>
    </row>
    <row r="113">
      <c r="A113" t="inlineStr">
        <is>
          <t>FY2025-26</t>
        </is>
      </c>
      <c r="B113" s="2" t="n">
        <v>45967</v>
      </c>
      <c r="C113" t="inlineStr">
        <is>
          <t>TIP(US4642871762) Cash Dividend USD 0.360933 per Share - US Tax</t>
        </is>
      </c>
      <c r="D113" t="inlineStr">
        <is>
          <t>USD</t>
        </is>
      </c>
      <c r="E113" t="n">
        <v>-2.98</v>
      </c>
      <c r="F113" t="n">
        <v>-2.98</v>
      </c>
      <c r="G113" t="n">
        <v>88.2</v>
      </c>
      <c r="H113" t="n">
        <v>-263</v>
      </c>
    </row>
    <row r="114">
      <c r="A114" t="inlineStr">
        <is>
          <t>FY2025-26</t>
        </is>
      </c>
      <c r="B114" s="2" t="n">
        <v>45967</v>
      </c>
      <c r="C114" t="inlineStr">
        <is>
          <t>TIP(US4642871762) Cash Dividend USD 0.360933 per Share - US Tax</t>
        </is>
      </c>
      <c r="D114" t="inlineStr">
        <is>
          <t>USD</t>
        </is>
      </c>
      <c r="E114" t="n">
        <v>2.98</v>
      </c>
      <c r="F114" t="n">
        <v>2.98</v>
      </c>
      <c r="G114" t="n">
        <v>88.2</v>
      </c>
      <c r="H114" t="n">
        <v>263</v>
      </c>
    </row>
    <row r="115">
      <c r="A115" t="inlineStr">
        <is>
          <t>FY2025-26</t>
        </is>
      </c>
      <c r="B115" s="2" t="n">
        <v>45974</v>
      </c>
      <c r="C115" t="inlineStr">
        <is>
          <t>AAPL(US0378331005) Cash Dividend USD 0.26 per Share - US Tax</t>
        </is>
      </c>
      <c r="D115" t="inlineStr">
        <is>
          <t>USD</t>
        </is>
      </c>
      <c r="E115" t="n">
        <v>-0.2</v>
      </c>
      <c r="F115" t="n">
        <v>-0.2</v>
      </c>
      <c r="G115" t="n">
        <v>88.2</v>
      </c>
      <c r="H115" t="n">
        <v>-18</v>
      </c>
    </row>
    <row r="116">
      <c r="A116" t="inlineStr">
        <is>
          <t>FY2025-26</t>
        </is>
      </c>
      <c r="B116" s="2" t="n">
        <v>45992</v>
      </c>
      <c r="C116" t="inlineStr">
        <is>
          <t>WFC(US9497461015) Cash Dividend USD 0.45 per Share - US Tax</t>
        </is>
      </c>
      <c r="D116" t="inlineStr">
        <is>
          <t>USD</t>
        </is>
      </c>
      <c r="E116" t="n">
        <v>-3.71</v>
      </c>
      <c r="F116" t="n">
        <v>-3.71</v>
      </c>
      <c r="G116" t="n">
        <v>88.95</v>
      </c>
      <c r="H116" t="n">
        <v>-330</v>
      </c>
    </row>
    <row r="117">
      <c r="A117" t="inlineStr">
        <is>
          <t>FY2025-26</t>
        </is>
      </c>
      <c r="B117" s="2" t="n">
        <v>45995</v>
      </c>
      <c r="C117" t="inlineStr">
        <is>
          <t>IEF(US4642874402) Cash Dividend USD 0.288439 per Share - US Tax</t>
        </is>
      </c>
      <c r="D117" t="inlineStr">
        <is>
          <t>USD</t>
        </is>
      </c>
      <c r="E117" t="n">
        <v>-0.87</v>
      </c>
      <c r="F117" t="n">
        <v>-0.87</v>
      </c>
      <c r="G117" t="n">
        <v>88.95</v>
      </c>
      <c r="H117" t="n">
        <v>-77</v>
      </c>
    </row>
    <row r="118">
      <c r="A118" t="inlineStr">
        <is>
          <t>FY2025-26</t>
        </is>
      </c>
      <c r="B118" s="2" t="n">
        <v>45995</v>
      </c>
      <c r="C118" t="inlineStr">
        <is>
          <t>IEF(US4642874402) Cash Dividend USD 0.288439 per Share - US Tax</t>
        </is>
      </c>
      <c r="D118" t="inlineStr">
        <is>
          <t>USD</t>
        </is>
      </c>
      <c r="E118" t="n">
        <v>0.87</v>
      </c>
      <c r="F118" t="n">
        <v>0.87</v>
      </c>
      <c r="G118" t="n">
        <v>88.95</v>
      </c>
      <c r="H118" t="n">
        <v>77</v>
      </c>
    </row>
    <row r="119">
      <c r="A119" t="inlineStr">
        <is>
          <t>FY2025-26</t>
        </is>
      </c>
      <c r="B119" s="2" t="n">
        <v>45995</v>
      </c>
      <c r="C119" t="inlineStr">
        <is>
          <t>TIP(US4642871762) Cash Dividend USD 0.322417 per Share - US Tax</t>
        </is>
      </c>
      <c r="D119" t="inlineStr">
        <is>
          <t>USD</t>
        </is>
      </c>
      <c r="E119" t="n">
        <v>-2.66</v>
      </c>
      <c r="F119" t="n">
        <v>-2.66</v>
      </c>
      <c r="G119" t="n">
        <v>88.95</v>
      </c>
      <c r="H119" t="n">
        <v>-237</v>
      </c>
    </row>
    <row r="120">
      <c r="A120" t="inlineStr">
        <is>
          <t>FY2025-26</t>
        </is>
      </c>
      <c r="B120" s="2" t="n">
        <v>45995</v>
      </c>
      <c r="C120" t="inlineStr">
        <is>
          <t>TIP(US4642871762) Cash Dividend USD 0.322417 per Share - US Tax</t>
        </is>
      </c>
      <c r="D120" t="inlineStr">
        <is>
          <t>USD</t>
        </is>
      </c>
      <c r="E120" t="n">
        <v>2.66</v>
      </c>
      <c r="F120" t="n">
        <v>2.66</v>
      </c>
      <c r="G120" t="n">
        <v>88.95</v>
      </c>
      <c r="H120" t="n">
        <v>237</v>
      </c>
    </row>
    <row r="121">
      <c r="A121" t="inlineStr">
        <is>
          <t>FY2025-26</t>
        </is>
      </c>
      <c r="B121" s="2" t="n">
        <v>46001</v>
      </c>
      <c r="C121" t="inlineStr">
        <is>
          <t>LLY(US5324571083) Cash Dividend USD 1.50 per Share - US Tax</t>
        </is>
      </c>
      <c r="D121" t="inlineStr">
        <is>
          <t>USD</t>
        </is>
      </c>
      <c r="E121" t="n">
        <v>-0.5600000000000001</v>
      </c>
      <c r="F121" t="n">
        <v>-0.5600000000000001</v>
      </c>
      <c r="G121" t="n">
        <v>88.95</v>
      </c>
      <c r="H121" t="n">
        <v>-50</v>
      </c>
    </row>
    <row r="122">
      <c r="A122" t="inlineStr">
        <is>
          <t>FY2025-26</t>
        </is>
      </c>
      <c r="B122" s="2" t="n">
        <v>46001</v>
      </c>
      <c r="C122" t="inlineStr">
        <is>
          <t>XOM(US30231G1022) Cash Dividend USD 1.03 per Share - US Tax</t>
        </is>
      </c>
      <c r="D122" t="inlineStr">
        <is>
          <t>USD</t>
        </is>
      </c>
      <c r="E122" t="n">
        <v>-3.09</v>
      </c>
      <c r="F122" t="n">
        <v>-3.09</v>
      </c>
      <c r="G122" t="n">
        <v>88.95</v>
      </c>
      <c r="H122" t="n">
        <v>-275</v>
      </c>
    </row>
    <row r="123">
      <c r="A123" t="inlineStr">
        <is>
          <t>FY2025-26</t>
        </is>
      </c>
      <c r="B123" s="2" t="n">
        <v>46006</v>
      </c>
      <c r="C123" t="inlineStr">
        <is>
          <t>GOOG(US02079K1079) Cash Dividend USD 0.21 per Share - US Tax</t>
        </is>
      </c>
      <c r="D123" t="inlineStr">
        <is>
          <t>USD</t>
        </is>
      </c>
      <c r="E123" t="n">
        <v>-0.16</v>
      </c>
      <c r="F123" t="n">
        <v>-0.16</v>
      </c>
      <c r="G123" t="n">
        <v>88.95</v>
      </c>
      <c r="H123" t="n">
        <v>-14</v>
      </c>
    </row>
    <row r="124">
      <c r="A124" t="inlineStr">
        <is>
          <t>FY2025-26</t>
        </is>
      </c>
      <c r="B124" s="2" t="n">
        <v>46009</v>
      </c>
      <c r="C124" t="inlineStr">
        <is>
          <t>QCOM(US7475251036) Cash Dividend USD 0.89 per Share - US Tax</t>
        </is>
      </c>
      <c r="D124" t="inlineStr">
        <is>
          <t>USD</t>
        </is>
      </c>
      <c r="E124" t="n">
        <v>-2</v>
      </c>
      <c r="F124" t="n">
        <v>-2</v>
      </c>
      <c r="G124" t="n">
        <v>88.95</v>
      </c>
      <c r="H124" t="n">
        <v>-178</v>
      </c>
    </row>
    <row r="125">
      <c r="A125" t="inlineStr">
        <is>
          <t>FY2025-26</t>
        </is>
      </c>
      <c r="B125" s="2" t="n">
        <v>46010</v>
      </c>
      <c r="C125" t="inlineStr">
        <is>
          <t>AAXJ(US4642881829) Cash Dividend USD 1.12455 per Share - US Tax</t>
        </is>
      </c>
      <c r="D125" t="inlineStr">
        <is>
          <t>USD</t>
        </is>
      </c>
      <c r="E125" t="n">
        <v>-2.25</v>
      </c>
      <c r="F125" t="n">
        <v>-2.25</v>
      </c>
      <c r="G125" t="n">
        <v>88.95</v>
      </c>
      <c r="H125" t="n">
        <v>-200</v>
      </c>
    </row>
    <row r="126">
      <c r="A126" t="inlineStr">
        <is>
          <t>FY2025-26</t>
        </is>
      </c>
      <c r="B126" s="2" t="n">
        <v>46010</v>
      </c>
      <c r="C126" t="inlineStr">
        <is>
          <t>AAXJ(US4642881829) Cash Dividend USD 1.12455 per Share - US Tax</t>
        </is>
      </c>
      <c r="D126" t="inlineStr">
        <is>
          <t>USD</t>
        </is>
      </c>
      <c r="E126" t="n">
        <v>2.25</v>
      </c>
      <c r="F126" t="n">
        <v>2.25</v>
      </c>
      <c r="G126" t="n">
        <v>88.95</v>
      </c>
      <c r="H126" t="n">
        <v>200</v>
      </c>
    </row>
    <row r="127">
      <c r="A127" t="inlineStr">
        <is>
          <t>FY2025-26</t>
        </is>
      </c>
      <c r="B127" s="2" t="n">
        <v>46010</v>
      </c>
      <c r="C127" t="inlineStr">
        <is>
          <t>AAXJ(US4642881829) Cash Dividend USD 1.12455 per Share - US Tax</t>
        </is>
      </c>
      <c r="D127" t="inlineStr">
        <is>
          <t>USD</t>
        </is>
      </c>
      <c r="E127" t="n">
        <v>-2.21</v>
      </c>
      <c r="F127" t="n">
        <v>-2.21</v>
      </c>
      <c r="G127" t="n">
        <v>88.95</v>
      </c>
      <c r="H127" t="n">
        <v>-197</v>
      </c>
    </row>
    <row r="128">
      <c r="A128" t="inlineStr">
        <is>
          <t>FY2025-26</t>
        </is>
      </c>
      <c r="B128" s="2" t="n">
        <v>46010</v>
      </c>
      <c r="C128" t="inlineStr">
        <is>
          <t>ICLN(US4642882249) Cash Dividend USD 0.128205 per Share - US Tax</t>
        </is>
      </c>
      <c r="D128" t="inlineStr">
        <is>
          <t>USD</t>
        </is>
      </c>
      <c r="E128" t="n">
        <v>-1.6</v>
      </c>
      <c r="F128" t="n">
        <v>-1.6</v>
      </c>
      <c r="G128" t="n">
        <v>88.95</v>
      </c>
      <c r="H128" t="n">
        <v>-142</v>
      </c>
    </row>
    <row r="129">
      <c r="A129" t="inlineStr">
        <is>
          <t>FY2025-26</t>
        </is>
      </c>
      <c r="B129" s="2" t="n">
        <v>46010</v>
      </c>
      <c r="C129" t="inlineStr">
        <is>
          <t>IWR(US4642874998) Cash Dividend USD 0.393709 per Share - US Tax</t>
        </is>
      </c>
      <c r="D129" t="inlineStr">
        <is>
          <t>USD</t>
        </is>
      </c>
      <c r="E129" t="n">
        <v>-1.18</v>
      </c>
      <c r="F129" t="n">
        <v>-1.18</v>
      </c>
      <c r="G129" t="n">
        <v>88.95</v>
      </c>
      <c r="H129" t="n">
        <v>-105</v>
      </c>
    </row>
    <row r="130">
      <c r="A130" t="inlineStr">
        <is>
          <t>FY2025-26</t>
        </is>
      </c>
      <c r="B130" s="2" t="n">
        <v>46010</v>
      </c>
      <c r="C130" t="inlineStr">
        <is>
          <t>IWR(US4642874998) Cash Dividend USD 0.393709 per Share - US Tax</t>
        </is>
      </c>
      <c r="D130" t="inlineStr">
        <is>
          <t>USD</t>
        </is>
      </c>
      <c r="E130" t="n">
        <v>1.18</v>
      </c>
      <c r="F130" t="n">
        <v>1.18</v>
      </c>
      <c r="G130" t="n">
        <v>88.95</v>
      </c>
      <c r="H130" t="n">
        <v>105</v>
      </c>
    </row>
    <row r="131">
      <c r="A131" t="inlineStr">
        <is>
          <t>FY2025-26</t>
        </is>
      </c>
      <c r="B131" s="2" t="n">
        <v>46010</v>
      </c>
      <c r="C131" t="inlineStr">
        <is>
          <t>IWR(US4642874998) Cash Dividend USD 0.393709 per Share - US Tax</t>
        </is>
      </c>
      <c r="D131" t="inlineStr">
        <is>
          <t>USD</t>
        </is>
      </c>
      <c r="E131" t="n">
        <v>-1.17</v>
      </c>
      <c r="F131" t="n">
        <v>-1.17</v>
      </c>
      <c r="G131" t="n">
        <v>88.95</v>
      </c>
      <c r="H131" t="n">
        <v>-104</v>
      </c>
    </row>
    <row r="132">
      <c r="A132" t="inlineStr">
        <is>
          <t>FY2025-26</t>
        </is>
      </c>
      <c r="B132" s="2" t="n">
        <v>46014</v>
      </c>
      <c r="C132" t="inlineStr">
        <is>
          <t>META(US30303M1027) Cash Dividend USD 0.525 per Share - US Tax</t>
        </is>
      </c>
      <c r="D132" t="inlineStr">
        <is>
          <t>USD</t>
        </is>
      </c>
      <c r="E132" t="n">
        <v>-0.4</v>
      </c>
      <c r="F132" t="n">
        <v>-0.4</v>
      </c>
      <c r="G132" t="n">
        <v>88.95</v>
      </c>
      <c r="H132" t="n">
        <v>-36</v>
      </c>
    </row>
    <row r="133">
      <c r="A133" t="inlineStr">
        <is>
          <t>FY2025-26</t>
        </is>
      </c>
      <c r="B133" s="2" t="n">
        <v>46014</v>
      </c>
      <c r="C133" t="inlineStr">
        <is>
          <t>VT(US9220427424) Cash Dividend USD 1.1152 per Share - US Tax</t>
        </is>
      </c>
      <c r="D133" t="inlineStr">
        <is>
          <t>USD</t>
        </is>
      </c>
      <c r="E133" t="n">
        <v>-3.9</v>
      </c>
      <c r="F133" t="n">
        <v>-3.9</v>
      </c>
      <c r="G133" t="n">
        <v>88.95</v>
      </c>
      <c r="H133" t="n">
        <v>-347</v>
      </c>
    </row>
    <row r="134">
      <c r="A134" t="inlineStr">
        <is>
          <t>FY2025-26</t>
        </is>
      </c>
      <c r="B134" s="2" t="n">
        <v>46015</v>
      </c>
      <c r="C134" t="inlineStr">
        <is>
          <t>IEF(US4642874402) Cash Dividend USD 0.312713 per Share - US Tax</t>
        </is>
      </c>
      <c r="D134" t="inlineStr">
        <is>
          <t>USD</t>
        </is>
      </c>
      <c r="E134" t="n">
        <v>-0.9399999999999999</v>
      </c>
      <c r="F134" t="n">
        <v>-0.9399999999999999</v>
      </c>
      <c r="G134" t="n">
        <v>88.95</v>
      </c>
      <c r="H134" t="n">
        <v>-84</v>
      </c>
    </row>
    <row r="135">
      <c r="A135" t="inlineStr">
        <is>
          <t>FY2025-26</t>
        </is>
      </c>
      <c r="B135" s="2" t="n">
        <v>46015</v>
      </c>
      <c r="C135" t="inlineStr">
        <is>
          <t>IEF(US4642874402) Cash Dividend USD 0.312713 per Share - US Tax</t>
        </is>
      </c>
      <c r="D135" t="inlineStr">
        <is>
          <t>USD</t>
        </is>
      </c>
      <c r="E135" t="n">
        <v>0.9399999999999999</v>
      </c>
      <c r="F135" t="n">
        <v>0.9399999999999999</v>
      </c>
      <c r="G135" t="n">
        <v>88.95</v>
      </c>
      <c r="H135" t="n">
        <v>84</v>
      </c>
    </row>
    <row r="136">
      <c r="A136" t="inlineStr">
        <is>
          <t>FY2025-26</t>
        </is>
      </c>
      <c r="B136" s="2" t="n">
        <v>46015</v>
      </c>
      <c r="C136" t="inlineStr">
        <is>
          <t>TIP(US4642871762) Cash Dividend USD 0.341961 per Share - US Tax</t>
        </is>
      </c>
      <c r="D136" t="inlineStr">
        <is>
          <t>USD</t>
        </is>
      </c>
      <c r="E136" t="n">
        <v>-2.82</v>
      </c>
      <c r="F136" t="n">
        <v>-2.82</v>
      </c>
      <c r="G136" t="n">
        <v>88.95</v>
      </c>
      <c r="H136" t="n">
        <v>-251</v>
      </c>
    </row>
    <row r="137">
      <c r="A137" t="inlineStr">
        <is>
          <t>FY2025-26</t>
        </is>
      </c>
      <c r="B137" s="2" t="n">
        <v>46015</v>
      </c>
      <c r="C137" t="inlineStr">
        <is>
          <t>TIP(US4642871762) Cash Dividend USD 0.341961 per Share - US Tax</t>
        </is>
      </c>
      <c r="D137" t="inlineStr">
        <is>
          <t>USD</t>
        </is>
      </c>
      <c r="E137" t="n">
        <v>2.82</v>
      </c>
      <c r="F137" t="n">
        <v>2.82</v>
      </c>
      <c r="G137" t="n">
        <v>88.95</v>
      </c>
      <c r="H137" t="n">
        <v>251</v>
      </c>
    </row>
    <row r="138">
      <c r="A138" t="inlineStr">
        <is>
          <t>FY2025-26</t>
        </is>
      </c>
      <c r="B138" s="2" t="n">
        <v>46015</v>
      </c>
      <c r="C138" t="inlineStr">
        <is>
          <t>VTV(US9229087443) Cash Dividend USD 0.9862 per Share - US Tax</t>
        </is>
      </c>
      <c r="D138" t="inlineStr">
        <is>
          <t>USD</t>
        </is>
      </c>
      <c r="E138" t="n">
        <v>-1.48</v>
      </c>
      <c r="F138" t="n">
        <v>-1.48</v>
      </c>
      <c r="G138" t="n">
        <v>88.95</v>
      </c>
      <c r="H138" t="n">
        <v>-132</v>
      </c>
    </row>
    <row r="139">
      <c r="A139" t="inlineStr">
        <is>
          <t>FY2025-26</t>
        </is>
      </c>
      <c r="B139" s="2" t="n">
        <v>46017</v>
      </c>
      <c r="C139" t="inlineStr">
        <is>
          <t>NVDA(US67066G1040) Cash Dividend USD 0.01 per Share - US Tax</t>
        </is>
      </c>
      <c r="D139" t="inlineStr">
        <is>
          <t>USD</t>
        </is>
      </c>
      <c r="E139" t="n">
        <v>-0.02</v>
      </c>
      <c r="F139" t="n">
        <v>-0.02</v>
      </c>
      <c r="G139" t="n">
        <v>88.95</v>
      </c>
      <c r="H139" t="n">
        <v>-2</v>
      </c>
    </row>
    <row r="140">
      <c r="A140" t="inlineStr">
        <is>
          <t>FY2025-26</t>
        </is>
      </c>
      <c r="B140" s="2" t="n">
        <v>46022</v>
      </c>
      <c r="C140" t="inlineStr">
        <is>
          <t>QQQ(US46090E1038) Cash Dividend USD 0.79408 per Share - US Tax</t>
        </is>
      </c>
      <c r="D140" t="inlineStr">
        <is>
          <t>USD</t>
        </is>
      </c>
      <c r="E140" t="n">
        <v>-0.4</v>
      </c>
      <c r="F140" t="n">
        <v>-0.4</v>
      </c>
      <c r="G140" t="n">
        <v>88.95</v>
      </c>
      <c r="H140" t="n">
        <v>-36</v>
      </c>
    </row>
    <row r="141">
      <c r="A141" t="inlineStr">
        <is>
          <t>FY2025-26</t>
        </is>
      </c>
      <c r="B141" s="2" t="n">
        <v>46029</v>
      </c>
      <c r="C141" t="inlineStr">
        <is>
          <t>BOTZ(US37954Y7159) Cash Dividend USD 0.157961 per Share - US Tax</t>
        </is>
      </c>
      <c r="D141" t="inlineStr">
        <is>
          <t>USD</t>
        </is>
      </c>
      <c r="E141" t="n">
        <v>-0.95</v>
      </c>
      <c r="F141" t="n">
        <v>-0.95</v>
      </c>
      <c r="G141" t="n">
        <v>89.47</v>
      </c>
      <c r="H141" t="n">
        <v>-85</v>
      </c>
    </row>
    <row r="142">
      <c r="A142" t="inlineStr">
        <is>
          <t>FY2025-26</t>
        </is>
      </c>
      <c r="B142" s="2" t="n">
        <v>46029</v>
      </c>
      <c r="C142" t="inlineStr">
        <is>
          <t>URA(US37954Y8710) Cash Dividend USD 2.084331 per Share - US Tax</t>
        </is>
      </c>
      <c r="D142" t="inlineStr">
        <is>
          <t>USD</t>
        </is>
      </c>
      <c r="E142" t="n">
        <v>-12.51</v>
      </c>
      <c r="F142" t="n">
        <v>-12.51</v>
      </c>
      <c r="G142" t="n">
        <v>89.47</v>
      </c>
      <c r="H142" t="n">
        <v>-1119</v>
      </c>
    </row>
    <row r="143">
      <c r="A143" t="inlineStr">
        <is>
          <t>FY2025-26</t>
        </is>
      </c>
      <c r="B143" s="2" t="n">
        <v>46029</v>
      </c>
      <c r="C143" t="inlineStr">
        <is>
          <t>URA(US37954Y8710) Cash Dividend USD 2.084331 per Share - US Tax</t>
        </is>
      </c>
      <c r="D143" t="inlineStr">
        <is>
          <t>USD</t>
        </is>
      </c>
      <c r="E143" t="n">
        <v>12.51</v>
      </c>
      <c r="F143" t="n">
        <v>12.51</v>
      </c>
      <c r="G143" t="n">
        <v>89.47</v>
      </c>
      <c r="H143" t="n">
        <v>1119</v>
      </c>
    </row>
    <row r="144">
      <c r="A144" t="inlineStr">
        <is>
          <t>FY2025-26</t>
        </is>
      </c>
      <c r="B144" s="2" t="n">
        <v>46029</v>
      </c>
      <c r="C144" t="inlineStr">
        <is>
          <t>URA(US37954Y8710) Cash Dividend USD 2.084331 per Share - US Tax</t>
        </is>
      </c>
      <c r="D144" t="inlineStr">
        <is>
          <t>USD</t>
        </is>
      </c>
      <c r="E144" t="n">
        <v>-12.5</v>
      </c>
      <c r="F144" t="n">
        <v>-12.5</v>
      </c>
      <c r="G144" t="n">
        <v>89.47</v>
      </c>
      <c r="H144" t="n">
        <v>-1118</v>
      </c>
    </row>
    <row r="145">
      <c r="A145" t="inlineStr">
        <is>
          <t>FY2025-26</t>
        </is>
      </c>
      <c r="B145" s="2" t="n">
        <v>46030</v>
      </c>
      <c r="C145" t="inlineStr">
        <is>
          <t>CRM(US79466L3024) Cash Dividend USD 0.416 per Share - US Tax</t>
        </is>
      </c>
      <c r="D145" t="inlineStr">
        <is>
          <t>USD</t>
        </is>
      </c>
      <c r="E145" t="n">
        <v>-24.75</v>
      </c>
      <c r="F145" t="n">
        <v>-24.75</v>
      </c>
      <c r="G145" t="n">
        <v>89.47</v>
      </c>
      <c r="H145" t="n">
        <v>-2214</v>
      </c>
    </row>
    <row r="146">
      <c r="A146" t="inlineStr">
        <is>
          <t>FY2025-26</t>
        </is>
      </c>
      <c r="B146" s="2" t="n">
        <v>46058</v>
      </c>
      <c r="C146" t="inlineStr">
        <is>
          <t>IEF(US4642874402) Cash Dividend USD 0.311986 per Share - US Tax</t>
        </is>
      </c>
      <c r="D146" t="inlineStr">
        <is>
          <t>USD</t>
        </is>
      </c>
      <c r="E146" t="n">
        <v>-0.9399999999999999</v>
      </c>
      <c r="F146" t="n">
        <v>-0.9399999999999999</v>
      </c>
      <c r="G146" t="n">
        <v>91.34999999999999</v>
      </c>
      <c r="H146" t="n">
        <v>-86</v>
      </c>
    </row>
    <row r="147">
      <c r="A147" t="inlineStr">
        <is>
          <t>FY2025-26</t>
        </is>
      </c>
      <c r="B147" s="2" t="n">
        <v>46065</v>
      </c>
      <c r="C147" t="inlineStr">
        <is>
          <t>AAPL(US0378331005) Cash Dividend USD 0.26 per Share - US Tax</t>
        </is>
      </c>
      <c r="D147" t="inlineStr">
        <is>
          <t>USD</t>
        </is>
      </c>
      <c r="E147" t="n">
        <v>-0.2</v>
      </c>
      <c r="F147" t="n">
        <v>-0.2</v>
      </c>
      <c r="G147" t="n">
        <v>91.34999999999999</v>
      </c>
      <c r="H147" t="n">
        <v>-18</v>
      </c>
    </row>
    <row r="148">
      <c r="A148" t="inlineStr">
        <is>
          <t>FY2025-26</t>
        </is>
      </c>
      <c r="B148" s="2" t="n">
        <v>46082</v>
      </c>
      <c r="C148" t="inlineStr">
        <is>
          <t>WFC(US9497461015) Cash Dividend USD 0.45 per Share - US Tax</t>
        </is>
      </c>
      <c r="D148" t="inlineStr">
        <is>
          <t>USD</t>
        </is>
      </c>
      <c r="E148" t="n">
        <v>-3.71</v>
      </c>
      <c r="F148" t="n">
        <v>-3.71</v>
      </c>
      <c r="G148" t="n">
        <v>90.56</v>
      </c>
      <c r="H148" t="n">
        <v>-336</v>
      </c>
    </row>
    <row r="149">
      <c r="A149" t="inlineStr">
        <is>
          <t>FY2025-26</t>
        </is>
      </c>
      <c r="B149" s="2" t="n">
        <v>46086</v>
      </c>
      <c r="C149" t="inlineStr">
        <is>
          <t>IEF(US4642874402) Cash Dividend USD 0.28276 per Share - US Tax</t>
        </is>
      </c>
      <c r="D149" t="inlineStr">
        <is>
          <t>USD</t>
        </is>
      </c>
      <c r="E149" t="n">
        <v>-0.85</v>
      </c>
      <c r="F149" t="n">
        <v>-0.85</v>
      </c>
      <c r="G149" t="n">
        <v>90.56</v>
      </c>
      <c r="H149" t="n">
        <v>-77</v>
      </c>
    </row>
    <row r="150">
      <c r="A150" t="inlineStr">
        <is>
          <t>FY2025-26</t>
        </is>
      </c>
      <c r="B150" s="2" t="n">
        <v>46091</v>
      </c>
      <c r="C150" t="inlineStr">
        <is>
          <t>AEP(US0255371017) Cash Dividend USD 0.95 per Share - US Tax</t>
        </is>
      </c>
      <c r="D150" t="inlineStr">
        <is>
          <t>USD</t>
        </is>
      </c>
      <c r="E150" t="n">
        <v>-2.38</v>
      </c>
      <c r="F150" t="n">
        <v>-2.38</v>
      </c>
      <c r="G150" t="n">
        <v>90.56</v>
      </c>
      <c r="H150" t="n">
        <v>-216</v>
      </c>
    </row>
    <row r="151">
      <c r="A151" t="inlineStr">
        <is>
          <t>FY2025-26</t>
        </is>
      </c>
      <c r="B151" s="2" t="n">
        <v>46091</v>
      </c>
      <c r="C151" t="inlineStr">
        <is>
          <t>LLY(US5324571083) Cash Dividend USD 1.73 per Share - US Tax</t>
        </is>
      </c>
      <c r="D151" t="inlineStr">
        <is>
          <t>USD</t>
        </is>
      </c>
      <c r="E151" t="n">
        <v>-0.65</v>
      </c>
      <c r="F151" t="n">
        <v>-0.65</v>
      </c>
      <c r="G151" t="n">
        <v>90.56</v>
      </c>
      <c r="H151" t="n">
        <v>-59</v>
      </c>
    </row>
    <row r="152">
      <c r="A152" t="inlineStr">
        <is>
          <t>FY2025-26</t>
        </is>
      </c>
      <c r="B152" s="2" t="n">
        <v>46091</v>
      </c>
      <c r="C152" t="inlineStr">
        <is>
          <t>XOM(US30231G1022) Cash Dividend USD 1.03 per Share - US Tax</t>
        </is>
      </c>
      <c r="D152" t="inlineStr">
        <is>
          <t>USD</t>
        </is>
      </c>
      <c r="E152" t="n">
        <v>-3.09</v>
      </c>
      <c r="F152" t="n">
        <v>-3.09</v>
      </c>
      <c r="G152" t="n">
        <v>90.56</v>
      </c>
      <c r="H152" t="n">
        <v>-280</v>
      </c>
    </row>
    <row r="153">
      <c r="A153" t="inlineStr">
        <is>
          <t>FY2025-26</t>
        </is>
      </c>
      <c r="B153" s="2" t="n">
        <v>46097</v>
      </c>
      <c r="C153" t="inlineStr">
        <is>
          <t>GOOG(US02079K1079) Cash Dividend USD 0.21 per Share - US Tax</t>
        </is>
      </c>
      <c r="D153" t="inlineStr">
        <is>
          <t>USD</t>
        </is>
      </c>
      <c r="E153" t="n">
        <v>-0.16</v>
      </c>
      <c r="F153" t="n">
        <v>-0.16</v>
      </c>
      <c r="G153" t="n">
        <v>90.56</v>
      </c>
      <c r="H153" t="n">
        <v>-14</v>
      </c>
    </row>
    <row r="154">
      <c r="A154" t="inlineStr">
        <is>
          <t>FY2025-26</t>
        </is>
      </c>
      <c r="B154" s="2" t="n">
        <v>46101</v>
      </c>
      <c r="C154" t="inlineStr">
        <is>
          <t>IWR(US4642874998) Cash Dividend USD 0.261651 per Share - US Tax</t>
        </is>
      </c>
      <c r="D154" t="inlineStr">
        <is>
          <t>USD</t>
        </is>
      </c>
      <c r="E154" t="n">
        <v>-0.79</v>
      </c>
      <c r="F154" t="n">
        <v>-0.79</v>
      </c>
      <c r="G154" t="n">
        <v>90.56</v>
      </c>
      <c r="H154" t="n">
        <v>-72</v>
      </c>
    </row>
    <row r="155">
      <c r="A155" t="inlineStr">
        <is>
          <t>FY2025-26</t>
        </is>
      </c>
      <c r="B155" s="2" t="n">
        <v>46105</v>
      </c>
      <c r="C155" t="inlineStr">
        <is>
          <t>VT(US9220427424) Cash Dividend USD 0.3272 per Share - US Tax</t>
        </is>
      </c>
      <c r="D155" t="inlineStr">
        <is>
          <t>USD</t>
        </is>
      </c>
      <c r="E155" t="n">
        <v>-1.15</v>
      </c>
      <c r="F155" t="n">
        <v>-1.15</v>
      </c>
      <c r="G155" t="n">
        <v>90.56</v>
      </c>
      <c r="H155" t="n">
        <v>-104</v>
      </c>
    </row>
    <row r="156">
      <c r="A156" t="inlineStr">
        <is>
          <t>FY2025-26</t>
        </is>
      </c>
      <c r="B156" s="2" t="n">
        <v>46107</v>
      </c>
      <c r="C156" t="inlineStr">
        <is>
          <t>META(US30303M1027) Cash Dividend USD 0.525 per Share - US Tax</t>
        </is>
      </c>
      <c r="D156" t="inlineStr">
        <is>
          <t>USD</t>
        </is>
      </c>
      <c r="E156" t="n">
        <v>-0.4</v>
      </c>
      <c r="F156" t="n">
        <v>-0.4</v>
      </c>
      <c r="G156" t="n">
        <v>90.56</v>
      </c>
      <c r="H156" t="n">
        <v>-36</v>
      </c>
    </row>
    <row r="157">
      <c r="A157" t="inlineStr">
        <is>
          <t>FY2025-26</t>
        </is>
      </c>
      <c r="B157" s="2" t="n">
        <v>46107</v>
      </c>
      <c r="C157" t="inlineStr">
        <is>
          <t>QCOM(US7475251036) Cash Dividend USD 0.89 per Share - US Tax</t>
        </is>
      </c>
      <c r="D157" t="inlineStr">
        <is>
          <t>USD</t>
        </is>
      </c>
      <c r="E157" t="n">
        <v>-2</v>
      </c>
      <c r="F157" t="n">
        <v>-2</v>
      </c>
      <c r="G157" t="n">
        <v>90.56</v>
      </c>
      <c r="H157" t="n">
        <v>-181</v>
      </c>
    </row>
    <row r="158">
      <c r="A158" t="inlineStr">
        <is>
          <t>FY2025-26</t>
        </is>
      </c>
      <c r="B158" s="2" t="n">
        <v>46108</v>
      </c>
      <c r="C158" t="inlineStr">
        <is>
          <t>QQQ(US46090E1038) Cash Dividend USD 0.73282 per Share - US Tax</t>
        </is>
      </c>
      <c r="D158" t="inlineStr">
        <is>
          <t>USD</t>
        </is>
      </c>
      <c r="E158" t="n">
        <v>-0.37</v>
      </c>
      <c r="F158" t="n">
        <v>-0.37</v>
      </c>
      <c r="G158" t="n">
        <v>90.56</v>
      </c>
      <c r="H158" t="n">
        <v>-34</v>
      </c>
    </row>
    <row r="159">
      <c r="A159" t="inlineStr">
        <is>
          <t>FY2025-26</t>
        </is>
      </c>
      <c r="B159" s="2" t="n">
        <v>46112</v>
      </c>
      <c r="C159" t="inlineStr">
        <is>
          <t>VTV(US9229087443) Cash Dividend USD 1.0792 per Share - US Tax</t>
        </is>
      </c>
      <c r="D159" t="inlineStr">
        <is>
          <t>USD</t>
        </is>
      </c>
      <c r="E159" t="n">
        <v>-1.62</v>
      </c>
      <c r="F159" t="n">
        <v>-1.62</v>
      </c>
      <c r="G159" t="n">
        <v>90.56</v>
      </c>
      <c r="H159" t="n">
        <v>-147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CRM</t>
        </is>
      </c>
      <c r="B5" t="inlineStr">
        <is>
          <t>USD</t>
        </is>
      </c>
      <c r="C5" t="n">
        <v>120</v>
      </c>
      <c r="D5" s="2" t="n">
        <v>45712</v>
      </c>
      <c r="E5" s="2" t="n">
        <v>45754</v>
      </c>
      <c r="F5">
        <f>E5-D5</f>
        <v/>
      </c>
      <c r="G5">
        <f>IF(F5&gt;730,"LTCG","STCG")</f>
        <v/>
      </c>
      <c r="H5" s="3" t="n">
        <v>29427</v>
      </c>
      <c r="I5" s="3" t="n">
        <v>19959.07</v>
      </c>
      <c r="J5" s="3" t="n">
        <v>1.84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86.2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CRM</t>
        </is>
      </c>
      <c r="B6" t="inlineStr">
        <is>
          <t>USD</t>
        </is>
      </c>
      <c r="C6" t="n">
        <v>40</v>
      </c>
      <c r="D6" s="2" t="n">
        <v>45712</v>
      </c>
      <c r="E6" s="2" t="n">
        <v>45800</v>
      </c>
      <c r="F6">
        <f>E6-D6</f>
        <v/>
      </c>
      <c r="G6">
        <f>IF(F6&gt;730,"LTCG","STCG")</f>
        <v/>
      </c>
      <c r="H6" s="3" t="n">
        <v>11181.36</v>
      </c>
      <c r="I6" s="3" t="n">
        <v>8266.790000000001</v>
      </c>
      <c r="J6" s="3" t="n">
        <v>1.01</v>
      </c>
      <c r="K6" s="3" t="n">
        <v>1</v>
      </c>
      <c r="L6">
        <f>H6*K6</f>
        <v/>
      </c>
      <c r="M6">
        <f>I6*K6</f>
        <v/>
      </c>
      <c r="N6" s="3" t="n">
        <v>84.25</v>
      </c>
      <c r="O6" s="3" t="n">
        <v>86.2</v>
      </c>
      <c r="P6" s="3" t="n">
        <v>84.25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AXP</t>
        </is>
      </c>
      <c r="B7" t="inlineStr">
        <is>
          <t>USD</t>
        </is>
      </c>
      <c r="C7" t="n">
        <v>3</v>
      </c>
      <c r="D7" s="2" t="n">
        <v>45754</v>
      </c>
      <c r="E7" s="2" t="n">
        <v>45863</v>
      </c>
      <c r="F7">
        <f>E7-D7</f>
        <v/>
      </c>
      <c r="G7">
        <f>IF(F7&gt;730,"LTCG","STCG")</f>
        <v/>
      </c>
      <c r="H7" s="3" t="n">
        <v>926.16</v>
      </c>
      <c r="I7" s="3" t="n">
        <v>699.42</v>
      </c>
      <c r="J7" s="3" t="n">
        <v>1</v>
      </c>
      <c r="K7" s="3" t="n">
        <v>1</v>
      </c>
      <c r="L7">
        <f>H7*K7</f>
        <v/>
      </c>
      <c r="M7">
        <f>I7*K7</f>
        <v/>
      </c>
      <c r="N7" s="3" t="n">
        <v>85.09999999999999</v>
      </c>
      <c r="O7" s="3" t="n">
        <v>85.09999999999999</v>
      </c>
      <c r="P7" s="3" t="n">
        <v>85.09999999999999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BAC</t>
        </is>
      </c>
      <c r="B8" t="inlineStr">
        <is>
          <t>USD</t>
        </is>
      </c>
      <c r="C8" t="n">
        <v>24</v>
      </c>
      <c r="D8" s="2" t="n">
        <v>45754</v>
      </c>
      <c r="E8" s="2" t="n">
        <v>45863</v>
      </c>
      <c r="F8">
        <f>E8-D8</f>
        <v/>
      </c>
      <c r="G8">
        <f>IF(F8&gt;730,"LTCG","STCG")</f>
        <v/>
      </c>
      <c r="H8" s="3" t="n">
        <v>1153.8</v>
      </c>
      <c r="I8" s="3" t="n">
        <v>874.84</v>
      </c>
      <c r="J8" s="3" t="n">
        <v>1</v>
      </c>
      <c r="K8" s="3" t="n">
        <v>1</v>
      </c>
      <c r="L8">
        <f>H8*K8</f>
        <v/>
      </c>
      <c r="M8">
        <f>I8*K8</f>
        <v/>
      </c>
      <c r="N8" s="3" t="n">
        <v>85.09999999999999</v>
      </c>
      <c r="O8" s="3" t="n">
        <v>85.09999999999999</v>
      </c>
      <c r="P8" s="3" t="n">
        <v>85.09999999999999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BLBD</t>
        </is>
      </c>
      <c r="B9" t="inlineStr">
        <is>
          <t>USD</t>
        </is>
      </c>
      <c r="C9" t="n">
        <v>24</v>
      </c>
      <c r="D9" s="2" t="n">
        <v>45754</v>
      </c>
      <c r="E9" s="2" t="n">
        <v>45863</v>
      </c>
      <c r="F9">
        <f>E9-D9</f>
        <v/>
      </c>
      <c r="G9">
        <f>IF(F9&gt;730,"LTCG","STCG")</f>
        <v/>
      </c>
      <c r="H9" s="3" t="n">
        <v>1103.88</v>
      </c>
      <c r="I9" s="3" t="n">
        <v>780.64</v>
      </c>
      <c r="J9" s="3" t="n">
        <v>1</v>
      </c>
      <c r="K9" s="3" t="n">
        <v>1</v>
      </c>
      <c r="L9">
        <f>H9*K9</f>
        <v/>
      </c>
      <c r="M9">
        <f>I9*K9</f>
        <v/>
      </c>
      <c r="N9" s="3" t="n">
        <v>85.09999999999999</v>
      </c>
      <c r="O9" s="3" t="n">
        <v>85.09999999999999</v>
      </c>
      <c r="P9" s="3" t="n">
        <v>85.09999999999999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BTI</t>
        </is>
      </c>
      <c r="B10" t="inlineStr">
        <is>
          <t>USD</t>
        </is>
      </c>
      <c r="C10" t="n">
        <v>19</v>
      </c>
      <c r="D10" s="2" t="n">
        <v>45754</v>
      </c>
      <c r="E10" s="2" t="n">
        <v>45863</v>
      </c>
      <c r="F10">
        <f>E10-D10</f>
        <v/>
      </c>
      <c r="G10">
        <f>IF(F10&gt;730,"LTCG","STCG")</f>
        <v/>
      </c>
      <c r="H10" s="3" t="n">
        <v>994.9299999999999</v>
      </c>
      <c r="I10" s="3" t="n">
        <v>747.7</v>
      </c>
      <c r="J10" s="3" t="n">
        <v>1</v>
      </c>
      <c r="K10" s="3" t="n">
        <v>1</v>
      </c>
      <c r="L10">
        <f>H10*K10</f>
        <v/>
      </c>
      <c r="M10">
        <f>I10*K10</f>
        <v/>
      </c>
      <c r="N10" s="3" t="n">
        <v>85.09999999999999</v>
      </c>
      <c r="O10" s="3" t="n">
        <v>85.09999999999999</v>
      </c>
      <c r="P10" s="3" t="n">
        <v>85.09999999999999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BX</t>
        </is>
      </c>
      <c r="B11" t="inlineStr">
        <is>
          <t>USD</t>
        </is>
      </c>
      <c r="C11" t="n">
        <v>6</v>
      </c>
      <c r="D11" s="2" t="n">
        <v>45754</v>
      </c>
      <c r="E11" s="2" t="n">
        <v>45863</v>
      </c>
      <c r="F11">
        <f>E11-D11</f>
        <v/>
      </c>
      <c r="G11">
        <f>IF(F11&gt;730,"LTCG","STCG")</f>
        <v/>
      </c>
      <c r="H11" s="3" t="n">
        <v>1075.17</v>
      </c>
      <c r="I11" s="3" t="n">
        <v>761.4</v>
      </c>
      <c r="J11" s="3" t="n">
        <v>1</v>
      </c>
      <c r="K11" s="3" t="n">
        <v>1</v>
      </c>
      <c r="L11">
        <f>H11*K11</f>
        <v/>
      </c>
      <c r="M11">
        <f>I11*K11</f>
        <v/>
      </c>
      <c r="N11" s="3" t="n">
        <v>85.09999999999999</v>
      </c>
      <c r="O11" s="3" t="n">
        <v>85.09999999999999</v>
      </c>
      <c r="P11" s="3" t="n">
        <v>85.09999999999999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CAT</t>
        </is>
      </c>
      <c r="B12" t="inlineStr">
        <is>
          <t>USD</t>
        </is>
      </c>
      <c r="C12" t="n">
        <v>5</v>
      </c>
      <c r="D12" s="2" t="n">
        <v>45754</v>
      </c>
      <c r="E12" s="2" t="n">
        <v>45863</v>
      </c>
      <c r="F12">
        <f>E12-D12</f>
        <v/>
      </c>
      <c r="G12">
        <f>IF(F12&gt;730,"LTCG","STCG")</f>
        <v/>
      </c>
      <c r="H12" s="3" t="n">
        <v>2151.05</v>
      </c>
      <c r="I12" s="3" t="n">
        <v>1466.65</v>
      </c>
      <c r="J12" s="3" t="n">
        <v>1</v>
      </c>
      <c r="K12" s="3" t="n">
        <v>1</v>
      </c>
      <c r="L12">
        <f>H12*K12</f>
        <v/>
      </c>
      <c r="M12">
        <f>I12*K12</f>
        <v/>
      </c>
      <c r="N12" s="3" t="n">
        <v>85.09999999999999</v>
      </c>
      <c r="O12" s="3" t="n">
        <v>85.09999999999999</v>
      </c>
      <c r="P12" s="3" t="n">
        <v>85.09999999999999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DXJ</t>
        </is>
      </c>
      <c r="B13" t="inlineStr">
        <is>
          <t>USD</t>
        </is>
      </c>
      <c r="C13" t="n">
        <v>8</v>
      </c>
      <c r="D13" s="2" t="n">
        <v>45754</v>
      </c>
      <c r="E13" s="2" t="n">
        <v>45863</v>
      </c>
      <c r="F13">
        <f>E13-D13</f>
        <v/>
      </c>
      <c r="G13">
        <f>IF(F13&gt;730,"LTCG","STCG")</f>
        <v/>
      </c>
      <c r="H13" s="3" t="n">
        <v>957.64</v>
      </c>
      <c r="I13" s="3" t="n">
        <v>771.72</v>
      </c>
      <c r="J13" s="3" t="n">
        <v>1</v>
      </c>
      <c r="K13" s="3" t="n">
        <v>1</v>
      </c>
      <c r="L13">
        <f>H13*K13</f>
        <v/>
      </c>
      <c r="M13">
        <f>I13*K13</f>
        <v/>
      </c>
      <c r="N13" s="3" t="n">
        <v>85.09999999999999</v>
      </c>
      <c r="O13" s="3" t="n">
        <v>85.09999999999999</v>
      </c>
      <c r="P13" s="3" t="n">
        <v>85.09999999999999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GE</t>
        </is>
      </c>
      <c r="B14" t="inlineStr">
        <is>
          <t>USD</t>
        </is>
      </c>
      <c r="C14" t="n">
        <v>8</v>
      </c>
      <c r="D14" s="2" t="n">
        <v>45754</v>
      </c>
      <c r="E14" s="2" t="n">
        <v>45863</v>
      </c>
      <c r="F14">
        <f>E14-D14</f>
        <v/>
      </c>
      <c r="G14">
        <f>IF(F14&gt;730,"LTCG","STCG")</f>
        <v/>
      </c>
      <c r="H14" s="3" t="n">
        <v>2176.66</v>
      </c>
      <c r="I14" s="3" t="n">
        <v>1386</v>
      </c>
      <c r="J14" s="3" t="n">
        <v>1</v>
      </c>
      <c r="K14" s="3" t="n">
        <v>1</v>
      </c>
      <c r="L14">
        <f>H14*K14</f>
        <v/>
      </c>
      <c r="M14">
        <f>I14*K14</f>
        <v/>
      </c>
      <c r="N14" s="3" t="n">
        <v>85.09999999999999</v>
      </c>
      <c r="O14" s="3" t="n">
        <v>85.09999999999999</v>
      </c>
      <c r="P14" s="3" t="n">
        <v>85.09999999999999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LLY</t>
        </is>
      </c>
      <c r="B15" t="inlineStr">
        <is>
          <t>USD</t>
        </is>
      </c>
      <c r="C15" t="n">
        <v>2</v>
      </c>
      <c r="D15" s="2" t="n">
        <v>45754</v>
      </c>
      <c r="E15" s="2" t="n">
        <v>45863</v>
      </c>
      <c r="F15">
        <f>E15-D15</f>
        <v/>
      </c>
      <c r="G15">
        <f>IF(F15&gt;730,"LTCG","STCG")</f>
        <v/>
      </c>
      <c r="H15" s="3" t="n">
        <v>1621.4</v>
      </c>
      <c r="I15" s="3" t="n">
        <v>1467.52</v>
      </c>
      <c r="J15" s="3" t="n">
        <v>1</v>
      </c>
      <c r="K15" s="3" t="n">
        <v>1</v>
      </c>
      <c r="L15">
        <f>H15*K15</f>
        <v/>
      </c>
      <c r="M15">
        <f>I15*K15</f>
        <v/>
      </c>
      <c r="N15" s="3" t="n">
        <v>85.09999999999999</v>
      </c>
      <c r="O15" s="3" t="n">
        <v>85.09999999999999</v>
      </c>
      <c r="P15" s="3" t="n">
        <v>85.09999999999999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MSFT</t>
        </is>
      </c>
      <c r="B16" t="inlineStr">
        <is>
          <t>USD</t>
        </is>
      </c>
      <c r="C16" t="n">
        <v>4</v>
      </c>
      <c r="D16" s="2" t="n">
        <v>45754</v>
      </c>
      <c r="E16" s="2" t="n">
        <v>45863</v>
      </c>
      <c r="F16">
        <f>E16-D16</f>
        <v/>
      </c>
      <c r="G16">
        <f>IF(F16&gt;730,"LTCG","STCG")</f>
        <v/>
      </c>
      <c r="H16" s="3" t="n">
        <v>2050.24</v>
      </c>
      <c r="I16" s="3" t="n">
        <v>1449.58</v>
      </c>
      <c r="J16" s="3" t="n">
        <v>1</v>
      </c>
      <c r="K16" s="3" t="n">
        <v>1</v>
      </c>
      <c r="L16">
        <f>H16*K16</f>
        <v/>
      </c>
      <c r="M16">
        <f>I16*K16</f>
        <v/>
      </c>
      <c r="N16" s="3" t="n">
        <v>85.09999999999999</v>
      </c>
      <c r="O16" s="3" t="n">
        <v>85.09999999999999</v>
      </c>
      <c r="P16" s="3" t="n">
        <v>85.09999999999999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NFLX</t>
        </is>
      </c>
      <c r="B17" t="inlineStr">
        <is>
          <t>USD</t>
        </is>
      </c>
      <c r="C17" t="n">
        <v>1</v>
      </c>
      <c r="D17" s="2" t="n">
        <v>45754</v>
      </c>
      <c r="E17" s="2" t="n">
        <v>45863</v>
      </c>
      <c r="F17">
        <f>E17-D17</f>
        <v/>
      </c>
      <c r="G17">
        <f>IF(F17&gt;730,"LTCG","STCG")</f>
        <v/>
      </c>
      <c r="H17" s="3" t="n">
        <v>1186.53</v>
      </c>
      <c r="I17" s="3" t="n">
        <v>894.83</v>
      </c>
      <c r="J17" s="3" t="n">
        <v>1</v>
      </c>
      <c r="K17" s="3" t="n">
        <v>1</v>
      </c>
      <c r="L17">
        <f>H17*K17</f>
        <v/>
      </c>
      <c r="M17">
        <f>I17*K17</f>
        <v/>
      </c>
      <c r="N17" s="3" t="n">
        <v>85.09999999999999</v>
      </c>
      <c r="O17" s="3" t="n">
        <v>85.09999999999999</v>
      </c>
      <c r="P17" s="3" t="n">
        <v>85.09999999999999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NOVN</t>
        </is>
      </c>
      <c r="B18" t="inlineStr">
        <is>
          <t>CHF</t>
        </is>
      </c>
      <c r="C18" t="n">
        <v>12</v>
      </c>
      <c r="D18" s="2" t="n">
        <v>45800</v>
      </c>
      <c r="E18" s="2" t="n">
        <v>45863</v>
      </c>
      <c r="F18">
        <f>E18-D18</f>
        <v/>
      </c>
      <c r="G18">
        <f>IF(F18&gt;730,"LTCG","STCG")</f>
        <v/>
      </c>
      <c r="H18" s="3" t="n">
        <v>1111.68</v>
      </c>
      <c r="I18" s="3" t="n">
        <v>1116.56</v>
      </c>
      <c r="J18" s="3" t="n">
        <v>5</v>
      </c>
      <c r="K18" s="3" t="n">
        <v>1.2615</v>
      </c>
      <c r="L18">
        <f>H18*K18</f>
        <v/>
      </c>
      <c r="M18">
        <f>I18*K18</f>
        <v/>
      </c>
      <c r="N18" s="3" t="n">
        <v>85.09999999999999</v>
      </c>
      <c r="O18" s="3" t="n">
        <v>84.25</v>
      </c>
      <c r="P18" s="3" t="n">
        <v>85.09999999999999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>
        <is>
          <t>CHF: FCY→USD editable; Sale/Cost FX = USD/INR (Rule 115)</t>
        </is>
      </c>
    </row>
    <row r="19">
      <c r="A19" t="inlineStr">
        <is>
          <t>ROG</t>
        </is>
      </c>
      <c r="B19" t="inlineStr">
        <is>
          <t>CHF</t>
        </is>
      </c>
      <c r="C19" t="n">
        <v>6</v>
      </c>
      <c r="D19" s="2" t="n">
        <v>45800</v>
      </c>
      <c r="E19" s="2" t="n">
        <v>45863</v>
      </c>
      <c r="F19">
        <f>E19-D19</f>
        <v/>
      </c>
      <c r="G19">
        <f>IF(F19&gt;730,"LTCG","STCG")</f>
        <v/>
      </c>
      <c r="H19" s="3" t="n">
        <v>1565.4</v>
      </c>
      <c r="I19" s="3" t="n">
        <v>1565</v>
      </c>
      <c r="J19" s="3" t="n">
        <v>5</v>
      </c>
      <c r="K19" s="3" t="n">
        <v>1.2615</v>
      </c>
      <c r="L19">
        <f>H19*K19</f>
        <v/>
      </c>
      <c r="M19">
        <f>I19*K19</f>
        <v/>
      </c>
      <c r="N19" s="3" t="n">
        <v>85.09999999999999</v>
      </c>
      <c r="O19" s="3" t="n">
        <v>84.25</v>
      </c>
      <c r="P19" s="3" t="n">
        <v>85.09999999999999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>
        <is>
          <t>CHF: FCY→USD editable; Sale/Cost FX = USD/INR (Rule 115)</t>
        </is>
      </c>
    </row>
    <row r="20">
      <c r="A20" t="inlineStr">
        <is>
          <t>RTX</t>
        </is>
      </c>
      <c r="B20" t="inlineStr">
        <is>
          <t>USD</t>
        </is>
      </c>
      <c r="C20" t="n">
        <v>13</v>
      </c>
      <c r="D20" s="2" t="n">
        <v>45754</v>
      </c>
      <c r="E20" s="2" t="n">
        <v>45863</v>
      </c>
      <c r="F20">
        <f>E20-D20</f>
        <v/>
      </c>
      <c r="G20">
        <f>IF(F20&gt;730,"LTCG","STCG")</f>
        <v/>
      </c>
      <c r="H20" s="3" t="n">
        <v>2013.24</v>
      </c>
      <c r="I20" s="3" t="n">
        <v>1502.83</v>
      </c>
      <c r="J20" s="3" t="n">
        <v>1</v>
      </c>
      <c r="K20" s="3" t="n">
        <v>1</v>
      </c>
      <c r="L20">
        <f>H20*K20</f>
        <v/>
      </c>
      <c r="M20">
        <f>I20*K20</f>
        <v/>
      </c>
      <c r="N20" s="3" t="n">
        <v>85.09999999999999</v>
      </c>
      <c r="O20" s="3" t="n">
        <v>85.09999999999999</v>
      </c>
      <c r="P20" s="3" t="n">
        <v>85.09999999999999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>
      <c r="A21" t="inlineStr">
        <is>
          <t>R6C0d</t>
        </is>
      </c>
      <c r="B21" t="inlineStr">
        <is>
          <t>EUR</t>
        </is>
      </c>
      <c r="C21" t="n">
        <v>120</v>
      </c>
      <c r="D21" s="2" t="n">
        <v>45754</v>
      </c>
      <c r="E21" s="2" t="n">
        <v>45863</v>
      </c>
      <c r="F21">
        <f>E21-D21</f>
        <v/>
      </c>
      <c r="G21">
        <f>IF(F21&gt;730,"LTCG","STCG")</f>
        <v/>
      </c>
      <c r="H21" s="3" t="n">
        <v>3659.4</v>
      </c>
      <c r="I21" s="3" t="n">
        <v>3462.22</v>
      </c>
      <c r="J21" s="3" t="n">
        <v>3</v>
      </c>
      <c r="K21" s="3" t="n">
        <v>1</v>
      </c>
      <c r="L21">
        <f>H21*K21</f>
        <v/>
      </c>
      <c r="M21">
        <f>I21*K21</f>
        <v/>
      </c>
      <c r="N21" s="3" t="n">
        <v>98.92</v>
      </c>
      <c r="O21" s="3" t="n">
        <v>91.86</v>
      </c>
      <c r="P21" s="3" t="n">
        <v>85.09999999999999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  <c r="U21" t="inlineStr">
        <is>
          <t>EUR: FCY→USD=1; Sale/Cost FX = EUR/INR (Rule 115); Comm uses USD/INR</t>
        </is>
      </c>
    </row>
    <row r="22">
      <c r="A22" t="inlineStr">
        <is>
          <t>SIEd</t>
        </is>
      </c>
      <c r="B22" t="inlineStr">
        <is>
          <t>EUR</t>
        </is>
      </c>
      <c r="C22" t="n">
        <v>4</v>
      </c>
      <c r="D22" s="2" t="n">
        <v>45754</v>
      </c>
      <c r="E22" s="2" t="n">
        <v>45863</v>
      </c>
      <c r="F22">
        <f>E22-D22</f>
        <v/>
      </c>
      <c r="G22">
        <f>IF(F22&gt;730,"LTCG","STCG")</f>
        <v/>
      </c>
      <c r="H22" s="3" t="n">
        <v>904.6</v>
      </c>
      <c r="I22" s="3" t="n">
        <v>743</v>
      </c>
      <c r="J22" s="3" t="n">
        <v>3</v>
      </c>
      <c r="K22" s="3" t="n">
        <v>1</v>
      </c>
      <c r="L22">
        <f>H22*K22</f>
        <v/>
      </c>
      <c r="M22">
        <f>I22*K22</f>
        <v/>
      </c>
      <c r="N22" s="3" t="n">
        <v>98.92</v>
      </c>
      <c r="O22" s="3" t="n">
        <v>91.86</v>
      </c>
      <c r="P22" s="3" t="n">
        <v>85.09999999999999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  <c r="U22" t="inlineStr">
        <is>
          <t>EUR: FCY→USD=1; Sale/Cost FX = EUR/INR (Rule 115); Comm uses USD/INR</t>
        </is>
      </c>
    </row>
    <row r="23">
      <c r="A23" t="inlineStr">
        <is>
          <t>TGT</t>
        </is>
      </c>
      <c r="B23" t="inlineStr">
        <is>
          <t>USD</t>
        </is>
      </c>
      <c r="C23" t="n">
        <v>15</v>
      </c>
      <c r="D23" s="2" t="n">
        <v>45754</v>
      </c>
      <c r="E23" s="2" t="n">
        <v>45863</v>
      </c>
      <c r="F23">
        <f>E23-D23</f>
        <v/>
      </c>
      <c r="G23">
        <f>IF(F23&gt;730,"LTCG","STCG")</f>
        <v/>
      </c>
      <c r="H23" s="3" t="n">
        <v>1581.53</v>
      </c>
      <c r="I23" s="3" t="n">
        <v>1452.55</v>
      </c>
      <c r="J23" s="3" t="n">
        <v>1</v>
      </c>
      <c r="K23" s="3" t="n">
        <v>1</v>
      </c>
      <c r="L23">
        <f>H23*K23</f>
        <v/>
      </c>
      <c r="M23">
        <f>I23*K23</f>
        <v/>
      </c>
      <c r="N23" s="3" t="n">
        <v>85.09999999999999</v>
      </c>
      <c r="O23" s="3" t="n">
        <v>85.09999999999999</v>
      </c>
      <c r="P23" s="3" t="n">
        <v>85.09999999999999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  <c r="U23" t="inlineStr"/>
    </row>
    <row r="24">
      <c r="A24" t="inlineStr">
        <is>
          <t>TSLA</t>
        </is>
      </c>
      <c r="B24" t="inlineStr">
        <is>
          <t>USD</t>
        </is>
      </c>
      <c r="C24" t="n">
        <v>5</v>
      </c>
      <c r="D24" s="2" t="n">
        <v>45754</v>
      </c>
      <c r="E24" s="2" t="n">
        <v>45863</v>
      </c>
      <c r="F24">
        <f>E24-D24</f>
        <v/>
      </c>
      <c r="G24">
        <f>IF(F24&gt;730,"LTCG","STCG")</f>
        <v/>
      </c>
      <c r="H24" s="3" t="n">
        <v>1566</v>
      </c>
      <c r="I24" s="3" t="n">
        <v>1187.48</v>
      </c>
      <c r="J24" s="3" t="n">
        <v>1</v>
      </c>
      <c r="K24" s="3" t="n">
        <v>1</v>
      </c>
      <c r="L24">
        <f>H24*K24</f>
        <v/>
      </c>
      <c r="M24">
        <f>I24*K24</f>
        <v/>
      </c>
      <c r="N24" s="3" t="n">
        <v>85.09999999999999</v>
      </c>
      <c r="O24" s="3" t="n">
        <v>85.09999999999999</v>
      </c>
      <c r="P24" s="3" t="n">
        <v>85.09999999999999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  <c r="U24" t="inlineStr"/>
    </row>
    <row r="25">
      <c r="A25" t="inlineStr">
        <is>
          <t>TSM</t>
        </is>
      </c>
      <c r="B25" t="inlineStr">
        <is>
          <t>USD</t>
        </is>
      </c>
      <c r="C25" t="n">
        <v>5</v>
      </c>
      <c r="D25" s="2" t="n">
        <v>45754</v>
      </c>
      <c r="E25" s="2" t="n">
        <v>45863</v>
      </c>
      <c r="F25">
        <f>E25-D25</f>
        <v/>
      </c>
      <c r="G25">
        <f>IF(F25&gt;730,"LTCG","STCG")</f>
        <v/>
      </c>
      <c r="H25" s="3" t="n">
        <v>1226.6</v>
      </c>
      <c r="I25" s="3" t="n">
        <v>751.5</v>
      </c>
      <c r="J25" s="3" t="n">
        <v>1</v>
      </c>
      <c r="K25" s="3" t="n">
        <v>1</v>
      </c>
      <c r="L25">
        <f>H25*K25</f>
        <v/>
      </c>
      <c r="M25">
        <f>I25*K25</f>
        <v/>
      </c>
      <c r="N25" s="3" t="n">
        <v>85.09999999999999</v>
      </c>
      <c r="O25" s="3" t="n">
        <v>85.09999999999999</v>
      </c>
      <c r="P25" s="3" t="n">
        <v>85.09999999999999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  <c r="U25" t="inlineStr"/>
    </row>
    <row r="26">
      <c r="A26" t="inlineStr">
        <is>
          <t>AMZN</t>
        </is>
      </c>
      <c r="B26" t="inlineStr">
        <is>
          <t>USD</t>
        </is>
      </c>
      <c r="C26" t="n">
        <v>8</v>
      </c>
      <c r="D26" s="2" t="n">
        <v>45754</v>
      </c>
      <c r="E26" s="2" t="n">
        <v>45863</v>
      </c>
      <c r="F26">
        <f>E26-D26</f>
        <v/>
      </c>
      <c r="G26">
        <f>IF(F26&gt;730,"LTCG","STCG")</f>
        <v/>
      </c>
      <c r="H26" s="3" t="n">
        <v>1853.6</v>
      </c>
      <c r="I26" s="3" t="n">
        <v>1466.39</v>
      </c>
      <c r="J26" s="3" t="n">
        <v>1</v>
      </c>
      <c r="K26" s="3" t="n">
        <v>1</v>
      </c>
      <c r="L26">
        <f>H26*K26</f>
        <v/>
      </c>
      <c r="M26">
        <f>I26*K26</f>
        <v/>
      </c>
      <c r="N26" s="3" t="n">
        <v>85.09999999999999</v>
      </c>
      <c r="O26" s="3" t="n">
        <v>85.09999999999999</v>
      </c>
      <c r="P26" s="3" t="n">
        <v>85.09999999999999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  <c r="U26" t="inlineStr"/>
    </row>
    <row r="27">
      <c r="A27" t="inlineStr">
        <is>
          <t>ASML</t>
        </is>
      </c>
      <c r="B27" t="inlineStr">
        <is>
          <t>EUR</t>
        </is>
      </c>
      <c r="C27" t="n">
        <v>3</v>
      </c>
      <c r="D27" s="2" t="n">
        <v>45754</v>
      </c>
      <c r="E27" s="2" t="n">
        <v>45863</v>
      </c>
      <c r="F27">
        <f>E27-D27</f>
        <v/>
      </c>
      <c r="G27">
        <f>IF(F27&gt;730,"LTCG","STCG")</f>
        <v/>
      </c>
      <c r="H27" s="3" t="n">
        <v>1817.1</v>
      </c>
      <c r="I27" s="3" t="n">
        <v>1699.8</v>
      </c>
      <c r="J27" s="3" t="n">
        <v>3</v>
      </c>
      <c r="K27" s="3" t="n">
        <v>1</v>
      </c>
      <c r="L27">
        <f>H27*K27</f>
        <v/>
      </c>
      <c r="M27">
        <f>I27*K27</f>
        <v/>
      </c>
      <c r="N27" s="3" t="n">
        <v>98.92</v>
      </c>
      <c r="O27" s="3" t="n">
        <v>91.86</v>
      </c>
      <c r="P27" s="3" t="n">
        <v>85.09999999999999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>
        <is>
          <t>EUR: FCY→USD=1; Sale/Cost FX = EUR/INR (Rule 115); Comm uses USD/INR</t>
        </is>
      </c>
    </row>
    <row r="28">
      <c r="A28" t="inlineStr">
        <is>
          <t>CRM</t>
        </is>
      </c>
      <c r="B28" t="inlineStr">
        <is>
          <t>USD</t>
        </is>
      </c>
      <c r="C28" t="n">
        <v>20</v>
      </c>
      <c r="D28" s="2" t="n">
        <v>45712</v>
      </c>
      <c r="E28" s="2" t="n">
        <v>45960</v>
      </c>
      <c r="F28">
        <f>E28-D28</f>
        <v/>
      </c>
      <c r="G28">
        <f>IF(F28&gt;730,"LTCG","STCG")</f>
        <v/>
      </c>
      <c r="H28" s="3" t="n">
        <v>5176.29</v>
      </c>
      <c r="I28" s="3" t="n">
        <v>4220.2</v>
      </c>
      <c r="J28" s="3" t="n">
        <v>1</v>
      </c>
      <c r="K28" s="3" t="n">
        <v>1</v>
      </c>
      <c r="L28">
        <f>H28*K28</f>
        <v/>
      </c>
      <c r="M28">
        <f>I28*K28</f>
        <v/>
      </c>
      <c r="N28" s="3" t="n">
        <v>88.34999999999999</v>
      </c>
      <c r="O28" s="3" t="n">
        <v>86.2</v>
      </c>
      <c r="P28" s="3" t="n">
        <v>88.34999999999999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/>
    </row>
    <row r="29">
      <c r="A29" t="inlineStr">
        <is>
          <t>NOVd</t>
        </is>
      </c>
      <c r="B29" t="inlineStr">
        <is>
          <t>EUR</t>
        </is>
      </c>
      <c r="C29" t="n">
        <v>33</v>
      </c>
      <c r="D29" s="2" t="n">
        <v>45908</v>
      </c>
      <c r="E29" s="2" t="n">
        <v>45985</v>
      </c>
      <c r="F29">
        <f>E29-D29</f>
        <v/>
      </c>
      <c r="G29">
        <f>IF(F29&gt;730,"LTCG","STCG")</f>
        <v/>
      </c>
      <c r="H29" s="3" t="n">
        <v>1225.45</v>
      </c>
      <c r="I29" s="3" t="n">
        <v>1544.27</v>
      </c>
      <c r="J29" s="3" t="n">
        <v>0.61</v>
      </c>
      <c r="K29" s="3" t="n">
        <v>1</v>
      </c>
      <c r="L29">
        <f>H29*K29</f>
        <v/>
      </c>
      <c r="M29">
        <f>I29*K29</f>
        <v/>
      </c>
      <c r="N29" s="3" t="n">
        <v>101.23</v>
      </c>
      <c r="O29" s="3" t="n">
        <v>101.7</v>
      </c>
      <c r="P29" s="3" t="n">
        <v>88.2</v>
      </c>
      <c r="Q29">
        <f>L29*N29</f>
        <v/>
      </c>
      <c r="R29">
        <f>J29*P29</f>
        <v/>
      </c>
      <c r="S29">
        <f>M29*O29</f>
        <v/>
      </c>
      <c r="T29">
        <f>Q29-R29-S29</f>
        <v/>
      </c>
      <c r="U29" t="inlineStr">
        <is>
          <t>EUR: FCY→USD=1; Sale/Cost FX = EUR/INR (Rule 115); Comm uses USD/INR</t>
        </is>
      </c>
    </row>
    <row r="30">
      <c r="A30" t="inlineStr">
        <is>
          <t>CRM</t>
        </is>
      </c>
      <c r="B30" t="inlineStr">
        <is>
          <t>USD</t>
        </is>
      </c>
      <c r="C30" t="n">
        <v>230</v>
      </c>
      <c r="D30" s="2" t="n">
        <v>45712</v>
      </c>
      <c r="E30" s="2" t="n">
        <v>46100</v>
      </c>
      <c r="F30">
        <f>E30-D30</f>
        <v/>
      </c>
      <c r="G30">
        <f>IF(F30&gt;730,"LTCG","STCG")</f>
        <v/>
      </c>
      <c r="H30" s="3" t="n">
        <v>44896</v>
      </c>
      <c r="I30" s="3" t="n">
        <v>57834.15</v>
      </c>
      <c r="J30" s="3" t="n">
        <v>1.19</v>
      </c>
      <c r="K30" s="3" t="n">
        <v>1</v>
      </c>
      <c r="L30">
        <f>H30*K30</f>
        <v/>
      </c>
      <c r="M30">
        <f>I30*K30</f>
        <v/>
      </c>
      <c r="N30" s="3" t="n">
        <v>90.56</v>
      </c>
      <c r="O30" s="3" t="n">
        <v>86.2</v>
      </c>
      <c r="P30" s="3" t="n">
        <v>90.56</v>
      </c>
      <c r="Q30">
        <f>L30*N30</f>
        <v/>
      </c>
      <c r="R30">
        <f>J30*P30</f>
        <v/>
      </c>
      <c r="S30">
        <f>M30*O30</f>
        <v/>
      </c>
      <c r="T30">
        <f>Q30-R30-S30</f>
        <v/>
      </c>
      <c r="U30" t="inlineStr"/>
    </row>
    <row r="31">
      <c r="A31" t="inlineStr">
        <is>
          <t>4568.T</t>
        </is>
      </c>
      <c r="B31" t="inlineStr">
        <is>
          <t>JPY</t>
        </is>
      </c>
      <c r="C31" t="n">
        <v>100</v>
      </c>
      <c r="D31" s="2" t="n">
        <v>45805</v>
      </c>
      <c r="E31" s="2" t="n">
        <v>46103</v>
      </c>
      <c r="F31">
        <f>E31-D31</f>
        <v/>
      </c>
      <c r="G31">
        <f>IF(F31&gt;730,"LTCG","STCG")</f>
        <v/>
      </c>
      <c r="H31" s="3" t="n">
        <v>290300</v>
      </c>
      <c r="I31" s="3" t="n">
        <v>365825.76</v>
      </c>
      <c r="J31" s="3" t="n">
        <v>232.24</v>
      </c>
      <c r="K31" s="3" t="n">
        <v>0.0063827</v>
      </c>
      <c r="L31">
        <f>H31*K31</f>
        <v/>
      </c>
      <c r="M31">
        <f>I31*K31</f>
        <v/>
      </c>
      <c r="N31" s="3" t="n">
        <v>90.56</v>
      </c>
      <c r="O31" s="3" t="n">
        <v>84.25</v>
      </c>
      <c r="P31" s="3" t="n">
        <v>90.56</v>
      </c>
      <c r="Q31">
        <f>L31*N31</f>
        <v/>
      </c>
      <c r="R31">
        <f>J31*P31</f>
        <v/>
      </c>
      <c r="S31">
        <f>M31*O31</f>
        <v/>
      </c>
      <c r="T31">
        <f>Q31-R31-S31</f>
        <v/>
      </c>
      <c r="U31" t="inlineStr">
        <is>
          <t>JPY: FCY→USD editable; Sale/Cost FX = USD/INR (Rule 115)</t>
        </is>
      </c>
    </row>
    <row r="32">
      <c r="A32" t="inlineStr">
        <is>
          <t>4568.T</t>
        </is>
      </c>
      <c r="B32" t="inlineStr">
        <is>
          <t>JPY</t>
        </is>
      </c>
      <c r="C32" t="n">
        <v>100</v>
      </c>
      <c r="D32" s="2" t="n">
        <v>45832</v>
      </c>
      <c r="E32" s="2" t="n">
        <v>46103</v>
      </c>
      <c r="F32">
        <f>E32-D32</f>
        <v/>
      </c>
      <c r="G32">
        <f>IF(F32&gt;730,"LTCG","STCG")</f>
        <v/>
      </c>
      <c r="H32" s="3" t="n">
        <v>290300</v>
      </c>
      <c r="I32" s="3" t="n">
        <v>365825.76</v>
      </c>
      <c r="J32" s="3" t="n">
        <v>232.24</v>
      </c>
      <c r="K32" s="3" t="n">
        <v>0.0063827</v>
      </c>
      <c r="L32">
        <f>H32*K32</f>
        <v/>
      </c>
      <c r="M32">
        <f>I32*K32</f>
        <v/>
      </c>
      <c r="N32" s="3" t="n">
        <v>90.56</v>
      </c>
      <c r="O32" s="3" t="n">
        <v>85.09999999999999</v>
      </c>
      <c r="P32" s="3" t="n">
        <v>90.56</v>
      </c>
      <c r="Q32">
        <f>L32*N32</f>
        <v/>
      </c>
      <c r="R32">
        <f>J32*P32</f>
        <v/>
      </c>
      <c r="S32">
        <f>M32*O32</f>
        <v/>
      </c>
      <c r="T32">
        <f>Q32-R32-S32</f>
        <v/>
      </c>
      <c r="U32" t="inlineStr">
        <is>
          <t>JPY: FCY→USD editable; Sale/Cost FX = USD/INR (Rule 115)</t>
        </is>
      </c>
    </row>
    <row r="33">
      <c r="A33" t="inlineStr">
        <is>
          <t>4568.T</t>
        </is>
      </c>
      <c r="B33" t="inlineStr">
        <is>
          <t>JPY</t>
        </is>
      </c>
      <c r="C33" t="n">
        <v>100</v>
      </c>
      <c r="D33" s="2" t="n">
        <v>45907</v>
      </c>
      <c r="E33" s="2" t="n">
        <v>46103</v>
      </c>
      <c r="F33">
        <f>E33-D33</f>
        <v/>
      </c>
      <c r="G33">
        <f>IF(F33&gt;730,"LTCG","STCG")</f>
        <v/>
      </c>
      <c r="H33" s="3" t="n">
        <v>290300</v>
      </c>
      <c r="I33" s="3" t="n">
        <v>365825.76</v>
      </c>
      <c r="J33" s="3" t="n">
        <v>232.24</v>
      </c>
      <c r="K33" s="3" t="n">
        <v>0.0063827</v>
      </c>
      <c r="L33">
        <f>H33*K33</f>
        <v/>
      </c>
      <c r="M33">
        <f>I33*K33</f>
        <v/>
      </c>
      <c r="N33" s="3" t="n">
        <v>90.56</v>
      </c>
      <c r="O33" s="3" t="n">
        <v>87.7</v>
      </c>
      <c r="P33" s="3" t="n">
        <v>90.56</v>
      </c>
      <c r="Q33">
        <f>L33*N33</f>
        <v/>
      </c>
      <c r="R33">
        <f>J33*P33</f>
        <v/>
      </c>
      <c r="S33">
        <f>M33*O33</f>
        <v/>
      </c>
      <c r="T33">
        <f>Q33-R33-S33</f>
        <v/>
      </c>
      <c r="U33" t="inlineStr">
        <is>
          <t>JPY: FCY→USD editable; Sale/Cost FX = USD/INR (Rule 115)</t>
        </is>
      </c>
    </row>
    <row r="34"/>
    <row r="35">
      <c r="G35" s="4" t="inlineStr">
        <is>
          <t>TOTAL STCG (INR)</t>
        </is>
      </c>
      <c r="T35" s="4">
        <f>SUMIF(G5:G33,"STCG",T5:T33)</f>
        <v/>
      </c>
    </row>
    <row r="36">
      <c r="G36" s="4" t="inlineStr">
        <is>
          <t>TOTAL LTCG (INR)</t>
        </is>
      </c>
      <c r="T36" s="4">
        <f>SUMIF(G5:G33,"LTCG",T5:T33)</f>
        <v/>
      </c>
    </row>
    <row r="37">
      <c r="G37" s="4" t="inlineStr">
        <is>
          <t>TOTAL CG (INR)</t>
        </is>
      </c>
      <c r="T37" s="4">
        <f>T35+T36</f>
        <v/>
      </c>
    </row>
    <row r="38"/>
    <row r="39">
      <c r="A39" t="inlineStr">
        <is>
          <t>How to reconcile before filing:</t>
        </is>
      </c>
    </row>
    <row r="40">
      <c r="A40" t="inlineStr">
        <is>
          <t>1. Check Sale Proceeds (FCY) / Cost Basis (FCY) vs IBKR trade Proceeds &amp; Basis.</t>
        </is>
      </c>
    </row>
    <row r="41">
      <c r="A41" t="inlineStr">
        <is>
          <t>2. Edit yellow FX cells (N Sale FX, O Cost FX, P Comm USD/INR) to exact SBI TT Buy card rates.</t>
        </is>
      </c>
    </row>
    <row r="42">
      <c r="A42" t="inlineStr">
        <is>
          <t>3. For HKD/JPY, edit FCY→USD (K) if using trade-date FX instead of 31-Dec-2025 IBKR close.</t>
        </is>
      </c>
    </row>
    <row r="43">
      <c r="A43" t="inlineStr">
        <is>
          <t>4. Gain/(Loss) cell formula: =Q-R-S i.e. Sale INR − Comm INR − Cost INR.</t>
        </is>
      </c>
    </row>
    <row r="44">
      <c r="A44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CRM</t>
        </is>
      </c>
      <c r="B5" t="inlineStr">
        <is>
          <t>USD</t>
        </is>
      </c>
      <c r="C5" t="n">
        <v>1</v>
      </c>
      <c r="D5" s="2" t="n">
        <v>45712</v>
      </c>
      <c r="E5" s="2" t="n">
        <v>45721</v>
      </c>
      <c r="F5">
        <f>E5-D5</f>
        <v/>
      </c>
      <c r="G5">
        <f>IF(F5&gt;730,"LTCG","STCG")</f>
        <v/>
      </c>
      <c r="H5" s="3" t="n">
        <v>289.55</v>
      </c>
      <c r="I5" s="3" t="n">
        <v>143.27</v>
      </c>
      <c r="J5" s="3" t="n">
        <v>1.01</v>
      </c>
      <c r="K5" s="3" t="n">
        <v>1</v>
      </c>
      <c r="L5">
        <f>H5*K5</f>
        <v/>
      </c>
      <c r="M5">
        <f>I5*K5</f>
        <v/>
      </c>
      <c r="N5" s="3" t="n">
        <v>86.95</v>
      </c>
      <c r="O5" s="3" t="n">
        <v>86.2</v>
      </c>
      <c r="P5" s="3" t="n">
        <v>86.95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/>
    <row r="7">
      <c r="G7" s="4" t="inlineStr">
        <is>
          <t>TOTAL STCG (INR)</t>
        </is>
      </c>
      <c r="T7" s="4">
        <f>SUMIF(G5:G5,"STCG",T5:T5)</f>
        <v/>
      </c>
    </row>
    <row r="8">
      <c r="G8" s="4" t="inlineStr">
        <is>
          <t>TOTAL LTCG (INR)</t>
        </is>
      </c>
      <c r="T8" s="4">
        <f>SUMIF(G5:G5,"LTCG",T5:T5)</f>
        <v/>
      </c>
    </row>
    <row r="9">
      <c r="G9" s="4" t="inlineStr">
        <is>
          <t>TOTAL CG (INR)</t>
        </is>
      </c>
      <c r="T9" s="4">
        <f>T7+T8</f>
        <v/>
      </c>
    </row>
    <row r="10"/>
    <row r="11">
      <c r="A11" t="inlineStr">
        <is>
          <t>How to reconcile before filing:</t>
        </is>
      </c>
    </row>
    <row r="12">
      <c r="A12" t="inlineStr">
        <is>
          <t>1. Check Sale Proceeds (FCY) / Cost Basis (FCY) vs IBKR trade Proceeds &amp; Basis.</t>
        </is>
      </c>
    </row>
    <row r="13">
      <c r="A13" t="inlineStr">
        <is>
          <t>2. Edit yellow FX cells (N Sale FX, O Cost FX, P Comm USD/INR) to exact SBI TT Buy card rates.</t>
        </is>
      </c>
    </row>
    <row r="14">
      <c r="A14" t="inlineStr">
        <is>
          <t>3. For HKD/JPY, edit FCY→USD (K) if using trade-date FX instead of 31-Dec-2025 IBKR close.</t>
        </is>
      </c>
    </row>
    <row r="15">
      <c r="A15" t="inlineStr">
        <is>
          <t>4. Gain/(Loss) cell formula: =Q-R-S i.e. Sale INR − Comm INR − Cost INR.</t>
        </is>
      </c>
    </row>
    <row r="16">
      <c r="A16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31-Mar-2025 (FY2025-26 open)</t>
        </is>
      </c>
      <c r="B3" t="inlineStr">
        <is>
          <t>CRM</t>
        </is>
      </c>
      <c r="C3" t="n">
        <v>418</v>
      </c>
      <c r="D3" s="2" t="n">
        <v>45712</v>
      </c>
      <c r="E3" t="n">
        <v>92559.4725</v>
      </c>
      <c r="F3" t="inlineStr">
        <is>
          <t>USD</t>
        </is>
      </c>
      <c r="G3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4568.T</t>
        </is>
      </c>
      <c r="B2" t="n">
        <v>-159900</v>
      </c>
      <c r="C2" t="n">
        <v>0</v>
      </c>
      <c r="D2" t="n">
        <v>-159900</v>
      </c>
      <c r="E2" t="n">
        <v>5558.7</v>
      </c>
      <c r="F2" t="n">
        <v>7004.88</v>
      </c>
    </row>
    <row r="3">
      <c r="A3" t="inlineStr">
        <is>
          <t>AMZN</t>
        </is>
      </c>
      <c r="B3" t="n">
        <v>32866</v>
      </c>
      <c r="C3" t="n">
        <v>0</v>
      </c>
      <c r="D3" t="n">
        <v>32866</v>
      </c>
      <c r="E3" t="n">
        <v>1853.6</v>
      </c>
      <c r="F3" t="n">
        <v>1466.39</v>
      </c>
    </row>
    <row r="4">
      <c r="A4" t="inlineStr">
        <is>
          <t>ASML</t>
        </is>
      </c>
      <c r="B4" t="n">
        <v>23349</v>
      </c>
      <c r="C4" t="n">
        <v>0</v>
      </c>
      <c r="D4" t="n">
        <v>23349</v>
      </c>
      <c r="E4" t="n">
        <v>2134.37</v>
      </c>
      <c r="F4" t="n">
        <v>1996.59</v>
      </c>
    </row>
    <row r="5">
      <c r="A5" t="inlineStr">
        <is>
          <t>AXP</t>
        </is>
      </c>
      <c r="B5" t="n">
        <v>19211</v>
      </c>
      <c r="C5" t="n">
        <v>0</v>
      </c>
      <c r="D5" t="n">
        <v>19211</v>
      </c>
      <c r="E5" t="n">
        <v>926.16</v>
      </c>
      <c r="F5" t="n">
        <v>699.42</v>
      </c>
    </row>
    <row r="6">
      <c r="A6" t="inlineStr">
        <is>
          <t>BAC</t>
        </is>
      </c>
      <c r="B6" t="n">
        <v>23654</v>
      </c>
      <c r="C6" t="n">
        <v>0</v>
      </c>
      <c r="D6" t="n">
        <v>23654</v>
      </c>
      <c r="E6" t="n">
        <v>1153.8</v>
      </c>
      <c r="F6" t="n">
        <v>874.84</v>
      </c>
    </row>
    <row r="7">
      <c r="A7" t="inlineStr">
        <is>
          <t>BLBD</t>
        </is>
      </c>
      <c r="B7" t="n">
        <v>27422</v>
      </c>
      <c r="C7" t="n">
        <v>0</v>
      </c>
      <c r="D7" t="n">
        <v>27422</v>
      </c>
      <c r="E7" t="n">
        <v>1103.88</v>
      </c>
      <c r="F7" t="n">
        <v>780.64</v>
      </c>
    </row>
    <row r="8">
      <c r="A8" t="inlineStr">
        <is>
          <t>BTI</t>
        </is>
      </c>
      <c r="B8" t="n">
        <v>20954</v>
      </c>
      <c r="C8" t="n">
        <v>0</v>
      </c>
      <c r="D8" t="n">
        <v>20954</v>
      </c>
      <c r="E8" t="n">
        <v>994.9299999999999</v>
      </c>
      <c r="F8" t="n">
        <v>747.7</v>
      </c>
    </row>
    <row r="9">
      <c r="A9" t="inlineStr">
        <is>
          <t>BX</t>
        </is>
      </c>
      <c r="B9" t="n">
        <v>26617</v>
      </c>
      <c r="C9" t="n">
        <v>0</v>
      </c>
      <c r="D9" t="n">
        <v>26617</v>
      </c>
      <c r="E9" t="n">
        <v>1075.17</v>
      </c>
      <c r="F9" t="n">
        <v>761.4</v>
      </c>
    </row>
    <row r="10">
      <c r="A10" t="inlineStr">
        <is>
          <t>CAT</t>
        </is>
      </c>
      <c r="B10" t="n">
        <v>58157</v>
      </c>
      <c r="C10" t="n">
        <v>0</v>
      </c>
      <c r="D10" t="n">
        <v>58157</v>
      </c>
      <c r="E10" t="n">
        <v>2151.05</v>
      </c>
      <c r="F10" t="n">
        <v>1466.65</v>
      </c>
    </row>
    <row r="11">
      <c r="A11" t="inlineStr">
        <is>
          <t>CRM</t>
        </is>
      </c>
      <c r="B11" t="n">
        <v>186781</v>
      </c>
      <c r="C11" t="n">
        <v>0</v>
      </c>
      <c r="D11" t="n">
        <v>186781</v>
      </c>
      <c r="E11" t="n">
        <v>90680.64999999999</v>
      </c>
      <c r="F11" t="n">
        <v>90280.21000000001</v>
      </c>
    </row>
    <row r="12">
      <c r="A12" t="inlineStr">
        <is>
          <t>DXJ</t>
        </is>
      </c>
      <c r="B12" t="n">
        <v>15737</v>
      </c>
      <c r="C12" t="n">
        <v>0</v>
      </c>
      <c r="D12" t="n">
        <v>15737</v>
      </c>
      <c r="E12" t="n">
        <v>957.64</v>
      </c>
      <c r="F12" t="n">
        <v>771.72</v>
      </c>
    </row>
    <row r="13">
      <c r="A13" t="inlineStr">
        <is>
          <t>GE</t>
        </is>
      </c>
      <c r="B13" t="n">
        <v>67200</v>
      </c>
      <c r="C13" t="n">
        <v>0</v>
      </c>
      <c r="D13" t="n">
        <v>67200</v>
      </c>
      <c r="E13" t="n">
        <v>2176.66</v>
      </c>
      <c r="F13" t="n">
        <v>1386</v>
      </c>
    </row>
    <row r="14">
      <c r="A14" t="inlineStr">
        <is>
          <t>LLY</t>
        </is>
      </c>
      <c r="B14" t="n">
        <v>13010</v>
      </c>
      <c r="C14" t="n">
        <v>0</v>
      </c>
      <c r="D14" t="n">
        <v>13010</v>
      </c>
      <c r="E14" t="n">
        <v>1621.4</v>
      </c>
      <c r="F14" t="n">
        <v>1467.52</v>
      </c>
    </row>
    <row r="15">
      <c r="A15" t="inlineStr">
        <is>
          <t>MSFT</t>
        </is>
      </c>
      <c r="B15" t="n">
        <v>51031</v>
      </c>
      <c r="C15" t="n">
        <v>0</v>
      </c>
      <c r="D15" t="n">
        <v>51031</v>
      </c>
      <c r="E15" t="n">
        <v>2050.24</v>
      </c>
      <c r="F15" t="n">
        <v>1449.58</v>
      </c>
    </row>
    <row r="16">
      <c r="A16" t="inlineStr">
        <is>
          <t>NFLX</t>
        </is>
      </c>
      <c r="B16" t="n">
        <v>24739</v>
      </c>
      <c r="C16" t="n">
        <v>0</v>
      </c>
      <c r="D16" t="n">
        <v>24739</v>
      </c>
      <c r="E16" t="n">
        <v>1186.53</v>
      </c>
      <c r="F16" t="n">
        <v>894.83</v>
      </c>
    </row>
    <row r="17">
      <c r="A17" t="inlineStr">
        <is>
          <t>NOVN</t>
        </is>
      </c>
      <c r="B17" t="n">
        <v>248</v>
      </c>
      <c r="C17" t="n">
        <v>0</v>
      </c>
      <c r="D17" t="n">
        <v>248</v>
      </c>
      <c r="E17" t="n">
        <v>1402.38</v>
      </c>
      <c r="F17" t="n">
        <v>1408.54</v>
      </c>
    </row>
    <row r="18">
      <c r="A18" t="inlineStr">
        <is>
          <t>NOVd</t>
        </is>
      </c>
      <c r="B18" t="n">
        <v>-33053</v>
      </c>
      <c r="C18" t="n">
        <v>0</v>
      </c>
      <c r="D18" t="n">
        <v>-33053</v>
      </c>
      <c r="E18" t="n">
        <v>1439.42</v>
      </c>
      <c r="F18" t="n">
        <v>1813.89</v>
      </c>
    </row>
    <row r="19">
      <c r="A19" t="inlineStr">
        <is>
          <t>R6C0d</t>
        </is>
      </c>
      <c r="B19" t="n">
        <v>43693</v>
      </c>
      <c r="C19" t="n">
        <v>0</v>
      </c>
      <c r="D19" t="n">
        <v>43693</v>
      </c>
      <c r="E19" t="n">
        <v>4298.33</v>
      </c>
      <c r="F19" t="n">
        <v>4066.72</v>
      </c>
    </row>
    <row r="20">
      <c r="A20" t="inlineStr">
        <is>
          <t>ROG</t>
        </is>
      </c>
      <c r="B20" t="n">
        <v>1296</v>
      </c>
      <c r="C20" t="n">
        <v>0</v>
      </c>
      <c r="D20" t="n">
        <v>1296</v>
      </c>
      <c r="E20" t="n">
        <v>1974.75</v>
      </c>
      <c r="F20" t="n">
        <v>1974.25</v>
      </c>
    </row>
    <row r="21">
      <c r="A21" t="inlineStr">
        <is>
          <t>RTX</t>
        </is>
      </c>
      <c r="B21" t="n">
        <v>43351</v>
      </c>
      <c r="C21" t="n">
        <v>0</v>
      </c>
      <c r="D21" t="n">
        <v>43351</v>
      </c>
      <c r="E21" t="n">
        <v>2013.24</v>
      </c>
      <c r="F21" t="n">
        <v>1502.83</v>
      </c>
    </row>
    <row r="22">
      <c r="A22" t="inlineStr">
        <is>
          <t>SIEd</t>
        </is>
      </c>
      <c r="B22" t="n">
        <v>20976</v>
      </c>
      <c r="C22" t="n">
        <v>0</v>
      </c>
      <c r="D22" t="n">
        <v>20976</v>
      </c>
      <c r="E22" t="n">
        <v>1062.54</v>
      </c>
      <c r="F22" t="n">
        <v>872.73</v>
      </c>
    </row>
    <row r="23">
      <c r="A23" t="inlineStr">
        <is>
          <t>TGT</t>
        </is>
      </c>
      <c r="B23" t="n">
        <v>10890</v>
      </c>
      <c r="C23" t="n">
        <v>0</v>
      </c>
      <c r="D23" t="n">
        <v>10890</v>
      </c>
      <c r="E23" t="n">
        <v>1581.53</v>
      </c>
      <c r="F23" t="n">
        <v>1452.55</v>
      </c>
    </row>
    <row r="24">
      <c r="A24" t="inlineStr">
        <is>
          <t>TSLA</t>
        </is>
      </c>
      <c r="B24" t="n">
        <v>32127</v>
      </c>
      <c r="C24" t="n">
        <v>0</v>
      </c>
      <c r="D24" t="n">
        <v>32127</v>
      </c>
      <c r="E24" t="n">
        <v>1566</v>
      </c>
      <c r="F24" t="n">
        <v>1187.48</v>
      </c>
    </row>
    <row r="25">
      <c r="A25" t="inlineStr">
        <is>
          <t>TSM</t>
        </is>
      </c>
      <c r="B25" t="n">
        <v>40346</v>
      </c>
      <c r="C25" t="n">
        <v>0</v>
      </c>
      <c r="D25" t="n">
        <v>40346</v>
      </c>
      <c r="E25" t="n">
        <v>1226.6</v>
      </c>
      <c r="F25" t="n">
        <v>751.5</v>
      </c>
    </row>
    <row r="26"/>
    <row r="27">
      <c r="A27" t="inlineStr">
        <is>
          <t>Note</t>
        </is>
      </c>
      <c r="B27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Vineet Dev</t>
        </is>
      </c>
    </row>
    <row r="2">
      <c r="A2" t="inlineStr">
        <is>
          <t>Assessee</t>
        </is>
      </c>
      <c r="B2" t="inlineStr">
        <is>
          <t>Vineet Dev — IBKR U18045590 (Individual) — Advisor: MATCAP WEALTH ADVISORS PRIVATE LIMITED</t>
        </is>
      </c>
    </row>
    <row r="3">
      <c r="A3" t="inlineStr">
        <is>
          <t>Account opening</t>
        </is>
      </c>
      <c r="B3" t="inlineStr">
        <is>
          <t>Opened via FOP In of CRM × 419 on 24-Feb-2025 (MV USD 129,806.20). No cash deposits in furnished statements. Cost basis from IBKR Open Positions at 31-Mar-2025 (unit cost applied to full 419). Confirm original broker acquisition dates for CRM LTCG (IBKR sale of 1 CRM on 05-Mar-2025 coded Long-term).</t>
        </is>
      </c>
    </row>
    <row r="4">
      <c r="A4" t="inlineStr">
        <is>
          <t>Capital gains</t>
        </is>
      </c>
      <c r="B4" t="inlineStr">
        <is>
          <t>FY2024-25: CRM × 1 sold 05-Mar-2025. FY2025-26: multiple equity/ETF disposals (incl. CRM, AMZN, ASML, BTI, NOVd/NOVN, ROG, R6C0d/SHELL, SIEd, NFLX, TSM, etc.) plus CHF-traded Swiss names (NOVN, ROG) converted via IBKR YE CHF→USD.</t>
        </is>
      </c>
    </row>
    <row r="5">
      <c r="A5" t="inlineStr">
        <is>
          <t>FX</t>
        </is>
      </c>
      <c r="B5" t="inlineStr">
        <is>
          <t>CHF→USD 1.2615 and EUR/JPY from IBKR YE2025 Forex Balances — editable on FX Lookup. Multi-currency: USD, EUR, CHF, JPY.</t>
        </is>
      </c>
    </row>
    <row r="6">
      <c r="A6" t="inlineStr">
        <is>
          <t>Peak NAV</t>
        </is>
      </c>
      <c r="B6" t="inlineStr">
        <is>
          <t>Activity Statement peak = max(start, end) only. Obtain PortfolioAnalyst for true peak A2.</t>
        </is>
      </c>
    </row>
    <row r="7">
      <c r="A7" t="inlineStr">
        <is>
          <t>Assessee</t>
        </is>
      </c>
      <c r="B7" t="inlineStr">
        <is>
          <t>Vineet Dev</t>
        </is>
      </c>
    </row>
    <row r="8">
      <c r="A8" t="inlineStr">
        <is>
          <t>Account</t>
        </is>
      </c>
      <c r="B8" t="inlineStr">
        <is>
          <t>U18045590 — Interactive Brokers LLC (Advisor Client; Advisor: MATCAP WEALTH ADVISORS PRIVATE LIMITED)</t>
        </is>
      </c>
    </row>
    <row r="9">
      <c r="A9" t="inlineStr">
        <is>
          <t>Customer type</t>
        </is>
      </c>
      <c r="B9" t="inlineStr">
        <is>
          <t>Individual</t>
        </is>
      </c>
    </row>
    <row r="10">
      <c r="A10" t="inlineStr">
        <is>
          <t>Base currency</t>
        </is>
      </c>
      <c r="B10" t="inlineStr">
        <is>
          <t>USD</t>
        </is>
      </c>
    </row>
    <row r="11">
      <c r="A11" t="inlineStr">
        <is>
          <t>Account funded</t>
        </is>
      </c>
      <c r="B11" t="inlineStr">
        <is>
          <t>First deposit n/a (inception statement)</t>
        </is>
      </c>
    </row>
    <row r="12">
      <c r="A12" t="inlineStr">
        <is>
          <t>Schedule FA period</t>
        </is>
      </c>
      <c r="B12" t="inlineStr">
        <is>
          <t>Calendar Year 2025 (01-Jan-2025 to 31-Dec-2025) — for ITR AY 2026-27</t>
        </is>
      </c>
    </row>
    <row r="13">
      <c r="A13" t="inlineStr">
        <is>
          <t>Income / CG period</t>
        </is>
      </c>
      <c r="B13" t="inlineStr">
        <is>
          <t>FY 2025-26 (01-Apr-2025 to 31-Mar-2026); also FY 2024-25 sheet for prior year</t>
        </is>
      </c>
    </row>
    <row r="14">
      <c r="A14" t="inlineStr">
        <is>
          <t>Source data</t>
        </is>
      </c>
      <c r="B14" t="inlineStr">
        <is>
          <t>IBKR Activity Statements: Inception FY2024-25 + Annual CY2025 + Fiscal FY2025-26</t>
        </is>
      </c>
    </row>
    <row r="15">
      <c r="A15" t="inlineStr">
        <is>
          <t>FIFO method</t>
        </is>
      </c>
      <c r="B15" t="inlineStr">
        <is>
          <t>Actual buy dates &amp; IBKR Basis from inception replay; splits (LRCX 10:1, NFLX 10:1) applied</t>
        </is>
      </c>
    </row>
    <row r="16">
      <c r="A16" t="inlineStr">
        <is>
          <t>CG reconciliation</t>
        </is>
      </c>
      <c r="B16" t="inlineStr">
        <is>
          <t>Sheets 'Capital Gains FY2025-26' / 'FY2024-25' are formula-driven — yellow cells editable; Gain = Sale INR − Comm INR − Cost INR</t>
        </is>
      </c>
    </row>
    <row r="17">
      <c r="A17" t="inlineStr">
        <is>
          <t>FX Lookup</t>
        </is>
      </c>
      <c r="B17" t="inlineStr">
        <is>
          <t>Editable SBI TT USD/INR &amp; EUR/INR month-end rates + FCY→USD cross rates</t>
        </is>
      </c>
    </row>
    <row r="18">
      <c r="A18" t="inlineStr">
        <is>
          <t>Starting NAV CY2025</t>
        </is>
      </c>
      <c r="B18" t="inlineStr">
        <is>
          <t>USD 0.00</t>
        </is>
      </c>
    </row>
    <row r="19">
      <c r="A19" t="inlineStr">
        <is>
          <t>Ending NAV CY2025</t>
        </is>
      </c>
      <c r="B19" t="inlineStr">
        <is>
          <t>USD 119,317.75</t>
        </is>
      </c>
    </row>
    <row r="20">
      <c r="A20" t="inlineStr">
        <is>
          <t>Deposits CY2025</t>
        </is>
      </c>
      <c r="B20" t="inlineStr">
        <is>
          <t>USD 0.00</t>
        </is>
      </c>
    </row>
    <row r="21">
      <c r="A21" t="inlineStr">
        <is>
          <t>Deposits since inception (to 31-Mar-2025)</t>
        </is>
      </c>
      <c r="B21" t="inlineStr">
        <is>
          <t>USD 0.00</t>
        </is>
      </c>
    </row>
    <row r="22">
      <c r="A22" t="inlineStr">
        <is>
          <t>Dividends CY2025</t>
        </is>
      </c>
      <c r="B22" t="inlineStr">
        <is>
          <t>USD 853.09 / INR 74,134 (Rule 115)</t>
        </is>
      </c>
    </row>
    <row r="23">
      <c r="A23" t="inlineStr">
        <is>
          <t>Interest CY2025</t>
        </is>
      </c>
      <c r="B23" t="inlineStr">
        <is>
          <t>USD 65.46 / INR 5,744 (Rule 115)</t>
        </is>
      </c>
    </row>
    <row r="24">
      <c r="A24" t="inlineStr">
        <is>
          <t>Dividends FY2025-26</t>
        </is>
      </c>
      <c r="B24" t="inlineStr">
        <is>
          <t>USD 1,103.36 / INR 96,654</t>
        </is>
      </c>
    </row>
    <row r="25">
      <c r="A25" t="inlineStr">
        <is>
          <t>Interest FY2025-26</t>
        </is>
      </c>
      <c r="B25" t="inlineStr">
        <is>
          <t>USD 65.38 / INR 5,737</t>
        </is>
      </c>
    </row>
    <row r="26">
      <c r="A26" t="inlineStr">
        <is>
          <t>STCG FY2025-26 (INR)</t>
        </is>
      </c>
      <c r="B26" t="inlineStr">
        <is>
          <t>590,702</t>
        </is>
      </c>
    </row>
    <row r="27">
      <c r="A27" t="inlineStr">
        <is>
          <t>LTCG FY2025-26 (INR)</t>
        </is>
      </c>
      <c r="B27" t="inlineStr">
        <is>
          <t>0</t>
        </is>
      </c>
    </row>
    <row r="28">
      <c r="A28" t="inlineStr">
        <is>
          <t>STCG FY2024-25 (INR)</t>
        </is>
      </c>
      <c r="B28" t="inlineStr">
        <is>
          <t>12,739</t>
        </is>
      </c>
    </row>
    <row r="29">
      <c r="A29" t="inlineStr">
        <is>
          <t>LTCG FY2024-25 (INR)</t>
        </is>
      </c>
      <c r="B29" t="inlineStr">
        <is>
          <t>0</t>
        </is>
      </c>
    </row>
    <row r="30">
      <c r="A30" t="inlineStr">
        <is>
          <t>A1 Foreign Bank/Depository</t>
        </is>
      </c>
      <c r="B30" t="inlineStr">
        <is>
          <t>Generally N/A separately — multi-currency cash sits inside IBKR custodial account (A2)</t>
        </is>
      </c>
    </row>
    <row r="31">
      <c r="A31" t="inlineStr">
        <is>
          <t>A2 Custodial Account</t>
        </is>
      </c>
      <c r="B31" t="inlineStr">
        <is>
          <t>Applicable — see sheet; opening: 2025-02-24 (CRM FOP In)</t>
        </is>
      </c>
    </row>
    <row r="32">
      <c r="A32" t="inlineStr">
        <is>
          <t>A3 Equity &amp; Debt Interest</t>
        </is>
      </c>
      <c r="B32" t="inlineStr">
        <is>
          <t>Applicable — 61 FIFO lot lines (one row per acquisition lot; sold lots match Capital Gains)</t>
        </is>
      </c>
    </row>
    <row r="33">
      <c r="A33" t="inlineStr">
        <is>
          <t>A3 Col C (Name of entity)</t>
        </is>
      </c>
      <c r="B33" t="inlineStr">
        <is>
          <t>Symbol only (e.g. NOVd, AAPL). Legal name / address remain in Address &amp; Nature columns.</t>
        </is>
      </c>
    </row>
    <row r="34">
      <c r="A34" t="inlineStr">
        <is>
          <t>A3 vs CG</t>
        </is>
      </c>
      <c r="B34" t="inlineStr">
        <is>
          <t>Sold lots: A3 Initial = CG Cost (INR), A3 Sale = CG Sale (INR), same Rule 115/EUR FX. Multiple buys (e.g. NOVd 21-Mar &amp; 21-Aug) appear as separate A3 rows.</t>
        </is>
      </c>
    </row>
    <row r="35">
      <c r="A35" t="inlineStr">
        <is>
          <t>ADR country practice</t>
        </is>
      </c>
      <c r="B35" t="inlineStr">
        <is>
          <t>Underlying issuer country used for ADRs/GDRs (ASML NL, BTI UK, TSM TW, BYDDY CN, HYU KR, RIO UK)</t>
        </is>
      </c>
    </row>
    <row r="36">
      <c r="A36" t="inlineStr">
        <is>
          <t>CPNG</t>
        </is>
      </c>
      <c r="B36" t="inlineStr">
        <is>
          <t>USA (Delaware corporation, NYSE) despite Korea operations</t>
        </is>
      </c>
    </row>
    <row r="37">
      <c r="A37" t="inlineStr">
        <is>
          <t>NFLX split</t>
        </is>
      </c>
      <c r="B37" t="inlineStr">
        <is>
          <t>10-for-1 split on 14/17-Nov-2025 reflected in FIFO</t>
        </is>
      </c>
    </row>
    <row r="38">
      <c r="A38" t="inlineStr">
        <is>
          <t>LRCX split</t>
        </is>
      </c>
      <c r="B38" t="inlineStr">
        <is>
          <t>10-for-1 split on 02/03-Oct-2024 reflected in FIFO (bought 1 pre-split → 10)</t>
        </is>
      </c>
    </row>
    <row r="39">
      <c r="A39" t="inlineStr">
        <is>
          <t>HYU</t>
        </is>
      </c>
      <c r="B39" t="inlineStr">
        <is>
          <t>Cash merger acquisition Jul-2025 — sale proceeds USD 1,339.02 reported as redemption proceeds</t>
        </is>
      </c>
    </row>
    <row r="40">
      <c r="A40" t="inlineStr">
        <is>
          <t>Action required</t>
        </is>
      </c>
      <c r="B40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2026-08-27T12:14:57Z</dcterms:created>
  <dcterms:modified xsi:type="dcterms:W3CDTF">2026-08-27T12:14:57Z</dcterms:modified>
</cp:coreProperties>
</file>