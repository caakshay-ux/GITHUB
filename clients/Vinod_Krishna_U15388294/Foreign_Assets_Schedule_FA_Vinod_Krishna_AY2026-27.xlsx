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X Lookup" sheetId="1" state="visible" r:id="rId1"/>
    <sheet name="A3" sheetId="2" state="visible" r:id="rId2"/>
    <sheet name="A3 (USD reference)" sheetId="3" state="visible" r:id="rId3"/>
    <sheet name="FX Rates (USD-INR)" sheetId="4" state="visible" r:id="rId4"/>
    <sheet name="A2 Custodial Account" sheetId="5" state="visible" r:id="rId5"/>
    <sheet name="Schedule OS - CY2025" sheetId="6" state="visible" r:id="rId6"/>
    <sheet name="Schedule OS - FY2025-26" sheetId="7" state="visible" r:id="rId7"/>
    <sheet name="FTC - Withholding Tax" sheetId="8" state="visible" r:id="rId8"/>
    <sheet name="Capital Gains FY2025-26" sheetId="9" state="visible" r:id="rId9"/>
    <sheet name="Capital Gains FY2024-25" sheetId="10" state="visible" r:id="rId10"/>
    <sheet name="FIFO Lots Register" sheetId="11" state="visible" r:id="rId11"/>
    <sheet name="CG Summary by Symbol" sheetId="12" state="visible" r:id="rId12"/>
    <sheet name="Notes for CA" sheetId="13" state="visible" r:id="rId13"/>
    <sheet name="Capital Gains FY2026-27" sheetId="14" state="visible" r:id="rId14"/>
    <sheet name="Schedule OS - FY2026-27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48" customWidth="1" min="1" max="1"/>
    <col width="23" customWidth="1" min="2" max="2"/>
    <col width="22" customWidth="1" min="3" max="3"/>
    <col width="48" customWidth="1" min="4" max="4"/>
    <col width="10" customWidth="1" min="5" max="5"/>
  </cols>
  <sheetData>
    <row r="1">
      <c r="A1" t="inlineStr">
        <is>
          <t>EDITABLE FX LOOKUP — change rates in column B/C; capital-gain sheets recalculate via VLOOKUP. Rule 115: use TT Buy on last day of month preceding the month of sale / acquisition.</t>
        </is>
      </c>
    </row>
    <row r="2">
      <c r="A2" t="inlineStr">
        <is>
          <t>Table range for VLOOKUP: A4:C33</t>
        </is>
      </c>
    </row>
    <row r="3">
      <c r="A3" s="1" t="inlineStr">
        <is>
          <t>Rate Date (month-end)</t>
        </is>
      </c>
      <c r="B3" s="1" t="inlineStr">
        <is>
          <t>USD/INR (SBI TT Buy)</t>
        </is>
      </c>
      <c r="C3" s="1" t="inlineStr">
        <is>
          <t>EUR/INR (SBI TT Buy)</t>
        </is>
      </c>
      <c r="D3" s="1" t="inlineStr">
        <is>
          <t>Notes</t>
        </is>
      </c>
    </row>
    <row r="4">
      <c r="A4" s="2" t="n">
        <v>45535</v>
      </c>
      <c r="B4" s="3" t="n">
        <v>83.5</v>
      </c>
      <c r="C4" s="3" t="n">
        <v>91.72</v>
      </c>
      <c r="D4" t="inlineStr">
        <is>
          <t>Month-end card — replace with exact SBI card rate if different</t>
        </is>
      </c>
    </row>
    <row r="5">
      <c r="A5" s="2" t="n">
        <v>45565</v>
      </c>
      <c r="B5" s="3" t="n">
        <v>83.3</v>
      </c>
      <c r="C5" s="3" t="n">
        <v>92.34</v>
      </c>
      <c r="D5" t="inlineStr">
        <is>
          <t>Month-end card — replace with exact SBI card rate if different</t>
        </is>
      </c>
    </row>
    <row r="6">
      <c r="A6" s="2" t="n">
        <v>45596</v>
      </c>
      <c r="B6" s="3" t="n">
        <v>83.68000000000001</v>
      </c>
      <c r="C6" s="3" t="n">
        <v>90.06999999999999</v>
      </c>
      <c r="D6" t="inlineStr">
        <is>
          <t>Month-end card — replace with exact SBI card rate if different</t>
        </is>
      </c>
    </row>
    <row r="7">
      <c r="A7" s="2" t="n">
        <v>45626</v>
      </c>
      <c r="B7" s="3" t="n">
        <v>84.15000000000001</v>
      </c>
      <c r="C7" s="3" t="n">
        <v>88.26000000000001</v>
      </c>
      <c r="D7" t="inlineStr">
        <is>
          <t>Month-end card — replace with exact SBI card rate if different</t>
        </is>
      </c>
    </row>
    <row r="8">
      <c r="A8" s="2" t="n">
        <v>45657</v>
      </c>
      <c r="B8" s="3" t="n">
        <v>85.2</v>
      </c>
      <c r="C8" s="3" t="n">
        <v>87.93000000000001</v>
      </c>
      <c r="D8" t="inlineStr">
        <is>
          <t>Month-end card — replace with exact SBI card rate if different</t>
        </is>
      </c>
    </row>
    <row r="9">
      <c r="A9" s="2" t="n">
        <v>45688</v>
      </c>
      <c r="B9" s="3" t="n">
        <v>86.2</v>
      </c>
      <c r="C9" s="3" t="n">
        <v>88.78</v>
      </c>
      <c r="D9" t="inlineStr">
        <is>
          <t>Month-end card — replace with exact SBI card rate if different</t>
        </is>
      </c>
    </row>
    <row r="10">
      <c r="A10" s="2" t="n">
        <v>45716</v>
      </c>
      <c r="B10" s="3" t="n">
        <v>86.95</v>
      </c>
      <c r="C10" s="3" t="n">
        <v>89.55</v>
      </c>
      <c r="D10" t="inlineStr">
        <is>
          <t>Month-end card — replace with exact SBI card rate if different</t>
        </is>
      </c>
    </row>
    <row r="11">
      <c r="A11" s="2" t="n">
        <v>45745</v>
      </c>
      <c r="B11" s="3" t="n">
        <v>85.09999999999999</v>
      </c>
      <c r="C11" s="3" t="n"/>
      <c r="D11" t="inlineStr">
        <is>
          <t>Month-end card — replace with exact SBI card rate if different</t>
        </is>
      </c>
    </row>
    <row r="12">
      <c r="A12" s="2" t="n">
        <v>45747</v>
      </c>
      <c r="B12" s="3" t="n">
        <v>85.09999999999999</v>
      </c>
      <c r="C12" s="3" t="n">
        <v>91.86</v>
      </c>
      <c r="D12" t="inlineStr">
        <is>
          <t>Month-end card — replace with exact SBI card rate if different</t>
        </is>
      </c>
    </row>
    <row r="13">
      <c r="A13" s="2" t="n">
        <v>45777</v>
      </c>
      <c r="B13" s="3" t="n">
        <v>84.25</v>
      </c>
      <c r="C13" s="3" t="n">
        <v>94.97</v>
      </c>
      <c r="D13" t="inlineStr">
        <is>
          <t>Month-end card — replace with exact SBI card rate if different</t>
        </is>
      </c>
    </row>
    <row r="14">
      <c r="A14" s="2" t="n">
        <v>45808</v>
      </c>
      <c r="B14" s="3" t="n">
        <v>85.09999999999999</v>
      </c>
      <c r="C14" s="3" t="n">
        <v>95.78</v>
      </c>
      <c r="D14" t="inlineStr">
        <is>
          <t>Month-end card — replace with exact SBI card rate if different</t>
        </is>
      </c>
    </row>
    <row r="15">
      <c r="A15" s="2" t="n">
        <v>45838</v>
      </c>
      <c r="B15" s="3" t="n">
        <v>85.09999999999999</v>
      </c>
      <c r="C15" s="3" t="n">
        <v>98.92</v>
      </c>
      <c r="D15" t="inlineStr">
        <is>
          <t>Month-end card — replace with exact SBI card rate if different</t>
        </is>
      </c>
    </row>
    <row r="16">
      <c r="A16" s="2" t="n">
        <v>45869</v>
      </c>
      <c r="B16" s="3" t="n">
        <v>87.15000000000001</v>
      </c>
      <c r="C16" s="3" t="n">
        <v>99.02</v>
      </c>
      <c r="D16" t="inlineStr">
        <is>
          <t>Month-end card — replace with exact SBI card rate if different</t>
        </is>
      </c>
    </row>
    <row r="17">
      <c r="A17" s="2" t="n">
        <v>45899</v>
      </c>
      <c r="B17" s="3" t="n">
        <v>87.7</v>
      </c>
      <c r="C17" s="3" t="n"/>
      <c r="D17" t="inlineStr">
        <is>
          <t>Month-end card — replace with exact SBI card rate if different</t>
        </is>
      </c>
    </row>
    <row r="18">
      <c r="A18" s="2" t="n">
        <v>45900</v>
      </c>
      <c r="B18" s="3" t="n">
        <v>87.7</v>
      </c>
      <c r="C18" s="3" t="n">
        <v>101.7</v>
      </c>
      <c r="D18" t="inlineStr">
        <is>
          <t>Month-end card — replace with exact SBI card rate if different</t>
        </is>
      </c>
    </row>
    <row r="19">
      <c r="A19" s="2" t="n">
        <v>45930</v>
      </c>
      <c r="B19" s="3" t="n">
        <v>88.34999999999999</v>
      </c>
      <c r="C19" s="3" t="n">
        <v>103.09</v>
      </c>
      <c r="D19" t="inlineStr">
        <is>
          <t>Month-end card — replace with exact SBI card rate if different</t>
        </is>
      </c>
    </row>
    <row r="20">
      <c r="A20" s="2" t="n">
        <v>45961</v>
      </c>
      <c r="B20" s="3" t="n">
        <v>88.2</v>
      </c>
      <c r="C20" s="3" t="n">
        <v>101.23</v>
      </c>
      <c r="D20" t="inlineStr">
        <is>
          <t>Month-end card — replace with exact SBI card rate if different</t>
        </is>
      </c>
    </row>
    <row r="21">
      <c r="A21" s="2" t="n">
        <v>45990</v>
      </c>
      <c r="B21" s="3" t="n">
        <v>88.95</v>
      </c>
      <c r="C21" s="3" t="n"/>
      <c r="D21" t="inlineStr">
        <is>
          <t>Month-end card — replace with exact SBI card rate if different</t>
        </is>
      </c>
    </row>
    <row r="22">
      <c r="A22" s="2" t="n">
        <v>45991</v>
      </c>
      <c r="B22" s="3" t="n">
        <v>88.95</v>
      </c>
      <c r="C22" s="3" t="n">
        <v>102.4</v>
      </c>
      <c r="D22" t="inlineStr">
        <is>
          <t>Month-end card — replace with exact SBI card rate if different</t>
        </is>
      </c>
    </row>
    <row r="23">
      <c r="A23" s="2" t="n">
        <v>46022</v>
      </c>
      <c r="B23" s="3" t="n">
        <v>89.47</v>
      </c>
      <c r="C23" s="3" t="n">
        <v>104.2</v>
      </c>
      <c r="D23" t="inlineStr">
        <is>
          <t>Month-end card — replace with exact SBI card rate if different</t>
        </is>
      </c>
    </row>
    <row r="24">
      <c r="A24" s="2" t="n">
        <v>46053</v>
      </c>
      <c r="B24" s="3" t="n">
        <v>91.34999999999999</v>
      </c>
      <c r="C24" s="3" t="n">
        <v>105</v>
      </c>
      <c r="D24" t="inlineStr">
        <is>
          <t>Month-end card — replace with exact SBI card rate if different</t>
        </is>
      </c>
    </row>
    <row r="25">
      <c r="A25" s="2" t="n">
        <v>46081</v>
      </c>
      <c r="B25" s="3" t="n">
        <v>90.56</v>
      </c>
      <c r="C25" s="3" t="n">
        <v>104.5</v>
      </c>
      <c r="D25" t="inlineStr">
        <is>
          <t>Month-end card — replace with exact SBI card rate if different</t>
        </is>
      </c>
    </row>
    <row r="26">
      <c r="A26" s="2" t="n">
        <v>46112</v>
      </c>
      <c r="B26" s="3" t="n">
        <v>93.15000000000001</v>
      </c>
      <c r="C26" s="3" t="n">
        <v>106</v>
      </c>
      <c r="D26" t="inlineStr">
        <is>
          <t>Month-end card — replace with exact SBI card rate if different</t>
        </is>
      </c>
    </row>
    <row r="27">
      <c r="A27" s="2" t="n">
        <v>46142</v>
      </c>
      <c r="B27" s="3" t="n">
        <v>94.8</v>
      </c>
      <c r="C27" s="3" t="n">
        <v>109.7</v>
      </c>
      <c r="D27" t="inlineStr">
        <is>
          <t>Month-end card — replace with exact SBI card rate if different</t>
        </is>
      </c>
    </row>
    <row r="28">
      <c r="A28" s="2" t="n">
        <v>46172</v>
      </c>
      <c r="B28" s="3" t="n">
        <v>94.59999999999999</v>
      </c>
      <c r="C28" s="3" t="n">
        <v>109.4</v>
      </c>
      <c r="D28" t="inlineStr">
        <is>
          <t>Month-end card — replace with exact SBI card rate if different</t>
        </is>
      </c>
    </row>
    <row r="29">
      <c r="A29" s="2" t="n">
        <v>46173</v>
      </c>
      <c r="B29" s="3" t="n">
        <v>94.59999999999999</v>
      </c>
      <c r="C29" s="3" t="n">
        <v>109.4</v>
      </c>
      <c r="D29" t="inlineStr">
        <is>
          <t>Month-end card — replace with exact SBI card rate if different</t>
        </is>
      </c>
    </row>
    <row r="30">
      <c r="A30" s="2" t="n">
        <v>46202</v>
      </c>
      <c r="B30" s="3" t="n">
        <v>93.95</v>
      </c>
      <c r="C30" s="3" t="n">
        <v>106.2</v>
      </c>
      <c r="D30" t="inlineStr">
        <is>
          <t>Month-end card — replace with exact SBI card rate if different</t>
        </is>
      </c>
    </row>
    <row r="31">
      <c r="A31" s="2" t="n">
        <v>46203</v>
      </c>
      <c r="B31" s="3" t="n">
        <v>93.95</v>
      </c>
      <c r="C31" s="3" t="n">
        <v>106.2</v>
      </c>
      <c r="D31" t="inlineStr">
        <is>
          <t>Month-end card — replace with exact SBI card rate if different</t>
        </is>
      </c>
    </row>
    <row r="32">
      <c r="A32" s="2" t="n">
        <v>46234</v>
      </c>
      <c r="B32" s="3" t="n">
        <v>95.2</v>
      </c>
      <c r="C32" s="3" t="n">
        <v>106.2</v>
      </c>
      <c r="D32" t="inlineStr">
        <is>
          <t>Month-end card — replace with exact SBI card rate if different</t>
        </is>
      </c>
    </row>
    <row r="33">
      <c r="A33" s="2" t="n">
        <v>46265</v>
      </c>
      <c r="B33" s="3" t="n">
        <v>95</v>
      </c>
      <c r="C33" s="3" t="n">
        <v>106.2</v>
      </c>
      <c r="D33" t="inlineStr">
        <is>
          <t>Month-end card — replace with exact SBI card rate if different</t>
        </is>
      </c>
    </row>
    <row r="35">
      <c r="A35" t="inlineStr">
        <is>
          <t>FCY→USD cross rates (IBKR 31-Dec-2025 close — edit if using trade-date FX)</t>
        </is>
      </c>
    </row>
    <row r="36">
      <c r="A36" s="1" t="inlineStr">
        <is>
          <t>Currency</t>
        </is>
      </c>
      <c r="B36" s="1" t="inlineStr">
        <is>
          <t>Units per 1 FCY → USD</t>
        </is>
      </c>
    </row>
    <row r="37">
      <c r="A37" t="inlineStr">
        <is>
          <t>CHF</t>
        </is>
      </c>
      <c r="B37" s="3" t="n">
        <v>1.2615</v>
      </c>
    </row>
    <row r="38">
      <c r="A38" t="inlineStr">
        <is>
          <t>CNH</t>
        </is>
      </c>
      <c r="B38" s="3" t="n">
        <v>0.1481</v>
      </c>
    </row>
    <row r="39">
      <c r="A39" t="inlineStr">
        <is>
          <t>CNY</t>
        </is>
      </c>
      <c r="B39" s="3" t="n">
        <v>0.1481</v>
      </c>
    </row>
    <row r="40">
      <c r="A40" t="inlineStr">
        <is>
          <t>DKK</t>
        </is>
      </c>
      <c r="B40" s="3" t="n">
        <v>0.15726</v>
      </c>
    </row>
    <row r="41">
      <c r="A41" t="inlineStr">
        <is>
          <t>EUR</t>
        </is>
      </c>
      <c r="B41" s="3" t="n">
        <v>1.1746</v>
      </c>
    </row>
    <row r="42">
      <c r="A42" t="inlineStr">
        <is>
          <t>GBP</t>
        </is>
      </c>
      <c r="B42" s="3" t="n">
        <v>1.342</v>
      </c>
    </row>
    <row r="43">
      <c r="A43" t="inlineStr">
        <is>
          <t>HKD</t>
        </is>
      </c>
      <c r="B43" s="3" t="n">
        <v>0.12849</v>
      </c>
    </row>
    <row r="44">
      <c r="A44" t="inlineStr">
        <is>
          <t>JPY</t>
        </is>
      </c>
      <c r="B44" s="3" t="n">
        <v>0.0063827</v>
      </c>
    </row>
    <row r="45">
      <c r="A45" t="inlineStr">
        <is>
          <t>SGD</t>
        </is>
      </c>
      <c r="B45" s="3" t="n">
        <v>0.7776049766718507</v>
      </c>
    </row>
    <row r="46">
      <c r="A46" t="inlineStr">
        <is>
          <t>USD</t>
        </is>
      </c>
      <c r="B46" s="3" t="n">
        <v>1</v>
      </c>
    </row>
    <row r="48">
      <c r="A48" t="inlineStr">
        <is>
          <t>Yellow/input cells on CG sheets: Sale/Cost FCY, Comm USD, FX rates. All P&amp;L columns are formulas.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48" customWidth="1" min="4" max="4"/>
    <col width="10" customWidth="1" min="5" max="5"/>
    <col width="48" customWidth="1" min="6" max="6"/>
    <col width="32" customWidth="1" min="7" max="7"/>
    <col width="33" customWidth="1" min="8" max="8"/>
    <col width="44" customWidth="1" min="9" max="9"/>
    <col width="17" customWidth="1" min="10" max="10"/>
    <col width="48" customWidth="1" min="11" max="11"/>
    <col width="48" customWidth="1" min="12" max="12"/>
  </cols>
  <sheetData>
    <row r="1">
      <c r="A1" t="inlineStr">
        <is>
          <t>A3. Details of Foreign Equity and Debt Interest held (including any beneficial interest) in any entity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entity</t>
        </is>
      </c>
      <c r="D2" s="1" t="inlineStr">
        <is>
          <t>Address of entity</t>
        </is>
      </c>
      <c r="E2" s="1" t="inlineStr">
        <is>
          <t>ZIP code</t>
        </is>
      </c>
      <c r="F2" s="1" t="inlineStr">
        <is>
          <t>Nature of entity</t>
        </is>
      </c>
      <c r="G2" s="1" t="inlineStr">
        <is>
          <t>Date of acquiring the interest</t>
        </is>
      </c>
      <c r="H2" s="1" t="inlineStr">
        <is>
          <t>Initial value of the investment</t>
        </is>
      </c>
      <c r="I2" s="1" t="inlineStr">
        <is>
          <t>Peak value of investment during the period</t>
        </is>
      </c>
      <c r="J2" s="1" t="inlineStr">
        <is>
          <t>Closing balance</t>
        </is>
      </c>
      <c r="K2" s="1" t="inlineStr">
        <is>
          <t>Total gross amount paid/credited with respect to the holding during the period</t>
        </is>
      </c>
      <c r="L2" s="1" t="inlineStr">
        <is>
          <t>Total gross proceeds from sale or redemption of investment during the period</t>
        </is>
      </c>
    </row>
    <row r="4">
      <c r="A4" t="n">
        <v>1</v>
      </c>
      <c r="B4" t="n">
        <v>2</v>
      </c>
      <c r="C4" t="n">
        <v>3</v>
      </c>
      <c r="D4" t="n">
        <v>4</v>
      </c>
      <c r="E4" t="n">
        <v>5</v>
      </c>
      <c r="F4" t="n">
        <v>6</v>
      </c>
      <c r="G4" t="n">
        <v>7</v>
      </c>
      <c r="H4" t="n">
        <v>8</v>
      </c>
      <c r="I4" t="n">
        <v>9</v>
      </c>
      <c r="J4" t="n">
        <v>10</v>
      </c>
      <c r="K4" t="n">
        <v>11</v>
      </c>
      <c r="L4" t="n">
        <v>12</v>
      </c>
    </row>
    <row r="5">
      <c r="A5" t="inlineStr">
        <is>
          <t>Hong Kong</t>
        </is>
      </c>
      <c r="B5" t="n">
        <v>94</v>
      </c>
      <c r="C5" t="inlineStr">
        <is>
          <t>3088</t>
        </is>
      </c>
      <c r="D5" t="inlineStr">
        <is>
          <t>ChinaAMC, Hong Kong</t>
        </is>
      </c>
      <c r="F5" t="inlineStr">
        <is>
          <t>Exchange Traded Fund (Investment Trust)</t>
        </is>
      </c>
      <c r="G5" t="inlineStr">
        <is>
          <t>2025-04-13</t>
        </is>
      </c>
      <c r="H5" t="n">
        <v>42318</v>
      </c>
      <c r="I5" t="n">
        <v>44491</v>
      </c>
      <c r="J5" t="n">
        <v>44491</v>
      </c>
      <c r="K5" t="n">
        <v>137</v>
      </c>
      <c r="L5" t="n">
        <v>0</v>
      </c>
    </row>
    <row r="6">
      <c r="A6" t="inlineStr">
        <is>
          <t>Hong Kong</t>
        </is>
      </c>
      <c r="B6" t="n">
        <v>94</v>
      </c>
      <c r="C6" t="inlineStr">
        <is>
          <t>3110</t>
        </is>
      </c>
      <c r="D6" t="inlineStr">
        <is>
          <t>Global X ETFs / Mirae Asset, Hong Kong</t>
        </is>
      </c>
      <c r="F6" t="inlineStr">
        <is>
          <t>Exchange Traded Fund (Investment Trust)</t>
        </is>
      </c>
      <c r="G6" t="inlineStr">
        <is>
          <t>2025-07-15</t>
        </is>
      </c>
      <c r="H6" t="n">
        <v>95461</v>
      </c>
      <c r="I6" t="n">
        <v>100363</v>
      </c>
      <c r="J6" t="n">
        <v>100363</v>
      </c>
      <c r="K6" t="n">
        <v>5409</v>
      </c>
      <c r="L6" t="n">
        <v>0</v>
      </c>
    </row>
    <row r="7">
      <c r="A7" t="inlineStr">
        <is>
          <t>Hong Kong</t>
        </is>
      </c>
      <c r="B7" t="n">
        <v>94</v>
      </c>
      <c r="C7" t="inlineStr">
        <is>
          <t>3188</t>
        </is>
      </c>
      <c r="D7" t="inlineStr">
        <is>
          <t>ChinaAMC, Hong Kong</t>
        </is>
      </c>
      <c r="F7" t="inlineStr">
        <is>
          <t>Exchange Traded Fund (Investment Trust)</t>
        </is>
      </c>
      <c r="G7" t="inlineStr">
        <is>
          <t>2025-04-13</t>
        </is>
      </c>
      <c r="H7" t="n">
        <v>90475</v>
      </c>
      <c r="I7" t="n">
        <v>95121</v>
      </c>
      <c r="J7" t="n">
        <v>95121</v>
      </c>
      <c r="K7" t="n">
        <v>1336</v>
      </c>
      <c r="L7" t="n">
        <v>0</v>
      </c>
    </row>
    <row r="8">
      <c r="A8" t="inlineStr">
        <is>
          <t>Hong Kong</t>
        </is>
      </c>
      <c r="B8" t="n">
        <v>94</v>
      </c>
      <c r="C8" t="inlineStr">
        <is>
          <t>3416</t>
        </is>
      </c>
      <c r="D8" t="inlineStr">
        <is>
          <t>Global X ETFs / Mirae Asset, Hong Kong</t>
        </is>
      </c>
      <c r="F8" t="inlineStr">
        <is>
          <t>Exchange Traded Fund (Investment Trust)</t>
        </is>
      </c>
      <c r="G8" t="inlineStr">
        <is>
          <t>2025-07-15</t>
        </is>
      </c>
      <c r="H8" t="n">
        <v>116434</v>
      </c>
      <c r="I8" t="n">
        <v>122413</v>
      </c>
      <c r="J8" t="n">
        <v>122413</v>
      </c>
      <c r="K8" t="n">
        <v>8033</v>
      </c>
      <c r="L8" t="n">
        <v>0</v>
      </c>
    </row>
    <row r="9">
      <c r="A9" t="inlineStr">
        <is>
          <t>Japan</t>
        </is>
      </c>
      <c r="B9" t="n">
        <v>111</v>
      </c>
      <c r="C9" t="inlineStr">
        <is>
          <t>4568.T</t>
        </is>
      </c>
      <c r="D9" t="inlineStr">
        <is>
          <t>3-5-1 Nihonbashi Honcho, Chuo-ku, Tokyo</t>
        </is>
      </c>
      <c r="E9" t="inlineStr">
        <is>
          <t>103-8426</t>
        </is>
      </c>
      <c r="F9" t="inlineStr">
        <is>
          <t>Listed Foreign Equity Share (Company)</t>
        </is>
      </c>
      <c r="G9" t="inlineStr">
        <is>
          <t>2025-03-30</t>
        </is>
      </c>
      <c r="H9" t="n">
        <v>192163</v>
      </c>
      <c r="I9" t="n">
        <v>202031</v>
      </c>
      <c r="J9" t="n">
        <v>200499</v>
      </c>
      <c r="K9" t="n">
        <v>2214</v>
      </c>
      <c r="L9" t="n">
        <v>0</v>
      </c>
    </row>
    <row r="10">
      <c r="A10" t="inlineStr">
        <is>
          <t>United States of America</t>
        </is>
      </c>
      <c r="B10" t="n">
        <v>2</v>
      </c>
      <c r="C10" t="inlineStr">
        <is>
          <t>AEP</t>
        </is>
      </c>
      <c r="D10" t="inlineStr">
        <is>
          <t>1 Riverside Plaza, Columbus, OH</t>
        </is>
      </c>
      <c r="E10" t="inlineStr">
        <is>
          <t>43215</t>
        </is>
      </c>
      <c r="F10" t="inlineStr">
        <is>
          <t>Listed Foreign Equity Share (Company)</t>
        </is>
      </c>
      <c r="G10" t="inlineStr">
        <is>
          <t>2025-12-12</t>
        </is>
      </c>
      <c r="H10" t="n">
        <v>61502</v>
      </c>
      <c r="I10" t="n">
        <v>61861</v>
      </c>
      <c r="J10" t="n">
        <v>61861</v>
      </c>
      <c r="K10" t="n">
        <v>0</v>
      </c>
      <c r="L10" t="n">
        <v>0</v>
      </c>
    </row>
    <row r="11">
      <c r="A11" t="inlineStr">
        <is>
          <t>Netherlands</t>
        </is>
      </c>
      <c r="B11" t="n">
        <v>156</v>
      </c>
      <c r="C11" t="inlineStr">
        <is>
          <t>AIRd</t>
        </is>
      </c>
      <c r="D11" t="inlineStr">
        <is>
          <t>2 rond-point Emile Dewoitine, Blagnac / Airbus SE registered NL</t>
        </is>
      </c>
      <c r="E11" t="inlineStr">
        <is>
          <t>31700</t>
        </is>
      </c>
      <c r="F11" t="inlineStr">
        <is>
          <t>Listed Foreign Equity Share (Company)</t>
        </is>
      </c>
      <c r="G11" t="inlineStr">
        <is>
          <t>2025-01-21</t>
        </is>
      </c>
      <c r="H11" t="n">
        <v>86048</v>
      </c>
      <c r="I11" t="n">
        <v>102843</v>
      </c>
      <c r="J11" t="n">
        <v>102641</v>
      </c>
      <c r="K11" t="n">
        <v>1799</v>
      </c>
      <c r="L11" t="n">
        <v>0</v>
      </c>
    </row>
    <row r="12">
      <c r="A12" t="inlineStr">
        <is>
          <t>Netherlands</t>
        </is>
      </c>
      <c r="B12" t="n">
        <v>156</v>
      </c>
      <c r="C12" t="inlineStr">
        <is>
          <t>AIRd</t>
        </is>
      </c>
      <c r="D12" t="inlineStr">
        <is>
          <t>2 rond-point Emile Dewoitine, Blagnac / Airbus SE registered NL</t>
        </is>
      </c>
      <c r="E12" t="inlineStr">
        <is>
          <t>31700</t>
        </is>
      </c>
      <c r="F12" t="inlineStr">
        <is>
          <t>Listed Foreign Equity Share (Company)</t>
        </is>
      </c>
      <c r="G12" t="inlineStr">
        <is>
          <t>2025-05-23</t>
        </is>
      </c>
      <c r="H12" t="n">
        <v>89587</v>
      </c>
      <c r="I12" t="n">
        <v>102641</v>
      </c>
      <c r="J12" t="n">
        <v>102641</v>
      </c>
      <c r="K12" t="n">
        <v>0</v>
      </c>
      <c r="L12" t="n">
        <v>0</v>
      </c>
    </row>
    <row r="13">
      <c r="A13" t="inlineStr">
        <is>
          <t>United States of America</t>
        </is>
      </c>
      <c r="B13" t="n">
        <v>2</v>
      </c>
      <c r="C13" t="inlineStr">
        <is>
          <t>AMZN</t>
        </is>
      </c>
      <c r="D13" t="inlineStr">
        <is>
          <t>410 Terry Avenue North, Seattle, WA</t>
        </is>
      </c>
      <c r="E13" t="inlineStr">
        <is>
          <t>98109</t>
        </is>
      </c>
      <c r="F13" t="inlineStr">
        <is>
          <t>Listed Foreign Equity Share (Company)</t>
        </is>
      </c>
      <c r="G13" t="inlineStr">
        <is>
          <t>2025-01-21</t>
        </is>
      </c>
      <c r="H13" t="n">
        <v>107092</v>
      </c>
      <c r="I13" t="n">
        <v>112460</v>
      </c>
      <c r="J13" t="n">
        <v>93624</v>
      </c>
      <c r="K13" t="n">
        <v>0</v>
      </c>
      <c r="L13" t="n">
        <v>0</v>
      </c>
    </row>
    <row r="14">
      <c r="A14" t="inlineStr">
        <is>
          <t>United States of America</t>
        </is>
      </c>
      <c r="B14" t="n">
        <v>2</v>
      </c>
      <c r="C14" t="inlineStr">
        <is>
          <t>AXP</t>
        </is>
      </c>
      <c r="D14" t="inlineStr">
        <is>
          <t>200 Vesey Street, New York, NY</t>
        </is>
      </c>
      <c r="E14" t="inlineStr">
        <is>
          <t>10285</t>
        </is>
      </c>
      <c r="F14" t="inlineStr">
        <is>
          <t>Listed Foreign Equity Share (Company)</t>
        </is>
      </c>
      <c r="G14" t="inlineStr">
        <is>
          <t>2025-01-21</t>
        </is>
      </c>
      <c r="H14" t="n">
        <v>54170</v>
      </c>
      <c r="I14" t="n">
        <v>56885</v>
      </c>
      <c r="J14" t="n">
        <v>48144</v>
      </c>
      <c r="K14" t="n">
        <v>713</v>
      </c>
      <c r="L14" t="n">
        <v>0</v>
      </c>
    </row>
    <row r="15">
      <c r="A15" t="inlineStr">
        <is>
          <t>United States of America</t>
        </is>
      </c>
      <c r="B15" t="n">
        <v>2</v>
      </c>
      <c r="C15" t="inlineStr">
        <is>
          <t>AXP</t>
        </is>
      </c>
      <c r="D15" t="inlineStr">
        <is>
          <t>200 Vesey Street, New York, NY</t>
        </is>
      </c>
      <c r="E15" t="inlineStr">
        <is>
          <t>10285</t>
        </is>
      </c>
      <c r="F15" t="inlineStr">
        <is>
          <t>Listed Foreign Equity Share (Company)</t>
        </is>
      </c>
      <c r="G15" t="inlineStr">
        <is>
          <t>2025-05-23</t>
        </is>
      </c>
      <c r="H15" t="n">
        <v>48043</v>
      </c>
      <c r="I15" t="n">
        <v>51019</v>
      </c>
      <c r="J15" t="n">
        <v>48144</v>
      </c>
      <c r="K15" t="n">
        <v>0</v>
      </c>
      <c r="L15" t="n">
        <v>0</v>
      </c>
    </row>
    <row r="16">
      <c r="A16" t="inlineStr">
        <is>
          <t>United States of America</t>
        </is>
      </c>
      <c r="B16" t="n">
        <v>2</v>
      </c>
      <c r="C16" t="inlineStr">
        <is>
          <t>BAC</t>
        </is>
      </c>
      <c r="D16" t="inlineStr">
        <is>
          <t>100 North Tryon Street, Charlotte, NC</t>
        </is>
      </c>
      <c r="E16" t="inlineStr">
        <is>
          <t>28255</t>
        </is>
      </c>
      <c r="F16" t="inlineStr">
        <is>
          <t>Listed Foreign Equity Share (Company)</t>
        </is>
      </c>
      <c r="G16" t="inlineStr">
        <is>
          <t>2025-01-21</t>
        </is>
      </c>
      <c r="H16" t="n">
        <v>56248</v>
      </c>
      <c r="I16" t="n">
        <v>59067</v>
      </c>
      <c r="J16" t="n">
        <v>52270</v>
      </c>
      <c r="K16" t="n">
        <v>1319</v>
      </c>
      <c r="L16" t="n">
        <v>0</v>
      </c>
    </row>
    <row r="17">
      <c r="A17" t="inlineStr">
        <is>
          <t>United States of America</t>
        </is>
      </c>
      <c r="B17" t="n">
        <v>2</v>
      </c>
      <c r="C17" t="inlineStr">
        <is>
          <t>BLBD</t>
        </is>
      </c>
      <c r="D17" t="inlineStr">
        <is>
          <t>3920 Arkwright Road, Macon, GA</t>
        </is>
      </c>
      <c r="E17" t="inlineStr">
        <is>
          <t>31210</t>
        </is>
      </c>
      <c r="F17" t="inlineStr">
        <is>
          <t>Listed Foreign Equity Share (Company)</t>
        </is>
      </c>
      <c r="G17" t="inlineStr">
        <is>
          <t>2025-01-21</t>
        </is>
      </c>
      <c r="H17" t="n">
        <v>52228</v>
      </c>
      <c r="I17" t="n">
        <v>54845</v>
      </c>
      <c r="J17" t="n">
        <v>43442</v>
      </c>
      <c r="K17" t="n">
        <v>0</v>
      </c>
      <c r="L17" t="n">
        <v>0</v>
      </c>
    </row>
    <row r="18">
      <c r="A18" t="inlineStr">
        <is>
          <t>United States of America</t>
        </is>
      </c>
      <c r="B18" t="n">
        <v>2</v>
      </c>
      <c r="C18" t="inlineStr">
        <is>
          <t>BX</t>
        </is>
      </c>
      <c r="D18" t="inlineStr">
        <is>
          <t>345 Park Avenue, New York, NY</t>
        </is>
      </c>
      <c r="E18" t="inlineStr">
        <is>
          <t>10154</t>
        </is>
      </c>
      <c r="F18" t="inlineStr">
        <is>
          <t>Listed Foreign Equity Share (Company)</t>
        </is>
      </c>
      <c r="G18" t="inlineStr">
        <is>
          <t>2025-01-21</t>
        </is>
      </c>
      <c r="H18" t="n">
        <v>92574</v>
      </c>
      <c r="I18" t="n">
        <v>97214</v>
      </c>
      <c r="J18" t="n">
        <v>75037</v>
      </c>
      <c r="K18" t="n">
        <v>3657</v>
      </c>
      <c r="L18" t="n">
        <v>0</v>
      </c>
    </row>
    <row r="19">
      <c r="A19" t="inlineStr">
        <is>
          <t>United States of America</t>
        </is>
      </c>
      <c r="B19" t="n">
        <v>2</v>
      </c>
      <c r="C19" t="inlineStr">
        <is>
          <t>BX</t>
        </is>
      </c>
      <c r="D19" t="inlineStr">
        <is>
          <t>345 Park Avenue, New York, NY</t>
        </is>
      </c>
      <c r="E19" t="inlineStr">
        <is>
          <t>10154</t>
        </is>
      </c>
      <c r="F19" t="inlineStr">
        <is>
          <t>Listed Foreign Equity Share (Company)</t>
        </is>
      </c>
      <c r="G19" t="inlineStr">
        <is>
          <t>2025-05-23</t>
        </is>
      </c>
      <c r="H19" t="n">
        <v>68831</v>
      </c>
      <c r="I19" t="n">
        <v>75037</v>
      </c>
      <c r="J19" t="n">
        <v>75037</v>
      </c>
      <c r="K19" t="n">
        <v>0</v>
      </c>
      <c r="L19" t="n">
        <v>0</v>
      </c>
    </row>
    <row r="20">
      <c r="A20" t="inlineStr">
        <is>
          <t>United States of America</t>
        </is>
      </c>
      <c r="B20" t="n">
        <v>2</v>
      </c>
      <c r="C20" t="inlineStr">
        <is>
          <t>CAT</t>
        </is>
      </c>
      <c r="D20" t="inlineStr">
        <is>
          <t>5205 N O'Connor Boulevard, Irving, TX</t>
        </is>
      </c>
      <c r="E20" t="inlineStr">
        <is>
          <t>75039</t>
        </is>
      </c>
      <c r="F20" t="inlineStr">
        <is>
          <t>Listed Foreign Equity Share (Company)</t>
        </is>
      </c>
      <c r="G20" t="inlineStr">
        <is>
          <t>2025-01-21</t>
        </is>
      </c>
      <c r="H20" t="n">
        <v>100341</v>
      </c>
      <c r="I20" t="n">
        <v>105370</v>
      </c>
      <c r="J20" t="n">
        <v>88522</v>
      </c>
      <c r="K20" t="n">
        <v>1151</v>
      </c>
      <c r="L20" t="n">
        <v>0</v>
      </c>
    </row>
    <row r="21">
      <c r="A21" t="inlineStr">
        <is>
          <t>United States of America</t>
        </is>
      </c>
      <c r="B21" t="n">
        <v>2</v>
      </c>
      <c r="C21" t="inlineStr">
        <is>
          <t>COPX</t>
        </is>
      </c>
      <c r="D21" t="inlineStr">
        <is>
          <t>c/o Global X Management Company LLC, 605 Third Avenue, New York, NY</t>
        </is>
      </c>
      <c r="E21" t="inlineStr">
        <is>
          <t>10158</t>
        </is>
      </c>
      <c r="F21" t="inlineStr">
        <is>
          <t>Exchange Traded Fund (Investment Trust)</t>
        </is>
      </c>
      <c r="G21" t="inlineStr">
        <is>
          <t>2025-12-12</t>
        </is>
      </c>
      <c r="H21" t="n">
        <v>74754</v>
      </c>
      <c r="I21" t="n">
        <v>75191</v>
      </c>
      <c r="J21" t="n">
        <v>75191</v>
      </c>
      <c r="K21" t="n">
        <v>0</v>
      </c>
      <c r="L21" t="n">
        <v>0</v>
      </c>
    </row>
    <row r="22">
      <c r="A22" t="inlineStr">
        <is>
          <t>United States of America</t>
        </is>
      </c>
      <c r="B22" t="n">
        <v>2</v>
      </c>
      <c r="C22" t="inlineStr">
        <is>
          <t>GD</t>
        </is>
      </c>
      <c r="D22" t="inlineStr">
        <is>
          <t>11011 Sunset Hills Road, Reston, VA</t>
        </is>
      </c>
      <c r="E22" t="inlineStr">
        <is>
          <t>20190</t>
        </is>
      </c>
      <c r="F22" t="inlineStr">
        <is>
          <t>Listed Foreign Equity Share (Company)</t>
        </is>
      </c>
      <c r="G22" t="inlineStr">
        <is>
          <t>2025-01-21</t>
        </is>
      </c>
      <c r="H22" t="n">
        <v>46556</v>
      </c>
      <c r="I22" t="n">
        <v>48889</v>
      </c>
      <c r="J22" t="n">
        <v>48775</v>
      </c>
      <c r="K22" t="n">
        <v>779</v>
      </c>
      <c r="L22" t="n">
        <v>0</v>
      </c>
    </row>
    <row r="23">
      <c r="A23" t="inlineStr">
        <is>
          <t>United States of America</t>
        </is>
      </c>
      <c r="B23" t="n">
        <v>2</v>
      </c>
      <c r="C23" t="inlineStr">
        <is>
          <t>GE</t>
        </is>
      </c>
      <c r="D23" t="inlineStr">
        <is>
          <t>1 Neumann Way, Cincinnati, OH</t>
        </is>
      </c>
      <c r="E23" t="inlineStr">
        <is>
          <t>45215</t>
        </is>
      </c>
      <c r="F23" t="inlineStr">
        <is>
          <t>Listed Foreign Equity Share (Company)</t>
        </is>
      </c>
      <c r="G23" t="inlineStr">
        <is>
          <t>2025-01-21</t>
        </is>
      </c>
      <c r="H23" t="n">
        <v>95035</v>
      </c>
      <c r="I23" t="n">
        <v>107445</v>
      </c>
      <c r="J23" t="n">
        <v>107445</v>
      </c>
      <c r="K23" t="n">
        <v>558</v>
      </c>
      <c r="L23" t="n">
        <v>0</v>
      </c>
    </row>
    <row r="24">
      <c r="A24" t="inlineStr">
        <is>
          <t>United States of America</t>
        </is>
      </c>
      <c r="B24" t="n">
        <v>2</v>
      </c>
      <c r="C24" t="inlineStr">
        <is>
          <t>LLY</t>
        </is>
      </c>
      <c r="D24" t="inlineStr">
        <is>
          <t>Lilly Corporate Center, Indianapolis, IN</t>
        </is>
      </c>
      <c r="E24" t="inlineStr">
        <is>
          <t>46285</t>
        </is>
      </c>
      <c r="F24" t="inlineStr">
        <is>
          <t>Listed Foreign Equity Share (Company)</t>
        </is>
      </c>
      <c r="G24" t="inlineStr">
        <is>
          <t>2025-01-21</t>
        </is>
      </c>
      <c r="H24" t="n">
        <v>107196</v>
      </c>
      <c r="I24" t="n">
        <v>127098</v>
      </c>
      <c r="J24" t="n">
        <v>127098</v>
      </c>
      <c r="K24" t="n">
        <v>900</v>
      </c>
      <c r="L24" t="n">
        <v>0</v>
      </c>
    </row>
    <row r="25">
      <c r="A25" t="inlineStr">
        <is>
          <t>United States of America</t>
        </is>
      </c>
      <c r="B25" t="n">
        <v>2</v>
      </c>
      <c r="C25" t="inlineStr">
        <is>
          <t>MCHI</t>
        </is>
      </c>
      <c r="D25" t="inlineStr">
        <is>
          <t>c/o BlackRock Fund Advisors, 400 Howard Street, San Francisco, CA</t>
        </is>
      </c>
      <c r="E25" t="inlineStr">
        <is>
          <t>94105</t>
        </is>
      </c>
      <c r="F25" t="inlineStr">
        <is>
          <t>Exchange Traded Fund (Investment Trust)</t>
        </is>
      </c>
      <c r="G25" t="inlineStr">
        <is>
          <t>2025-01-21</t>
        </is>
      </c>
      <c r="H25" t="n">
        <v>47401</v>
      </c>
      <c r="I25" t="n">
        <v>58406</v>
      </c>
      <c r="J25" t="n">
        <v>58406</v>
      </c>
      <c r="K25" t="n">
        <v>1332</v>
      </c>
      <c r="L25" t="n">
        <v>0</v>
      </c>
    </row>
    <row r="26">
      <c r="A26" t="inlineStr">
        <is>
          <t>United States of America</t>
        </is>
      </c>
      <c r="B26" t="n">
        <v>2</v>
      </c>
      <c r="C26" t="inlineStr">
        <is>
          <t>META</t>
        </is>
      </c>
      <c r="D26" t="inlineStr">
        <is>
          <t>1 Meta Way, Menlo Park, CA</t>
        </is>
      </c>
      <c r="E26" t="inlineStr">
        <is>
          <t>94025</t>
        </is>
      </c>
      <c r="F26" t="inlineStr">
        <is>
          <t>Listed Foreign Equity Share (Company)</t>
        </is>
      </c>
      <c r="G26" t="inlineStr">
        <is>
          <t>2025-12-12</t>
        </is>
      </c>
      <c r="H26" t="n">
        <v>115724</v>
      </c>
      <c r="I26" t="n">
        <v>116400</v>
      </c>
      <c r="J26" t="n">
        <v>116400</v>
      </c>
      <c r="K26" t="n">
        <v>93</v>
      </c>
      <c r="L26" t="n">
        <v>0</v>
      </c>
    </row>
    <row r="27">
      <c r="A27" t="inlineStr">
        <is>
          <t>United States of America</t>
        </is>
      </c>
      <c r="B27" t="n">
        <v>2</v>
      </c>
      <c r="C27" t="inlineStr">
        <is>
          <t>MSFT</t>
        </is>
      </c>
      <c r="D27" t="inlineStr">
        <is>
          <t>One Microsoft Way, Redmond, WA</t>
        </is>
      </c>
      <c r="E27" t="inlineStr">
        <is>
          <t>98052</t>
        </is>
      </c>
      <c r="F27" t="inlineStr">
        <is>
          <t>Listed Foreign Equity Share (Company)</t>
        </is>
      </c>
      <c r="G27" t="inlineStr">
        <is>
          <t>2025-01-21</t>
        </is>
      </c>
      <c r="H27" t="n">
        <v>109285</v>
      </c>
      <c r="I27" t="n">
        <v>114762</v>
      </c>
      <c r="J27" t="n">
        <v>100758</v>
      </c>
      <c r="K27" t="n">
        <v>890</v>
      </c>
      <c r="L27" t="n">
        <v>0</v>
      </c>
    </row>
    <row r="28">
      <c r="A28" t="inlineStr">
        <is>
          <t>United States of America</t>
        </is>
      </c>
      <c r="B28" t="n">
        <v>2</v>
      </c>
      <c r="C28" t="inlineStr">
        <is>
          <t>NFLX</t>
        </is>
      </c>
      <c r="D28" t="inlineStr">
        <is>
          <t>121 Albright Way, Los Gatos, CA</t>
        </is>
      </c>
      <c r="E28" t="inlineStr">
        <is>
          <t>95032</t>
        </is>
      </c>
      <c r="F28" t="inlineStr">
        <is>
          <t>Listed Foreign Equity Share (Company)</t>
        </is>
      </c>
      <c r="G28" t="inlineStr">
        <is>
          <t>2025-01-21</t>
        </is>
      </c>
      <c r="H28" t="n">
        <v>81875</v>
      </c>
      <c r="I28" t="n">
        <v>926111</v>
      </c>
      <c r="J28" t="n">
        <v>926111</v>
      </c>
      <c r="K28" t="n">
        <v>0</v>
      </c>
      <c r="L28" t="n">
        <v>0</v>
      </c>
    </row>
    <row r="29">
      <c r="A29" t="inlineStr">
        <is>
          <t>United States of America</t>
        </is>
      </c>
      <c r="B29" t="n">
        <v>2</v>
      </c>
      <c r="C29" t="inlineStr">
        <is>
          <t>NFLX</t>
        </is>
      </c>
      <c r="D29" t="inlineStr">
        <is>
          <t>121 Albright Way, Los Gatos, CA</t>
        </is>
      </c>
      <c r="E29" t="inlineStr">
        <is>
          <t>95032</t>
        </is>
      </c>
      <c r="F29" t="inlineStr">
        <is>
          <t>Listed Foreign Equity Share (Company)</t>
        </is>
      </c>
      <c r="G29" t="inlineStr">
        <is>
          <t>2025-12-12</t>
        </is>
      </c>
      <c r="H29" t="n">
        <v>75683</v>
      </c>
      <c r="I29" t="n">
        <v>742558</v>
      </c>
      <c r="J29" t="n">
        <v>742558</v>
      </c>
      <c r="K29" t="n">
        <v>0</v>
      </c>
      <c r="L29" t="n">
        <v>0</v>
      </c>
    </row>
    <row r="30">
      <c r="A30" t="inlineStr">
        <is>
          <t>United Kingdom</t>
        </is>
      </c>
      <c r="B30" t="n">
        <v>234</v>
      </c>
      <c r="C30" t="inlineStr">
        <is>
          <t>R6C0d</t>
        </is>
      </c>
      <c r="D30" t="inlineStr">
        <is>
          <t>Shell Centre, 2 York Road, London</t>
        </is>
      </c>
      <c r="E30" t="inlineStr">
        <is>
          <t>SE1 7NA</t>
        </is>
      </c>
      <c r="F30" t="inlineStr">
        <is>
          <t>Listed Foreign Equity Share (Company)</t>
        </is>
      </c>
      <c r="G30" t="inlineStr">
        <is>
          <t>2025-01-21</t>
        </is>
      </c>
      <c r="H30" t="n">
        <v>53942</v>
      </c>
      <c r="I30" t="n">
        <v>67739</v>
      </c>
      <c r="J30" t="n">
        <v>67739</v>
      </c>
      <c r="K30" t="n">
        <v>0</v>
      </c>
      <c r="L30" t="n">
        <v>0</v>
      </c>
    </row>
    <row r="31">
      <c r="A31" t="inlineStr">
        <is>
          <t>United Kingdom</t>
        </is>
      </c>
      <c r="B31" t="n">
        <v>234</v>
      </c>
      <c r="C31" t="inlineStr">
        <is>
          <t>R6C0d</t>
        </is>
      </c>
      <c r="D31" t="inlineStr">
        <is>
          <t>Shell Centre, 2 York Road, London</t>
        </is>
      </c>
      <c r="E31" t="inlineStr">
        <is>
          <t>SE1 7NA</t>
        </is>
      </c>
      <c r="F31" t="inlineStr">
        <is>
          <t>Listed Foreign Equity Share (Company)</t>
        </is>
      </c>
      <c r="G31" t="inlineStr">
        <is>
          <t>2025-05-23</t>
        </is>
      </c>
      <c r="H31" t="n">
        <v>52559</v>
      </c>
      <c r="I31" t="n">
        <v>67739</v>
      </c>
      <c r="J31" t="n">
        <v>67739</v>
      </c>
      <c r="K31" t="n">
        <v>0</v>
      </c>
      <c r="L31" t="n">
        <v>0</v>
      </c>
    </row>
    <row r="32">
      <c r="A32" t="inlineStr">
        <is>
          <t>United States of America</t>
        </is>
      </c>
      <c r="B32" t="n">
        <v>2</v>
      </c>
      <c r="C32" t="inlineStr">
        <is>
          <t>RTX</t>
        </is>
      </c>
      <c r="D32" t="inlineStr">
        <is>
          <t>1000 Wilson Boulevard, Arlington, VA</t>
        </is>
      </c>
      <c r="E32" t="inlineStr">
        <is>
          <t>22209</t>
        </is>
      </c>
      <c r="F32" t="inlineStr">
        <is>
          <t>Listed Foreign Equity Share (Company)</t>
        </is>
      </c>
      <c r="G32" t="inlineStr">
        <is>
          <t>2025-01-21</t>
        </is>
      </c>
      <c r="H32" t="n">
        <v>52937</v>
      </c>
      <c r="I32" t="n">
        <v>59256</v>
      </c>
      <c r="J32" t="n">
        <v>59256</v>
      </c>
      <c r="K32" t="n">
        <v>1164</v>
      </c>
      <c r="L32" t="n">
        <v>0</v>
      </c>
    </row>
    <row r="33">
      <c r="A33" t="inlineStr">
        <is>
          <t>Germany</t>
        </is>
      </c>
      <c r="B33" t="n">
        <v>78</v>
      </c>
      <c r="C33" t="inlineStr">
        <is>
          <t>SIEd</t>
        </is>
      </c>
      <c r="D33" t="inlineStr">
        <is>
          <t>Werner-von-Siemens-Strasse 1, Munich</t>
        </is>
      </c>
      <c r="E33" t="inlineStr">
        <is>
          <t>80333</t>
        </is>
      </c>
      <c r="F33" t="inlineStr">
        <is>
          <t>Listed Foreign Equity Share (Company)</t>
        </is>
      </c>
      <c r="G33" t="inlineStr">
        <is>
          <t>2025-01-21</t>
        </is>
      </c>
      <c r="H33" t="n">
        <v>53998</v>
      </c>
      <c r="I33" t="n">
        <v>66807</v>
      </c>
      <c r="J33" t="n">
        <v>66807</v>
      </c>
      <c r="K33" t="n">
        <v>1580</v>
      </c>
      <c r="L33" t="n">
        <v>0</v>
      </c>
    </row>
    <row r="34">
      <c r="A34" t="inlineStr">
        <is>
          <t>United States of America</t>
        </is>
      </c>
      <c r="B34" t="n">
        <v>2</v>
      </c>
      <c r="C34" t="inlineStr">
        <is>
          <t>SLV</t>
        </is>
      </c>
      <c r="D34" t="inlineStr">
        <is>
          <t>c/o iShares Delaware Trust Sponsor LLC / BlackRock, San Francisco, CA</t>
        </is>
      </c>
      <c r="E34" t="inlineStr">
        <is>
          <t>94105</t>
        </is>
      </c>
      <c r="F34" t="inlineStr">
        <is>
          <t>Exchange Traded Fund (Investment Trust)</t>
        </is>
      </c>
      <c r="G34" t="inlineStr">
        <is>
          <t>2025-01-21</t>
        </is>
      </c>
      <c r="H34" t="n">
        <v>107111</v>
      </c>
      <c r="I34" t="n">
        <v>124770</v>
      </c>
      <c r="J34" t="n">
        <v>124770</v>
      </c>
      <c r="K34" t="n">
        <v>0</v>
      </c>
      <c r="L34" t="n">
        <v>0</v>
      </c>
    </row>
    <row r="35">
      <c r="A35" t="inlineStr">
        <is>
          <t>United States of America</t>
        </is>
      </c>
      <c r="B35" t="n">
        <v>2</v>
      </c>
      <c r="C35" t="inlineStr">
        <is>
          <t>TGT</t>
        </is>
      </c>
      <c r="D35" t="inlineStr">
        <is>
          <t>1000 Nicollet Mall, Minneapolis, MN</t>
        </is>
      </c>
      <c r="E35" t="inlineStr">
        <is>
          <t>55403</t>
        </is>
      </c>
      <c r="F35" t="inlineStr">
        <is>
          <t>Listed Foreign Equity Share (Company)</t>
        </is>
      </c>
      <c r="G35" t="inlineStr">
        <is>
          <t>2025-01-21</t>
        </is>
      </c>
      <c r="H35" t="n">
        <v>104163</v>
      </c>
      <c r="I35" t="n">
        <v>109383</v>
      </c>
      <c r="J35" t="n">
        <v>84034</v>
      </c>
      <c r="K35" t="n">
        <v>4662</v>
      </c>
      <c r="L35" t="n">
        <v>0</v>
      </c>
    </row>
    <row r="36">
      <c r="A36" t="inlineStr">
        <is>
          <t>United States of America</t>
        </is>
      </c>
      <c r="B36" t="n">
        <v>2</v>
      </c>
      <c r="C36" t="inlineStr">
        <is>
          <t>TGT</t>
        </is>
      </c>
      <c r="D36" t="inlineStr">
        <is>
          <t>1000 Nicollet Mall, Minneapolis, MN</t>
        </is>
      </c>
      <c r="E36" t="inlineStr">
        <is>
          <t>55403</t>
        </is>
      </c>
      <c r="F36" t="inlineStr">
        <is>
          <t>Listed Foreign Equity Share (Company)</t>
        </is>
      </c>
      <c r="G36" t="inlineStr">
        <is>
          <t>2025-09-02</t>
        </is>
      </c>
      <c r="H36" t="n">
        <v>89930</v>
      </c>
      <c r="I36" t="n">
        <v>102708</v>
      </c>
      <c r="J36" t="n">
        <v>102708</v>
      </c>
      <c r="K36" t="n">
        <v>0</v>
      </c>
      <c r="L36" t="n">
        <v>0</v>
      </c>
    </row>
    <row r="37">
      <c r="A37" t="inlineStr">
        <is>
          <t>United States of America</t>
        </is>
      </c>
      <c r="B37" t="n">
        <v>2</v>
      </c>
      <c r="C37" t="inlineStr">
        <is>
          <t>TIP</t>
        </is>
      </c>
      <c r="D37" t="inlineStr">
        <is>
          <t>c/o BlackRock Fund Advisors, 400 Howard Street, San Francisco, CA</t>
        </is>
      </c>
      <c r="E37" t="inlineStr">
        <is>
          <t>94105</t>
        </is>
      </c>
      <c r="F37" t="inlineStr">
        <is>
          <t>Exchange Traded Fund (Investment Trust)</t>
        </is>
      </c>
      <c r="G37" t="inlineStr">
        <is>
          <t>2025-01-21</t>
        </is>
      </c>
      <c r="H37" t="n">
        <v>109778</v>
      </c>
      <c r="I37" t="n">
        <v>119271</v>
      </c>
      <c r="J37" t="n">
        <v>119271</v>
      </c>
      <c r="K37" t="n">
        <v>3949</v>
      </c>
      <c r="L37" t="n">
        <v>0</v>
      </c>
    </row>
    <row r="38">
      <c r="A38" t="inlineStr">
        <is>
          <t>Taiwan</t>
        </is>
      </c>
      <c r="B38" t="n">
        <v>212</v>
      </c>
      <c r="C38" t="inlineStr">
        <is>
          <t>TSM</t>
        </is>
      </c>
      <c r="D38" t="inlineStr">
        <is>
          <t>8 Li-Hsin Road 6, Hsinchu Science Park, Hsinchu</t>
        </is>
      </c>
      <c r="E38" t="inlineStr">
        <is>
          <t>30078</t>
        </is>
      </c>
      <c r="F38" t="inlineStr">
        <is>
          <t>American Depository Receipt of Listed Foreign Company</t>
        </is>
      </c>
      <c r="G38" t="inlineStr">
        <is>
          <t>2025-01-21</t>
        </is>
      </c>
      <c r="H38" t="n">
        <v>54651</v>
      </c>
      <c r="I38" t="n">
        <v>57390</v>
      </c>
      <c r="J38" t="n">
        <v>44556</v>
      </c>
      <c r="K38" t="n">
        <v>591</v>
      </c>
      <c r="L38" t="n">
        <v>0</v>
      </c>
    </row>
    <row r="39">
      <c r="A39" t="inlineStr">
        <is>
          <t>United States of America</t>
        </is>
      </c>
      <c r="B39" t="n">
        <v>2</v>
      </c>
      <c r="C39" t="inlineStr">
        <is>
          <t>URA</t>
        </is>
      </c>
      <c r="D39" t="inlineStr">
        <is>
          <t>c/o Global X Management Company LLC, 605 Third Avenue, New York, NY</t>
        </is>
      </c>
      <c r="E39" t="inlineStr">
        <is>
          <t>10158</t>
        </is>
      </c>
      <c r="F39" t="inlineStr">
        <is>
          <t>Exchange Traded Fund (Investment Trust)</t>
        </is>
      </c>
      <c r="G39" t="inlineStr">
        <is>
          <t>2025-12-12</t>
        </is>
      </c>
      <c r="H39" t="n">
        <v>131166</v>
      </c>
      <c r="I39" t="n">
        <v>131932</v>
      </c>
      <c r="J39" t="n">
        <v>131932</v>
      </c>
      <c r="K39" t="n">
        <v>0</v>
      </c>
      <c r="L39" t="n">
        <v>0</v>
      </c>
    </row>
    <row r="40">
      <c r="A40" t="inlineStr">
        <is>
          <t>United States of America</t>
        </is>
      </c>
      <c r="B40" t="n">
        <v>2</v>
      </c>
      <c r="C40" t="inlineStr">
        <is>
          <t>V</t>
        </is>
      </c>
      <c r="D40" t="inlineStr">
        <is>
          <t>P.O. Box 8999, San Francisco, CA</t>
        </is>
      </c>
      <c r="E40" t="inlineStr">
        <is>
          <t>94128</t>
        </is>
      </c>
      <c r="F40" t="inlineStr">
        <is>
          <t>Listed Foreign Equity Share (Company)</t>
        </is>
      </c>
      <c r="G40" t="inlineStr">
        <is>
          <t>2025-12-12</t>
        </is>
      </c>
      <c r="H40" t="n">
        <v>92953</v>
      </c>
      <c r="I40" t="n">
        <v>93496</v>
      </c>
      <c r="J40" t="n">
        <v>93496</v>
      </c>
      <c r="K40" t="n">
        <v>0</v>
      </c>
      <c r="L40" t="n">
        <v>0</v>
      </c>
    </row>
    <row r="41">
      <c r="A41" t="inlineStr">
        <is>
          <t>Denmark</t>
        </is>
      </c>
      <c r="B41" t="n">
        <v>61</v>
      </c>
      <c r="C41" t="inlineStr">
        <is>
          <t>ZEALc</t>
        </is>
      </c>
      <c r="D41" t="inlineStr">
        <is>
          <t>Sydmarken 11, 2860 Soeborg</t>
        </is>
      </c>
      <c r="E41" t="inlineStr">
        <is>
          <t>2860</t>
        </is>
      </c>
      <c r="F41" t="inlineStr">
        <is>
          <t>Listed Foreign Equity Share (Company)</t>
        </is>
      </c>
      <c r="G41" t="inlineStr">
        <is>
          <t>2025-12-12</t>
        </is>
      </c>
      <c r="H41" t="n">
        <v>42608</v>
      </c>
      <c r="I41" t="n">
        <v>42857</v>
      </c>
      <c r="J41" t="n">
        <v>42857</v>
      </c>
      <c r="K41" t="n">
        <v>0</v>
      </c>
      <c r="L41" t="n">
        <v>0</v>
      </c>
    </row>
    <row r="43">
      <c r="G43" t="inlineStr">
        <is>
          <t>TOTAL (Rs.)</t>
        </is>
      </c>
      <c r="H43" s="4" t="n">
        <v>3052820</v>
      </c>
      <c r="I43" s="4" t="n">
        <v>4803869</v>
      </c>
      <c r="J43" s="4" t="n">
        <v>4662157</v>
      </c>
      <c r="K43" s="4" t="n">
        <v>42266</v>
      </c>
      <c r="L43" s="4" t="n">
        <v>0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10" customWidth="1" min="4" max="4"/>
    <col width="48" customWidth="1" min="5" max="5"/>
    <col width="48" customWidth="1" min="6" max="6"/>
    <col width="20" customWidth="1" min="7" max="7"/>
    <col width="21" customWidth="1" min="8" max="8"/>
    <col width="21" customWidth="1" min="9" max="9"/>
    <col width="18" customWidth="1" min="10" max="10"/>
    <col width="21" customWidth="1" min="11" max="11"/>
    <col width="24" customWidth="1" min="12" max="12"/>
    <col width="21" customWidth="1" min="13" max="13"/>
  </cols>
  <sheetData>
    <row r="1">
      <c r="A1" s="1" t="inlineStr">
        <is>
          <t>S.No</t>
        </is>
      </c>
      <c r="B1" s="1" t="inlineStr">
        <is>
          <t>Country</t>
        </is>
      </c>
      <c r="C1" s="1" t="inlineStr">
        <is>
          <t>Country Code</t>
        </is>
      </c>
      <c r="D1" s="1" t="inlineStr">
        <is>
          <t>Symbol</t>
        </is>
      </c>
      <c r="E1" s="1" t="inlineStr">
        <is>
          <t>Description</t>
        </is>
      </c>
      <c r="F1" s="1" t="inlineStr">
        <is>
          <t>Nature</t>
        </is>
      </c>
      <c r="G1" s="1" t="inlineStr">
        <is>
          <t>Qty Close</t>
        </is>
      </c>
      <c r="H1" s="1" t="inlineStr">
        <is>
          <t>Date of Acquisition</t>
        </is>
      </c>
      <c r="I1" s="1" t="inlineStr">
        <is>
          <t>Initial Value (USD)</t>
        </is>
      </c>
      <c r="J1" s="1" t="inlineStr">
        <is>
          <t>Peak Value (USD)</t>
        </is>
      </c>
      <c r="K1" s="1" t="inlineStr">
        <is>
          <t>Closing Value (USD)</t>
        </is>
      </c>
      <c r="L1" s="1" t="inlineStr">
        <is>
          <t>Dividends CY2025 (USD)</t>
        </is>
      </c>
      <c r="M1" s="1" t="inlineStr">
        <is>
          <t>Sale Proceeds (USD)</t>
        </is>
      </c>
    </row>
    <row r="2">
      <c r="A2" t="n">
        <v>1</v>
      </c>
      <c r="B2" t="inlineStr">
        <is>
          <t>Hong Kong</t>
        </is>
      </c>
      <c r="C2" t="n">
        <v>94</v>
      </c>
      <c r="D2" t="inlineStr">
        <is>
          <t>3088</t>
        </is>
      </c>
      <c r="E2" t="inlineStr">
        <is>
          <t>ChinaAMC Hang Seng TECH Index ETF</t>
        </is>
      </c>
      <c r="F2" t="inlineStr">
        <is>
          <t>Exchange Traded Fund (Investment Trust)</t>
        </is>
      </c>
      <c r="G2" t="n">
        <v>600</v>
      </c>
      <c r="H2" t="inlineStr">
        <is>
          <t>2025-04-13</t>
        </is>
      </c>
      <c r="I2" t="n">
        <v>497.27</v>
      </c>
      <c r="J2" t="n">
        <v>497.27</v>
      </c>
      <c r="K2" t="n">
        <v>497.27</v>
      </c>
      <c r="L2" t="n">
        <v>1.54</v>
      </c>
      <c r="M2" t="n">
        <v>0</v>
      </c>
    </row>
    <row r="3">
      <c r="A3" t="n">
        <v>2</v>
      </c>
      <c r="B3" t="inlineStr">
        <is>
          <t>Hong Kong</t>
        </is>
      </c>
      <c r="C3" t="n">
        <v>94</v>
      </c>
      <c r="D3" t="inlineStr">
        <is>
          <t>3110</t>
        </is>
      </c>
      <c r="E3" t="inlineStr">
        <is>
          <t>Global X Hang Seng High Dividend Yield ETF</t>
        </is>
      </c>
      <c r="F3" t="inlineStr">
        <is>
          <t>Exchange Traded Fund (Investment Trust)</t>
        </is>
      </c>
      <c r="G3" t="n">
        <v>300</v>
      </c>
      <c r="H3" t="inlineStr">
        <is>
          <t>2025-07-15</t>
        </is>
      </c>
      <c r="I3" t="n">
        <v>1121.75</v>
      </c>
      <c r="J3" t="n">
        <v>1121.75</v>
      </c>
      <c r="K3" t="n">
        <v>1121.75</v>
      </c>
      <c r="L3" t="n">
        <v>61.68</v>
      </c>
      <c r="M3" t="n">
        <v>0</v>
      </c>
    </row>
    <row r="4">
      <c r="A4" t="n">
        <v>3</v>
      </c>
      <c r="B4" t="inlineStr">
        <is>
          <t>Hong Kong</t>
        </is>
      </c>
      <c r="C4" t="n">
        <v>94</v>
      </c>
      <c r="D4" t="inlineStr">
        <is>
          <t>3188</t>
        </is>
      </c>
      <c r="E4" t="inlineStr">
        <is>
          <t>ChinaAMC CSI 300 Index ETF</t>
        </is>
      </c>
      <c r="F4" t="inlineStr">
        <is>
          <t>Exchange Traded Fund (Investment Trust)</t>
        </is>
      </c>
      <c r="G4" t="n">
        <v>200</v>
      </c>
      <c r="H4" t="inlineStr">
        <is>
          <t>2025-04-13</t>
        </is>
      </c>
      <c r="I4" t="n">
        <v>1063.16</v>
      </c>
      <c r="J4" t="n">
        <v>1063.16</v>
      </c>
      <c r="K4" t="n">
        <v>1063.16</v>
      </c>
      <c r="L4" t="n">
        <v>15.7</v>
      </c>
      <c r="M4" t="n">
        <v>0</v>
      </c>
    </row>
    <row r="5">
      <c r="A5" t="n">
        <v>4</v>
      </c>
      <c r="B5" t="inlineStr">
        <is>
          <t>Hong Kong</t>
        </is>
      </c>
      <c r="C5" t="n">
        <v>94</v>
      </c>
      <c r="D5" t="inlineStr">
        <is>
          <t>3416</t>
        </is>
      </c>
      <c r="E5" t="inlineStr">
        <is>
          <t>Global X HSCEI Covered Call ETF</t>
        </is>
      </c>
      <c r="F5" t="inlineStr">
        <is>
          <t>Exchange Traded Fund (Investment Trust)</t>
        </is>
      </c>
      <c r="G5" t="n">
        <v>1000</v>
      </c>
      <c r="H5" t="inlineStr">
        <is>
          <t>2025-07-15</t>
        </is>
      </c>
      <c r="I5" t="n">
        <v>1368.2</v>
      </c>
      <c r="J5" t="n">
        <v>1368.2</v>
      </c>
      <c r="K5" t="n">
        <v>1368.2</v>
      </c>
      <c r="L5" t="n">
        <v>91.23</v>
      </c>
      <c r="M5" t="n">
        <v>0</v>
      </c>
    </row>
    <row r="6">
      <c r="A6" t="n">
        <v>5</v>
      </c>
      <c r="B6" t="inlineStr">
        <is>
          <t>Japan</t>
        </is>
      </c>
      <c r="C6" t="n">
        <v>111</v>
      </c>
      <c r="D6" t="inlineStr">
        <is>
          <t>4568.T</t>
        </is>
      </c>
      <c r="E6" t="inlineStr">
        <is>
          <t>Daiichi Sankyo Co Ltd</t>
        </is>
      </c>
      <c r="F6" t="inlineStr">
        <is>
          <t>Listed Foreign Equity Share (Company)</t>
        </is>
      </c>
      <c r="G6" t="n">
        <v>100</v>
      </c>
      <c r="H6" t="inlineStr">
        <is>
          <t>2025-03-30</t>
        </is>
      </c>
      <c r="I6" t="n">
        <v>2258.09</v>
      </c>
      <c r="J6" t="n">
        <v>2258.09</v>
      </c>
      <c r="K6" t="n">
        <v>2240.97</v>
      </c>
      <c r="L6" t="n">
        <v>24.89</v>
      </c>
      <c r="M6" t="n">
        <v>0</v>
      </c>
    </row>
    <row r="7">
      <c r="A7" t="n">
        <v>6</v>
      </c>
      <c r="B7" t="inlineStr">
        <is>
          <t>United States of America</t>
        </is>
      </c>
      <c r="C7" t="n">
        <v>2</v>
      </c>
      <c r="D7" t="inlineStr">
        <is>
          <t>AEP</t>
        </is>
      </c>
      <c r="E7" t="inlineStr">
        <is>
          <t>American Electric Power Co Inc</t>
        </is>
      </c>
      <c r="F7" t="inlineStr">
        <is>
          <t>Listed Foreign Equity Share (Company)</t>
        </is>
      </c>
      <c r="G7" t="n">
        <v>6</v>
      </c>
      <c r="H7" t="inlineStr">
        <is>
          <t>2025-12-12</t>
        </is>
      </c>
      <c r="I7" t="n">
        <v>691.42</v>
      </c>
      <c r="J7" t="n">
        <v>691.42</v>
      </c>
      <c r="K7" t="n">
        <v>691.42</v>
      </c>
      <c r="L7" t="n">
        <v>0</v>
      </c>
      <c r="M7" t="n">
        <v>0</v>
      </c>
    </row>
    <row r="8">
      <c r="A8" t="n">
        <v>7</v>
      </c>
      <c r="B8" t="inlineStr">
        <is>
          <t>Netherlands</t>
        </is>
      </c>
      <c r="C8" t="n">
        <v>156</v>
      </c>
      <c r="D8" t="inlineStr">
        <is>
          <t>AIRd</t>
        </is>
      </c>
      <c r="E8" t="inlineStr">
        <is>
          <t>Airbus SE</t>
        </is>
      </c>
      <c r="F8" t="inlineStr">
        <is>
          <t>Listed Foreign Equity Share (Company)</t>
        </is>
      </c>
      <c r="G8" t="n">
        <v>6</v>
      </c>
      <c r="H8" t="inlineStr">
        <is>
          <t>2025-01-21</t>
        </is>
      </c>
      <c r="I8" t="n">
        <v>1149.46</v>
      </c>
      <c r="J8" t="n">
        <v>1149.46</v>
      </c>
      <c r="K8" t="n">
        <v>1147.21</v>
      </c>
      <c r="L8" t="n">
        <v>21.14</v>
      </c>
      <c r="M8" t="n">
        <v>0</v>
      </c>
    </row>
    <row r="9">
      <c r="A9" t="n">
        <v>8</v>
      </c>
      <c r="B9" t="inlineStr">
        <is>
          <t>Netherlands</t>
        </is>
      </c>
      <c r="C9" t="n">
        <v>156</v>
      </c>
      <c r="D9" t="inlineStr">
        <is>
          <t>AIRd</t>
        </is>
      </c>
      <c r="E9" t="inlineStr">
        <is>
          <t>Airbus SE</t>
        </is>
      </c>
      <c r="F9" t="inlineStr">
        <is>
          <t>Listed Foreign Equity Share (Company)</t>
        </is>
      </c>
      <c r="G9" t="n">
        <v>6</v>
      </c>
      <c r="H9" t="inlineStr">
        <is>
          <t>2025-05-23</t>
        </is>
      </c>
      <c r="I9" t="n">
        <v>1108.02</v>
      </c>
      <c r="J9" t="n">
        <v>1147.21</v>
      </c>
      <c r="K9" t="n">
        <v>1147.21</v>
      </c>
      <c r="L9" t="n">
        <v>0</v>
      </c>
      <c r="M9" t="n">
        <v>0</v>
      </c>
    </row>
    <row r="10">
      <c r="A10" t="n">
        <v>9</v>
      </c>
      <c r="B10" t="inlineStr">
        <is>
          <t>United States of America</t>
        </is>
      </c>
      <c r="C10" t="n">
        <v>2</v>
      </c>
      <c r="D10" t="inlineStr">
        <is>
          <t>AMZN</t>
        </is>
      </c>
      <c r="E10" t="inlineStr">
        <is>
          <t>Amazon.com Inc</t>
        </is>
      </c>
      <c r="F10" t="inlineStr">
        <is>
          <t>Listed Foreign Equity Share (Company)</t>
        </is>
      </c>
      <c r="G10" t="n">
        <v>5.5</v>
      </c>
      <c r="H10" t="inlineStr">
        <is>
          <t>2025-01-21</t>
        </is>
      </c>
      <c r="I10" t="n">
        <v>1256.95</v>
      </c>
      <c r="J10" t="n">
        <v>1256.95</v>
      </c>
      <c r="K10" t="n">
        <v>1046.43</v>
      </c>
      <c r="L10" t="n">
        <v>0</v>
      </c>
      <c r="M10" t="n">
        <v>0</v>
      </c>
    </row>
    <row r="11">
      <c r="A11" t="n">
        <v>10</v>
      </c>
      <c r="B11" t="inlineStr">
        <is>
          <t>United States of America</t>
        </is>
      </c>
      <c r="C11" t="n">
        <v>2</v>
      </c>
      <c r="D11" t="inlineStr">
        <is>
          <t>AXP</t>
        </is>
      </c>
      <c r="E11" t="inlineStr">
        <is>
          <t>American Express Co</t>
        </is>
      </c>
      <c r="F11" t="inlineStr">
        <is>
          <t>Listed Foreign Equity Share (Company)</t>
        </is>
      </c>
      <c r="G11" t="n">
        <v>2</v>
      </c>
      <c r="H11" t="inlineStr">
        <is>
          <t>2025-01-21</t>
        </is>
      </c>
      <c r="I11" t="n">
        <v>635.8</v>
      </c>
      <c r="J11" t="n">
        <v>635.8</v>
      </c>
      <c r="K11" t="n">
        <v>538.1</v>
      </c>
      <c r="L11" t="n">
        <v>8.199999999999999</v>
      </c>
      <c r="M11" t="n">
        <v>0</v>
      </c>
    </row>
    <row r="12">
      <c r="A12" t="n">
        <v>11</v>
      </c>
      <c r="B12" t="inlineStr">
        <is>
          <t>United States of America</t>
        </is>
      </c>
      <c r="C12" t="n">
        <v>2</v>
      </c>
      <c r="D12" t="inlineStr">
        <is>
          <t>AXP</t>
        </is>
      </c>
      <c r="E12" t="inlineStr">
        <is>
          <t>American Express Co</t>
        </is>
      </c>
      <c r="F12" t="inlineStr">
        <is>
          <t>Listed Foreign Equity Share (Company)</t>
        </is>
      </c>
      <c r="G12" t="n">
        <v>2</v>
      </c>
      <c r="H12" t="inlineStr">
        <is>
          <t>2025-05-23</t>
        </is>
      </c>
      <c r="I12" t="n">
        <v>570.24</v>
      </c>
      <c r="J12" t="n">
        <v>570.24</v>
      </c>
      <c r="K12" t="n">
        <v>538.1</v>
      </c>
      <c r="L12" t="n">
        <v>0</v>
      </c>
      <c r="M12" t="n">
        <v>0</v>
      </c>
    </row>
    <row r="13">
      <c r="A13" t="n">
        <v>12</v>
      </c>
      <c r="B13" t="inlineStr">
        <is>
          <t>United States of America</t>
        </is>
      </c>
      <c r="C13" t="n">
        <v>2</v>
      </c>
      <c r="D13" t="inlineStr">
        <is>
          <t>BAC</t>
        </is>
      </c>
      <c r="E13" t="inlineStr">
        <is>
          <t>Bank of America Corp</t>
        </is>
      </c>
      <c r="F13" t="inlineStr">
        <is>
          <t>Listed Foreign Equity Share (Company)</t>
        </is>
      </c>
      <c r="G13" t="n">
        <v>14</v>
      </c>
      <c r="H13" t="inlineStr">
        <is>
          <t>2025-01-21</t>
        </is>
      </c>
      <c r="I13" t="n">
        <v>660.1900000000001</v>
      </c>
      <c r="J13" t="n">
        <v>660.1900000000001</v>
      </c>
      <c r="K13" t="n">
        <v>584.22</v>
      </c>
      <c r="L13" t="n">
        <v>15.12</v>
      </c>
      <c r="M13" t="n">
        <v>0</v>
      </c>
    </row>
    <row r="14">
      <c r="A14" t="n">
        <v>13</v>
      </c>
      <c r="B14" t="inlineStr">
        <is>
          <t>United States of America</t>
        </is>
      </c>
      <c r="C14" t="n">
        <v>2</v>
      </c>
      <c r="D14" t="inlineStr">
        <is>
          <t>BLBD</t>
        </is>
      </c>
      <c r="E14" t="inlineStr">
        <is>
          <t>Blue Bird Corp</t>
        </is>
      </c>
      <c r="F14" t="inlineStr">
        <is>
          <t>Listed Foreign Equity Share (Company)</t>
        </is>
      </c>
      <c r="G14" t="n">
        <v>15</v>
      </c>
      <c r="H14" t="inlineStr">
        <is>
          <t>2025-01-21</t>
        </is>
      </c>
      <c r="I14" t="n">
        <v>613</v>
      </c>
      <c r="J14" t="n">
        <v>613</v>
      </c>
      <c r="K14" t="n">
        <v>485.55</v>
      </c>
      <c r="L14" t="n">
        <v>0</v>
      </c>
      <c r="M14" t="n">
        <v>0</v>
      </c>
    </row>
    <row r="15">
      <c r="A15" t="n">
        <v>14</v>
      </c>
      <c r="B15" t="inlineStr">
        <is>
          <t>United States of America</t>
        </is>
      </c>
      <c r="C15" t="n">
        <v>2</v>
      </c>
      <c r="D15" t="inlineStr">
        <is>
          <t>BX</t>
        </is>
      </c>
      <c r="E15" t="inlineStr">
        <is>
          <t>Blackstone Inc</t>
        </is>
      </c>
      <c r="F15" t="inlineStr">
        <is>
          <t>Listed Foreign Equity Share (Company)</t>
        </is>
      </c>
      <c r="G15" t="n">
        <v>6</v>
      </c>
      <c r="H15" t="inlineStr">
        <is>
          <t>2025-01-21</t>
        </is>
      </c>
      <c r="I15" t="n">
        <v>1086.55</v>
      </c>
      <c r="J15" t="n">
        <v>1086.55</v>
      </c>
      <c r="K15" t="n">
        <v>838.6799999999999</v>
      </c>
      <c r="L15" t="n">
        <v>42.06</v>
      </c>
      <c r="M15" t="n">
        <v>0</v>
      </c>
    </row>
    <row r="16">
      <c r="A16" t="n">
        <v>15</v>
      </c>
      <c r="B16" t="inlineStr">
        <is>
          <t>United States of America</t>
        </is>
      </c>
      <c r="C16" t="n">
        <v>2</v>
      </c>
      <c r="D16" t="inlineStr">
        <is>
          <t>BX</t>
        </is>
      </c>
      <c r="E16" t="inlineStr">
        <is>
          <t>Blackstone Inc</t>
        </is>
      </c>
      <c r="F16" t="inlineStr">
        <is>
          <t>Listed Foreign Equity Share (Company)</t>
        </is>
      </c>
      <c r="G16" t="n">
        <v>6</v>
      </c>
      <c r="H16" t="inlineStr">
        <is>
          <t>2025-05-23</t>
        </is>
      </c>
      <c r="I16" t="n">
        <v>816.98</v>
      </c>
      <c r="J16" t="n">
        <v>838.6799999999999</v>
      </c>
      <c r="K16" t="n">
        <v>838.6799999999999</v>
      </c>
      <c r="L16" t="n">
        <v>0</v>
      </c>
      <c r="M16" t="n">
        <v>0</v>
      </c>
    </row>
    <row r="17">
      <c r="A17" t="n">
        <v>16</v>
      </c>
      <c r="B17" t="inlineStr">
        <is>
          <t>United States of America</t>
        </is>
      </c>
      <c r="C17" t="n">
        <v>2</v>
      </c>
      <c r="D17" t="inlineStr">
        <is>
          <t>CAT</t>
        </is>
      </c>
      <c r="E17" t="inlineStr">
        <is>
          <t>Caterpillar Inc</t>
        </is>
      </c>
      <c r="F17" t="inlineStr">
        <is>
          <t>Listed Foreign Equity Share (Company)</t>
        </is>
      </c>
      <c r="G17" t="n">
        <v>3</v>
      </c>
      <c r="H17" t="inlineStr">
        <is>
          <t>2025-01-21</t>
        </is>
      </c>
      <c r="I17" t="n">
        <v>1177.72</v>
      </c>
      <c r="J17" t="n">
        <v>1177.72</v>
      </c>
      <c r="K17" t="n">
        <v>989.4</v>
      </c>
      <c r="L17" t="n">
        <v>13.29</v>
      </c>
      <c r="M17" t="n">
        <v>0</v>
      </c>
    </row>
    <row r="18">
      <c r="A18" t="n">
        <v>17</v>
      </c>
      <c r="B18" t="inlineStr">
        <is>
          <t>United States of America</t>
        </is>
      </c>
      <c r="C18" t="n">
        <v>2</v>
      </c>
      <c r="D18" t="inlineStr">
        <is>
          <t>COPX</t>
        </is>
      </c>
      <c r="E18" t="inlineStr">
        <is>
          <t>Global X Copper Miners ETF</t>
        </is>
      </c>
      <c r="F18" t="inlineStr">
        <is>
          <t>Exchange Traded Fund (Investment Trust)</t>
        </is>
      </c>
      <c r="G18" t="n">
        <v>12</v>
      </c>
      <c r="H18" t="inlineStr">
        <is>
          <t>2025-12-12</t>
        </is>
      </c>
      <c r="I18" t="n">
        <v>840.4</v>
      </c>
      <c r="J18" t="n">
        <v>840.4</v>
      </c>
      <c r="K18" t="n">
        <v>840.4</v>
      </c>
      <c r="L18" t="n">
        <v>0</v>
      </c>
      <c r="M18" t="n">
        <v>0</v>
      </c>
    </row>
    <row r="19">
      <c r="A19" t="n">
        <v>18</v>
      </c>
      <c r="B19" t="inlineStr">
        <is>
          <t>United States of America</t>
        </is>
      </c>
      <c r="C19" t="n">
        <v>2</v>
      </c>
      <c r="D19" t="inlineStr">
        <is>
          <t>GD</t>
        </is>
      </c>
      <c r="E19" t="inlineStr">
        <is>
          <t>General Dynamics Corp</t>
        </is>
      </c>
      <c r="F19" t="inlineStr">
        <is>
          <t>Listed Foreign Equity Share (Company)</t>
        </is>
      </c>
      <c r="G19" t="n">
        <v>2</v>
      </c>
      <c r="H19" t="inlineStr">
        <is>
          <t>2025-01-21</t>
        </is>
      </c>
      <c r="I19" t="n">
        <v>546.4299999999999</v>
      </c>
      <c r="J19" t="n">
        <v>546.4299999999999</v>
      </c>
      <c r="K19" t="n">
        <v>545.16</v>
      </c>
      <c r="L19" t="n">
        <v>9</v>
      </c>
      <c r="M19" t="n">
        <v>0</v>
      </c>
    </row>
    <row r="20">
      <c r="A20" t="n">
        <v>19</v>
      </c>
      <c r="B20" t="inlineStr">
        <is>
          <t>United States of America</t>
        </is>
      </c>
      <c r="C20" t="n">
        <v>2</v>
      </c>
      <c r="D20" t="inlineStr">
        <is>
          <t>GE</t>
        </is>
      </c>
      <c r="E20" t="inlineStr">
        <is>
          <t>GE Aerospace / General Electric</t>
        </is>
      </c>
      <c r="F20" t="inlineStr">
        <is>
          <t>Listed Foreign Equity Share (Company)</t>
        </is>
      </c>
      <c r="G20" t="n">
        <v>6</v>
      </c>
      <c r="H20" t="inlineStr">
        <is>
          <t>2025-01-21</t>
        </is>
      </c>
      <c r="I20" t="n">
        <v>1115.44</v>
      </c>
      <c r="J20" t="n">
        <v>1200.9</v>
      </c>
      <c r="K20" t="n">
        <v>1200.9</v>
      </c>
      <c r="L20" t="n">
        <v>6.48</v>
      </c>
      <c r="M20" t="n">
        <v>0</v>
      </c>
    </row>
    <row r="21">
      <c r="A21" t="n">
        <v>20</v>
      </c>
      <c r="B21" t="inlineStr">
        <is>
          <t>United States of America</t>
        </is>
      </c>
      <c r="C21" t="n">
        <v>2</v>
      </c>
      <c r="D21" t="inlineStr">
        <is>
          <t>LLY</t>
        </is>
      </c>
      <c r="E21" t="inlineStr">
        <is>
          <t>Eli Lilly &amp; Company</t>
        </is>
      </c>
      <c r="F21" t="inlineStr">
        <is>
          <t>Listed Foreign Equity Share (Company)</t>
        </is>
      </c>
      <c r="G21" t="n">
        <v>1.72</v>
      </c>
      <c r="H21" t="inlineStr">
        <is>
          <t>2025-01-21</t>
        </is>
      </c>
      <c r="I21" t="n">
        <v>1258.17</v>
      </c>
      <c r="J21" t="n">
        <v>1420.57</v>
      </c>
      <c r="K21" t="n">
        <v>1420.57</v>
      </c>
      <c r="L21" t="n">
        <v>10.32</v>
      </c>
      <c r="M21" t="n">
        <v>0</v>
      </c>
    </row>
    <row r="22">
      <c r="A22" t="n">
        <v>21</v>
      </c>
      <c r="B22" t="inlineStr">
        <is>
          <t>United States of America</t>
        </is>
      </c>
      <c r="C22" t="n">
        <v>2</v>
      </c>
      <c r="D22" t="inlineStr">
        <is>
          <t>MCHI</t>
        </is>
      </c>
      <c r="E22" t="inlineStr">
        <is>
          <t>iShares MSCI China ETF</t>
        </is>
      </c>
      <c r="F22" t="inlineStr">
        <is>
          <t>Exchange Traded Fund (Investment Trust)</t>
        </is>
      </c>
      <c r="G22" t="n">
        <v>12</v>
      </c>
      <c r="H22" t="inlineStr">
        <is>
          <t>2025-01-21</t>
        </is>
      </c>
      <c r="I22" t="n">
        <v>556.35</v>
      </c>
      <c r="J22" t="n">
        <v>652.8</v>
      </c>
      <c r="K22" t="n">
        <v>652.8</v>
      </c>
      <c r="L22" t="n">
        <v>15.25</v>
      </c>
      <c r="M22" t="n">
        <v>0</v>
      </c>
    </row>
    <row r="23">
      <c r="A23" t="n">
        <v>22</v>
      </c>
      <c r="B23" t="inlineStr">
        <is>
          <t>United States of America</t>
        </is>
      </c>
      <c r="C23" t="n">
        <v>2</v>
      </c>
      <c r="D23" t="inlineStr">
        <is>
          <t>META</t>
        </is>
      </c>
      <c r="E23" t="inlineStr">
        <is>
          <t>Meta Platforms Inc - Class A</t>
        </is>
      </c>
      <c r="F23" t="inlineStr">
        <is>
          <t>Listed Foreign Equity Share (Company)</t>
        </is>
      </c>
      <c r="G23" t="n">
        <v>2</v>
      </c>
      <c r="H23" t="inlineStr">
        <is>
          <t>2025-12-12</t>
        </is>
      </c>
      <c r="I23" t="n">
        <v>1301</v>
      </c>
      <c r="J23" t="n">
        <v>1301</v>
      </c>
      <c r="K23" t="n">
        <v>1301</v>
      </c>
      <c r="L23" t="n">
        <v>1.05</v>
      </c>
      <c r="M23" t="n">
        <v>0</v>
      </c>
    </row>
    <row r="24">
      <c r="A24" t="n">
        <v>23</v>
      </c>
      <c r="B24" t="inlineStr">
        <is>
          <t>United States of America</t>
        </is>
      </c>
      <c r="C24" t="n">
        <v>2</v>
      </c>
      <c r="D24" t="inlineStr">
        <is>
          <t>MSFT</t>
        </is>
      </c>
      <c r="E24" t="inlineStr">
        <is>
          <t>Microsoft Corp</t>
        </is>
      </c>
      <c r="F24" t="inlineStr">
        <is>
          <t>Listed Foreign Equity Share (Company)</t>
        </is>
      </c>
      <c r="G24" t="n">
        <v>3</v>
      </c>
      <c r="H24" t="inlineStr">
        <is>
          <t>2025-01-21</t>
        </is>
      </c>
      <c r="I24" t="n">
        <v>1282.69</v>
      </c>
      <c r="J24" t="n">
        <v>1282.69</v>
      </c>
      <c r="K24" t="n">
        <v>1126.17</v>
      </c>
      <c r="L24" t="n">
        <v>10.2</v>
      </c>
      <c r="M24" t="n">
        <v>0</v>
      </c>
    </row>
    <row r="25">
      <c r="A25" t="n">
        <v>24</v>
      </c>
      <c r="B25" t="inlineStr">
        <is>
          <t>United States of America</t>
        </is>
      </c>
      <c r="C25" t="n">
        <v>2</v>
      </c>
      <c r="D25" t="inlineStr">
        <is>
          <t>NFLX</t>
        </is>
      </c>
      <c r="E25" t="inlineStr">
        <is>
          <t>Netflix Inc</t>
        </is>
      </c>
      <c r="F25" t="inlineStr">
        <is>
          <t>Listed Foreign Equity Share (Company)</t>
        </is>
      </c>
      <c r="G25" t="n">
        <v>11.1</v>
      </c>
      <c r="H25" t="inlineStr">
        <is>
          <t>2025-01-21</t>
        </is>
      </c>
      <c r="I25" t="n">
        <v>960.97</v>
      </c>
      <c r="J25" t="n">
        <v>10351.08</v>
      </c>
      <c r="K25" t="n">
        <v>10351.08</v>
      </c>
      <c r="L25" t="n">
        <v>0</v>
      </c>
      <c r="M25" t="n">
        <v>0</v>
      </c>
    </row>
    <row r="26">
      <c r="A26" t="n">
        <v>25</v>
      </c>
      <c r="B26" t="inlineStr">
        <is>
          <t>United States of America</t>
        </is>
      </c>
      <c r="C26" t="n">
        <v>2</v>
      </c>
      <c r="D26" t="inlineStr">
        <is>
          <t>NFLX</t>
        </is>
      </c>
      <c r="E26" t="inlineStr">
        <is>
          <t>Netflix Inc</t>
        </is>
      </c>
      <c r="F26" t="inlineStr">
        <is>
          <t>Listed Foreign Equity Share (Company)</t>
        </is>
      </c>
      <c r="G26" t="n">
        <v>8.9</v>
      </c>
      <c r="H26" t="inlineStr">
        <is>
          <t>2025-12-12</t>
        </is>
      </c>
      <c r="I26" t="n">
        <v>850.85</v>
      </c>
      <c r="J26" t="n">
        <v>8299.52</v>
      </c>
      <c r="K26" t="n">
        <v>8299.52</v>
      </c>
      <c r="L26" t="n">
        <v>0</v>
      </c>
      <c r="M26" t="n">
        <v>0</v>
      </c>
    </row>
    <row r="27">
      <c r="A27" t="n">
        <v>26</v>
      </c>
      <c r="B27" t="inlineStr">
        <is>
          <t>United Kingdom</t>
        </is>
      </c>
      <c r="C27" t="n">
        <v>234</v>
      </c>
      <c r="D27" t="inlineStr">
        <is>
          <t>R6C0d</t>
        </is>
      </c>
      <c r="E27" t="inlineStr">
        <is>
          <t>Shell plc</t>
        </is>
      </c>
      <c r="F27" t="inlineStr">
        <is>
          <t>Listed Foreign Equity Share (Company)</t>
        </is>
      </c>
      <c r="G27" t="n">
        <v>19</v>
      </c>
      <c r="H27" t="inlineStr">
        <is>
          <t>2025-01-21</t>
        </is>
      </c>
      <c r="I27" t="n">
        <v>720.58</v>
      </c>
      <c r="J27" t="n">
        <v>757.12</v>
      </c>
      <c r="K27" t="n">
        <v>757.12</v>
      </c>
      <c r="L27" t="n">
        <v>0</v>
      </c>
      <c r="M27" t="n">
        <v>0</v>
      </c>
    </row>
    <row r="28">
      <c r="A28" t="n">
        <v>27</v>
      </c>
      <c r="B28" t="inlineStr">
        <is>
          <t>United Kingdom</t>
        </is>
      </c>
      <c r="C28" t="n">
        <v>234</v>
      </c>
      <c r="D28" t="inlineStr">
        <is>
          <t>R6C0d</t>
        </is>
      </c>
      <c r="E28" t="inlineStr">
        <is>
          <t>Shell plc</t>
        </is>
      </c>
      <c r="F28" t="inlineStr">
        <is>
          <t>Listed Foreign Equity Share (Company)</t>
        </is>
      </c>
      <c r="G28" t="n">
        <v>19</v>
      </c>
      <c r="H28" t="inlineStr">
        <is>
          <t>2025-05-23</t>
        </is>
      </c>
      <c r="I28" t="n">
        <v>650.0599999999999</v>
      </c>
      <c r="J28" t="n">
        <v>757.12</v>
      </c>
      <c r="K28" t="n">
        <v>757.12</v>
      </c>
      <c r="L28" t="n">
        <v>0</v>
      </c>
      <c r="M28" t="n">
        <v>0</v>
      </c>
    </row>
    <row r="29">
      <c r="A29" t="n">
        <v>28</v>
      </c>
      <c r="B29" t="inlineStr">
        <is>
          <t>United States of America</t>
        </is>
      </c>
      <c r="C29" t="n">
        <v>2</v>
      </c>
      <c r="D29" t="inlineStr">
        <is>
          <t>RTX</t>
        </is>
      </c>
      <c r="E29" t="inlineStr">
        <is>
          <t>RTX Corp</t>
        </is>
      </c>
      <c r="F29" t="inlineStr">
        <is>
          <t>Listed Foreign Equity Share (Company)</t>
        </is>
      </c>
      <c r="G29" t="n">
        <v>5</v>
      </c>
      <c r="H29" t="inlineStr">
        <is>
          <t>2025-01-21</t>
        </is>
      </c>
      <c r="I29" t="n">
        <v>621.33</v>
      </c>
      <c r="J29" t="n">
        <v>662.3</v>
      </c>
      <c r="K29" t="n">
        <v>662.3</v>
      </c>
      <c r="L29" t="n">
        <v>13.35</v>
      </c>
      <c r="M29" t="n">
        <v>0</v>
      </c>
    </row>
    <row r="30">
      <c r="A30" t="n">
        <v>29</v>
      </c>
      <c r="B30" t="inlineStr">
        <is>
          <t>Germany</t>
        </is>
      </c>
      <c r="C30" t="n">
        <v>78</v>
      </c>
      <c r="D30" t="inlineStr">
        <is>
          <t>SIEd</t>
        </is>
      </c>
      <c r="E30" t="inlineStr">
        <is>
          <t>Siemens AG - Registered</t>
        </is>
      </c>
      <c r="F30" t="inlineStr">
        <is>
          <t>Listed Foreign Equity Share (Company)</t>
        </is>
      </c>
      <c r="G30" t="n">
        <v>3</v>
      </c>
      <c r="H30" t="inlineStr">
        <is>
          <t>2025-01-21</t>
        </is>
      </c>
      <c r="I30" t="n">
        <v>721.3200000000001</v>
      </c>
      <c r="J30" t="n">
        <v>746.6900000000001</v>
      </c>
      <c r="K30" t="n">
        <v>746.6900000000001</v>
      </c>
      <c r="L30" t="n">
        <v>18.32</v>
      </c>
      <c r="M30" t="n">
        <v>0</v>
      </c>
    </row>
    <row r="31">
      <c r="A31" t="n">
        <v>30</v>
      </c>
      <c r="B31" t="inlineStr">
        <is>
          <t>United States of America</t>
        </is>
      </c>
      <c r="C31" t="n">
        <v>2</v>
      </c>
      <c r="D31" t="inlineStr">
        <is>
          <t>SLV</t>
        </is>
      </c>
      <c r="E31" t="inlineStr">
        <is>
          <t>iShares Silver Trust</t>
        </is>
      </c>
      <c r="F31" t="inlineStr">
        <is>
          <t>Exchange Traded Fund (Investment Trust)</t>
        </is>
      </c>
      <c r="G31" t="n">
        <v>45</v>
      </c>
      <c r="H31" t="inlineStr">
        <is>
          <t>2025-01-21</t>
        </is>
      </c>
      <c r="I31" t="n">
        <v>1257.18</v>
      </c>
      <c r="J31" t="n">
        <v>1394.55</v>
      </c>
      <c r="K31" t="n">
        <v>1394.55</v>
      </c>
      <c r="L31" t="n">
        <v>0</v>
      </c>
      <c r="M31" t="n">
        <v>0</v>
      </c>
    </row>
    <row r="32">
      <c r="A32" t="n">
        <v>31</v>
      </c>
      <c r="B32" t="inlineStr">
        <is>
          <t>United States of America</t>
        </is>
      </c>
      <c r="C32" t="n">
        <v>2</v>
      </c>
      <c r="D32" t="inlineStr">
        <is>
          <t>TGT</t>
        </is>
      </c>
      <c r="E32" t="inlineStr">
        <is>
          <t>Target Corp</t>
        </is>
      </c>
      <c r="F32" t="inlineStr">
        <is>
          <t>Listed Foreign Equity Share (Company)</t>
        </is>
      </c>
      <c r="G32" t="n">
        <v>9</v>
      </c>
      <c r="H32" t="inlineStr">
        <is>
          <t>2025-01-21</t>
        </is>
      </c>
      <c r="I32" t="n">
        <v>1222.57</v>
      </c>
      <c r="J32" t="n">
        <v>1222.57</v>
      </c>
      <c r="K32" t="n">
        <v>939.24</v>
      </c>
      <c r="L32" t="n">
        <v>53.22</v>
      </c>
      <c r="M32" t="n">
        <v>0</v>
      </c>
    </row>
    <row r="33">
      <c r="A33" t="n">
        <v>32</v>
      </c>
      <c r="B33" t="inlineStr">
        <is>
          <t>United States of America</t>
        </is>
      </c>
      <c r="C33" t="n">
        <v>2</v>
      </c>
      <c r="D33" t="inlineStr">
        <is>
          <t>TGT</t>
        </is>
      </c>
      <c r="E33" t="inlineStr">
        <is>
          <t>Target Corp</t>
        </is>
      </c>
      <c r="F33" t="inlineStr">
        <is>
          <t>Listed Foreign Equity Share (Company)</t>
        </is>
      </c>
      <c r="G33" t="n">
        <v>11</v>
      </c>
      <c r="H33" t="inlineStr">
        <is>
          <t>2025-09-02</t>
        </is>
      </c>
      <c r="I33" t="n">
        <v>1025.43</v>
      </c>
      <c r="J33" t="n">
        <v>1147.96</v>
      </c>
      <c r="K33" t="n">
        <v>1147.96</v>
      </c>
      <c r="L33" t="n">
        <v>0</v>
      </c>
      <c r="M33" t="n">
        <v>0</v>
      </c>
    </row>
    <row r="34">
      <c r="A34" t="n">
        <v>33</v>
      </c>
      <c r="B34" t="inlineStr">
        <is>
          <t>United States of America</t>
        </is>
      </c>
      <c r="C34" t="n">
        <v>2</v>
      </c>
      <c r="D34" t="inlineStr">
        <is>
          <t>TIP</t>
        </is>
      </c>
      <c r="E34" t="inlineStr">
        <is>
          <t>iShares TIPS Bond ETF</t>
        </is>
      </c>
      <c r="F34" t="inlineStr">
        <is>
          <t>Exchange Traded Fund (Investment Trust)</t>
        </is>
      </c>
      <c r="G34" t="n">
        <v>12</v>
      </c>
      <c r="H34" t="inlineStr">
        <is>
          <t>2025-01-21</t>
        </is>
      </c>
      <c r="I34" t="n">
        <v>1288.47</v>
      </c>
      <c r="J34" t="n">
        <v>1333.08</v>
      </c>
      <c r="K34" t="n">
        <v>1333.08</v>
      </c>
      <c r="L34" t="n">
        <v>45.63</v>
      </c>
      <c r="M34" t="n">
        <v>0</v>
      </c>
    </row>
    <row r="35">
      <c r="A35" t="n">
        <v>34</v>
      </c>
      <c r="B35" t="inlineStr">
        <is>
          <t>Taiwan</t>
        </is>
      </c>
      <c r="C35" t="n">
        <v>212</v>
      </c>
      <c r="D35" t="inlineStr">
        <is>
          <t>TSM</t>
        </is>
      </c>
      <c r="E35" t="inlineStr">
        <is>
          <t>Taiwan Semiconductor Manufacturing Co - Sponsored ADR</t>
        </is>
      </c>
      <c r="F35" t="inlineStr">
        <is>
          <t>American Depository Receipt of Listed Foreign Company</t>
        </is>
      </c>
      <c r="G35" t="n">
        <v>3</v>
      </c>
      <c r="H35" t="inlineStr">
        <is>
          <t>2025-01-21</t>
        </is>
      </c>
      <c r="I35" t="n">
        <v>641.4400000000001</v>
      </c>
      <c r="J35" t="n">
        <v>641.4400000000001</v>
      </c>
      <c r="K35" t="n">
        <v>498</v>
      </c>
      <c r="L35" t="n">
        <v>6.85</v>
      </c>
      <c r="M35" t="n">
        <v>0</v>
      </c>
    </row>
    <row r="36">
      <c r="A36" t="n">
        <v>35</v>
      </c>
      <c r="B36" t="inlineStr">
        <is>
          <t>United States of America</t>
        </is>
      </c>
      <c r="C36" t="n">
        <v>2</v>
      </c>
      <c r="D36" t="inlineStr">
        <is>
          <t>URA</t>
        </is>
      </c>
      <c r="E36" t="inlineStr">
        <is>
          <t>Global X Uranium ETF</t>
        </is>
      </c>
      <c r="F36" t="inlineStr">
        <is>
          <t>Exchange Traded Fund (Investment Trust)</t>
        </is>
      </c>
      <c r="G36" t="n">
        <v>30</v>
      </c>
      <c r="H36" t="inlineStr">
        <is>
          <t>2025-12-12</t>
        </is>
      </c>
      <c r="I36" t="n">
        <v>1474.6</v>
      </c>
      <c r="J36" t="n">
        <v>1474.6</v>
      </c>
      <c r="K36" t="n">
        <v>1474.6</v>
      </c>
      <c r="L36" t="n">
        <v>0</v>
      </c>
      <c r="M36" t="n">
        <v>0</v>
      </c>
    </row>
    <row r="37">
      <c r="A37" t="n">
        <v>36</v>
      </c>
      <c r="B37" t="inlineStr">
        <is>
          <t>United States of America</t>
        </is>
      </c>
      <c r="C37" t="n">
        <v>2</v>
      </c>
      <c r="D37" t="inlineStr">
        <is>
          <t>V</t>
        </is>
      </c>
      <c r="E37" t="inlineStr">
        <is>
          <t>Visa Inc - Class A</t>
        </is>
      </c>
      <c r="F37" t="inlineStr">
        <is>
          <t>Listed Foreign Equity Share (Company)</t>
        </is>
      </c>
      <c r="G37" t="n">
        <v>3</v>
      </c>
      <c r="H37" t="inlineStr">
        <is>
          <t>2025-12-12</t>
        </is>
      </c>
      <c r="I37" t="n">
        <v>1045</v>
      </c>
      <c r="J37" t="n">
        <v>1045</v>
      </c>
      <c r="K37" t="n">
        <v>1045</v>
      </c>
      <c r="L37" t="n">
        <v>0</v>
      </c>
      <c r="M37" t="n">
        <v>0</v>
      </c>
    </row>
    <row r="38">
      <c r="A38" t="n">
        <v>37</v>
      </c>
      <c r="B38" t="inlineStr">
        <is>
          <t>Denmark</t>
        </is>
      </c>
      <c r="C38" t="n">
        <v>61</v>
      </c>
      <c r="D38" t="inlineStr">
        <is>
          <t>ZEALc</t>
        </is>
      </c>
      <c r="E38" t="inlineStr">
        <is>
          <t>Zealand Pharma A/S</t>
        </is>
      </c>
      <c r="F38" t="inlineStr">
        <is>
          <t>Listed Foreign Equity Share (Company)</t>
        </is>
      </c>
      <c r="G38" t="n">
        <v>6</v>
      </c>
      <c r="H38" t="inlineStr">
        <is>
          <t>2025-12-12</t>
        </is>
      </c>
      <c r="I38" t="n">
        <v>479.01</v>
      </c>
      <c r="J38" t="n">
        <v>479.01</v>
      </c>
      <c r="K38" t="n">
        <v>479.01</v>
      </c>
      <c r="L38" t="n">
        <v>0</v>
      </c>
      <c r="M38" t="n">
        <v>0</v>
      </c>
    </row>
    <row r="39">
      <c r="H39" t="inlineStr">
        <is>
          <t>TOTAL (USD)</t>
        </is>
      </c>
      <c r="I39" t="n">
        <v>35934.09</v>
      </c>
      <c r="J39" t="n">
        <v>53692.52</v>
      </c>
      <c r="K39" t="n">
        <v>52108.62</v>
      </c>
      <c r="L39" t="n">
        <v>484.52</v>
      </c>
      <c r="M3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5" customWidth="1" min="3" max="3"/>
    <col width="48" customWidth="1" min="4" max="4"/>
  </cols>
  <sheetData>
    <row r="1">
      <c r="A1" t="inlineStr">
        <is>
          <t>USD / INR SBI TT Buying rates used (month-end card rates — CA to verify exact date rates). Prefer editing 'FX Lookup' sheet for live CG formulas.</t>
        </is>
      </c>
    </row>
    <row r="3">
      <c r="A3" s="1" t="inlineStr">
        <is>
          <t>Date</t>
        </is>
      </c>
      <c r="B3" s="1" t="inlineStr">
        <is>
          <t>Purpose</t>
        </is>
      </c>
      <c r="C3" s="1" t="inlineStr">
        <is>
          <t>USD/INR (Rs.)</t>
        </is>
      </c>
      <c r="D3" s="1" t="inlineStr">
        <is>
          <t>Source</t>
        </is>
      </c>
    </row>
    <row r="4">
      <c r="A4" s="2" t="n">
        <v>45657</v>
      </c>
      <c r="B4" t="inlineStr">
        <is>
          <t>Initial value for securities held on 01-Jan-2025</t>
        </is>
      </c>
      <c r="C4" t="n">
        <v>85.2</v>
      </c>
      <c r="D4" t="inlineStr">
        <is>
          <t>SBI TTBR month-end compilation — verify on sbi.co.in</t>
        </is>
      </c>
    </row>
    <row r="5">
      <c r="A5" s="2" t="n">
        <v>46022</v>
      </c>
      <c r="B5" t="inlineStr">
        <is>
          <t>Closing balance (year-end) / peak proxy</t>
        </is>
      </c>
      <c r="C5" t="n">
        <v>89.47</v>
      </c>
      <c r="D5" t="inlineStr">
        <is>
          <t>SBI TTBR month-end compilation — verify on sbi.co.in</t>
        </is>
      </c>
    </row>
    <row r="6">
      <c r="A6" s="2" t="n">
        <v>45747</v>
      </c>
      <c r="B6" t="inlineStr">
        <is>
          <t>Rule 115 rate for Apr-2025 events</t>
        </is>
      </c>
      <c r="C6" t="n">
        <v>85.09999999999999</v>
      </c>
      <c r="D6" t="inlineStr">
        <is>
          <t>SBI TTBR month-end compilation — verify on sbi.co.in</t>
        </is>
      </c>
    </row>
    <row r="7">
      <c r="A7" s="2" t="n">
        <v>45838</v>
      </c>
      <c r="B7" t="inlineStr">
        <is>
          <t>Rule 115 rate for Jul-2025 events</t>
        </is>
      </c>
      <c r="C7" t="n">
        <v>85.09999999999999</v>
      </c>
      <c r="D7" t="inlineStr">
        <is>
          <t>SBI TTBR month-end compilation — verify on sbi.co.in</t>
        </is>
      </c>
    </row>
    <row r="8">
      <c r="A8" s="2" t="n">
        <v>45869</v>
      </c>
      <c r="B8" t="inlineStr">
        <is>
          <t>Rule 115 rate for Aug-2025 events</t>
        </is>
      </c>
      <c r="C8" t="n">
        <v>87.15000000000001</v>
      </c>
      <c r="D8" t="inlineStr">
        <is>
          <t>SBI TTBR month-end compilation — verify on sbi.co.in</t>
        </is>
      </c>
    </row>
    <row r="9">
      <c r="A9" s="2" t="n">
        <v>45991</v>
      </c>
      <c r="B9" t="inlineStr">
        <is>
          <t>Rule 115 rate for Dec-2025 events</t>
        </is>
      </c>
      <c r="C9" t="n">
        <v>88.95</v>
      </c>
      <c r="D9" t="inlineStr">
        <is>
          <t>SBI TTBR month-end compilation — verify on sbi.co.in</t>
        </is>
      </c>
    </row>
    <row r="10">
      <c r="A10" s="2" t="n">
        <v>46081</v>
      </c>
      <c r="B10" t="inlineStr">
        <is>
          <t>Rule 115 rate for Mar-2026 events</t>
        </is>
      </c>
      <c r="C10" t="n">
        <v>90.56</v>
      </c>
      <c r="D10" t="inlineStr">
        <is>
          <t>SBI TTBR month-end compilation — verify on sbi.co.in</t>
        </is>
      </c>
    </row>
    <row r="12">
      <c r="A12" t="inlineStr">
        <is>
          <t>NOTES:</t>
        </is>
      </c>
    </row>
    <row r="13">
      <c r="A13" t="inlineStr">
        <is>
          <t>1. Schedule FA: convert at SBI TT Buy on acquisition date (initial), peak date (peak), and 31-Dec (closing).</t>
        </is>
      </c>
    </row>
    <row r="14">
      <c r="A14" t="inlineStr">
        <is>
          <t>2. Income (dividends/interest/capital gains): Rule 115 — TT Buy on last day of month preceding the month of receipt/transfer.</t>
        </is>
      </c>
    </row>
    <row r="15">
      <c r="A15" t="inlineStr">
        <is>
          <t>3. Non-USD holdings converted to USD using IBKR 31-Dec-2025 FX (EUR 1.1746, HKD 0.12849, JPY 0.0063827, DKK 0.15726), then to INR — editable on CG sheets.</t>
        </is>
      </c>
    </row>
    <row r="16">
      <c r="A16" t="inlineStr">
        <is>
          <t>4. Peak per security estimated as MAX(initial, closing, sale proceeds) — IBKR Activity Statement does not publish daily per-symbol peaks.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8" customWidth="1" min="1" max="1"/>
    <col width="20" customWidth="1" min="2" max="2"/>
    <col width="48" customWidth="1" min="3" max="3"/>
    <col width="40" customWidth="1" min="4" max="4"/>
    <col width="31" customWidth="1" min="5" max="5"/>
    <col width="31" customWidth="1" min="6" max="6"/>
    <col width="34" customWidth="1" min="7" max="7"/>
    <col width="36" customWidth="1" min="8" max="8"/>
  </cols>
  <sheetData>
    <row r="1">
      <c r="A1" t="inlineStr">
        <is>
          <t>A2. Details of Foreign Custodial Accounts held (including any beneficial interest) at any time during the calendar year 2025</t>
        </is>
      </c>
    </row>
    <row r="2">
      <c r="A2" s="1" t="inlineStr">
        <is>
          <t>Country name</t>
        </is>
      </c>
      <c r="B2" s="1" t="inlineStr">
        <is>
          <t>Country code</t>
        </is>
      </c>
      <c r="C2" s="1" t="inlineStr">
        <is>
          <t>Name of Financial Institution</t>
        </is>
      </c>
      <c r="D2" s="1" t="inlineStr">
        <is>
          <t>Address of Financial Institution</t>
        </is>
      </c>
      <c r="E2" s="1" t="inlineStr">
        <is>
          <t>ZIP Code</t>
        </is>
      </c>
      <c r="F2" s="1" t="inlineStr">
        <is>
          <t>Account Number</t>
        </is>
      </c>
      <c r="G2" s="1" t="inlineStr">
        <is>
          <t>Status</t>
        </is>
      </c>
      <c r="H2" s="1" t="inlineStr">
        <is>
          <t>Account opening date</t>
        </is>
      </c>
    </row>
    <row r="3">
      <c r="A3" t="inlineStr">
        <is>
          <t>United States of America</t>
        </is>
      </c>
      <c r="B3" t="n">
        <v>2</v>
      </c>
      <c r="C3" t="inlineStr">
        <is>
          <t>Interactive Brokers LLC (Clearing Broker), Advisor Client via Interactive Brokers (India) / Investment Advisor: MATCAP WEALTH ADVISORS PRIVATE LIMITED</t>
        </is>
      </c>
      <c r="D3" t="inlineStr">
        <is>
          <t>One Pickwick Plaza, Greenwich, CT, USA</t>
        </is>
      </c>
      <c r="E3" t="inlineStr">
        <is>
          <t>06830</t>
        </is>
      </c>
      <c r="F3" t="inlineStr">
        <is>
          <t>U15388294</t>
        </is>
      </c>
      <c r="G3" t="inlineStr">
        <is>
          <t>Owner - Sole beneficial owner</t>
        </is>
      </c>
      <c r="H3" t="inlineStr">
        <is>
          <t>2024-08-27 (first CHF EFT funding)</t>
        </is>
      </c>
    </row>
    <row r="5">
      <c r="A5" s="1" t="inlineStr">
        <is>
          <t>Peak balance in account during period (USD)</t>
        </is>
      </c>
      <c r="B5" s="1" t="inlineStr">
        <is>
          <t>Peak balance (INR)</t>
        </is>
      </c>
      <c r="C5" s="1" t="inlineStr">
        <is>
          <t>Closing balance (USD)</t>
        </is>
      </c>
      <c r="D5" s="1" t="inlineStr">
        <is>
          <t>Closing balance (INR)</t>
        </is>
      </c>
      <c r="E5" s="1" t="inlineStr">
        <is>
          <t>Gross interest received (USD)</t>
        </is>
      </c>
      <c r="F5" s="1" t="inlineStr">
        <is>
          <t>Gross interest received (INR)</t>
        </is>
      </c>
      <c r="G5" s="1" t="inlineStr">
        <is>
          <t>Gross amount paid/credited (USD)</t>
        </is>
      </c>
      <c r="H5" s="1" t="inlineStr">
        <is>
          <t>Gross amount paid/credited (INR)</t>
        </is>
      </c>
    </row>
    <row r="6">
      <c r="A6" t="n">
        <v>52108.61</v>
      </c>
      <c r="B6" t="n">
        <v>4662157</v>
      </c>
      <c r="C6" t="n">
        <v>52108.61</v>
      </c>
      <c r="D6" t="n">
        <v>4662157</v>
      </c>
      <c r="E6" t="n">
        <v>-0.09</v>
      </c>
      <c r="F6" t="n">
        <v>-8</v>
      </c>
      <c r="G6" t="n">
        <v>526.24</v>
      </c>
      <c r="H6" t="n">
        <v>45918</v>
      </c>
    </row>
    <row r="8">
      <c r="A8" t="inlineStr">
        <is>
          <t>NOTES:</t>
        </is>
      </c>
    </row>
    <row r="9">
      <c r="A9" t="inlineStr">
        <is>
          <t>Account: IBKR U15388294 — Vinodkrishna Poyyale (Individual, USD base, Cash).</t>
        </is>
      </c>
    </row>
    <row r="10">
      <c r="A10" t="inlineStr">
        <is>
          <t>Starting NAV 01-Jan-2025: USD 0.00; Ending NAV 31-Dec-2025: USD 52,108.61.</t>
        </is>
      </c>
    </row>
    <row r="11">
      <c r="A11" t="inlineStr">
        <is>
          <t>Peak NAV: Activity Statement does not include daily NAV — shown as max(start, end). Obtain PortfolioAnalyst for true peak.</t>
        </is>
      </c>
    </row>
    <row r="12">
      <c r="A12" t="inlineStr">
        <is>
          <t>Deposits CY2025: USD 39,418.37 (2025-01-15: 18776.13 CHF, 2025-03-14: 3361.0 CHF, 2025-09-05: 9110.09 CHF).</t>
        </is>
      </c>
    </row>
    <row r="13">
      <c r="A13" t="inlineStr">
        <is>
          <t>Gross amount paid/credited = interest + dividends credited in the custodial account during CY2025.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from foreign sources — Calendar Year 2025 (Schedule FA cross-ref / Schedule OS)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45904</v>
      </c>
      <c r="B4" t="inlineStr">
        <is>
          <t>USD Debit Interest for Aug-2025</t>
        </is>
      </c>
      <c r="C4" t="inlineStr">
        <is>
          <t>USD</t>
        </is>
      </c>
      <c r="D4" t="n">
        <v>-0.04</v>
      </c>
      <c r="E4" t="n">
        <v>-0.04</v>
      </c>
      <c r="F4" t="n">
        <v>87.7</v>
      </c>
      <c r="G4" t="n">
        <v>-4</v>
      </c>
    </row>
    <row r="5">
      <c r="A5" s="2" t="n">
        <v>45933</v>
      </c>
      <c r="B5" t="inlineStr">
        <is>
          <t>USD Debit Interest for Sep-2025</t>
        </is>
      </c>
      <c r="C5" t="inlineStr">
        <is>
          <t>USD</t>
        </is>
      </c>
      <c r="D5" t="n">
        <v>-0.01</v>
      </c>
      <c r="E5" t="n">
        <v>-0.01</v>
      </c>
      <c r="F5" t="n">
        <v>88.34999999999999</v>
      </c>
      <c r="G5" t="n">
        <v>-1</v>
      </c>
    </row>
    <row r="6">
      <c r="A6" s="2" t="n">
        <v>45966</v>
      </c>
      <c r="B6" t="inlineStr">
        <is>
          <t>USD Debit Interest for Oct-2025</t>
        </is>
      </c>
      <c r="C6" t="inlineStr">
        <is>
          <t>USD</t>
        </is>
      </c>
      <c r="D6" t="n">
        <v>-0.02</v>
      </c>
      <c r="E6" t="n">
        <v>-0.02</v>
      </c>
      <c r="F6" t="n">
        <v>88.2</v>
      </c>
      <c r="G6" t="n">
        <v>-2</v>
      </c>
    </row>
    <row r="7">
      <c r="A7" s="2" t="n">
        <v>45994</v>
      </c>
      <c r="B7" t="inlineStr">
        <is>
          <t>USD Debit Interest for Nov-2025</t>
        </is>
      </c>
      <c r="C7" t="inlineStr">
        <is>
          <t>USD</t>
        </is>
      </c>
      <c r="D7" t="n">
        <v>-0.02</v>
      </c>
      <c r="E7" t="n">
        <v>-0.02</v>
      </c>
      <c r="F7" t="n">
        <v>88.95</v>
      </c>
      <c r="G7" t="n">
        <v>-2</v>
      </c>
    </row>
    <row r="8">
      <c r="B8" t="inlineStr">
        <is>
          <t>TOTAL INTEREST</t>
        </is>
      </c>
      <c r="E8" t="n">
        <v>-0.09</v>
      </c>
      <c r="G8" t="n">
        <v>-8</v>
      </c>
    </row>
    <row r="10">
      <c r="A10" t="inlineStr">
        <is>
          <t>— DIVIDENDS —</t>
        </is>
      </c>
    </row>
    <row r="11">
      <c r="A11" s="2" t="n">
        <v>45706</v>
      </c>
      <c r="B11" t="inlineStr">
        <is>
          <t>SIE(DE0007236101) Cash Dividend EUR 5.20 per Share (Ordinary Dividend)</t>
        </is>
      </c>
      <c r="C11" t="inlineStr">
        <is>
          <t>EUR</t>
        </is>
      </c>
      <c r="D11" t="n">
        <v>15.6</v>
      </c>
      <c r="E11" t="n">
        <v>18.3238</v>
      </c>
      <c r="F11" t="n">
        <v>86.2</v>
      </c>
      <c r="G11" t="n">
        <v>1580</v>
      </c>
    </row>
    <row r="12">
      <c r="A12" s="2" t="n">
        <v>45706</v>
      </c>
      <c r="B12" t="inlineStr">
        <is>
          <t>BX(US09260D1072) Cash Dividend USD 1.44 per Share (Ordinary Dividend)</t>
        </is>
      </c>
      <c r="C12" t="inlineStr">
        <is>
          <t>USD</t>
        </is>
      </c>
      <c r="D12" t="n">
        <v>8.640000000000001</v>
      </c>
      <c r="E12" t="n">
        <v>8.640000000000001</v>
      </c>
      <c r="F12" t="n">
        <v>86.2</v>
      </c>
      <c r="G12" t="n">
        <v>745</v>
      </c>
    </row>
    <row r="13">
      <c r="A13" s="2" t="n">
        <v>45719</v>
      </c>
      <c r="B13" t="inlineStr">
        <is>
          <t>TGT(US87612E1064) Cash Dividend USD 1.12 per Share (Ordinary Dividend)</t>
        </is>
      </c>
      <c r="C13" t="inlineStr">
        <is>
          <t>USD</t>
        </is>
      </c>
      <c r="D13" t="n">
        <v>10.08</v>
      </c>
      <c r="E13" t="n">
        <v>10.08</v>
      </c>
      <c r="F13" t="n">
        <v>86.95</v>
      </c>
      <c r="G13" t="n">
        <v>876</v>
      </c>
    </row>
    <row r="14">
      <c r="A14" s="2" t="n">
        <v>45726</v>
      </c>
      <c r="B14" t="inlineStr">
        <is>
          <t>LLY(US5324571083) Cash Dividend USD 1.50 per Share (Ordinary Dividend)</t>
        </is>
      </c>
      <c r="C14" t="inlineStr">
        <is>
          <t>USD</t>
        </is>
      </c>
      <c r="D14" t="n">
        <v>2.58</v>
      </c>
      <c r="E14" t="n">
        <v>2.58</v>
      </c>
      <c r="F14" t="n">
        <v>86.95</v>
      </c>
      <c r="G14" t="n">
        <v>224</v>
      </c>
    </row>
    <row r="15">
      <c r="A15" s="2" t="n">
        <v>45729</v>
      </c>
      <c r="B15" t="inlineStr">
        <is>
          <t>MSFT(US5949181045) Cash Dividend USD 0.83 per Share (Ordinary Dividend)</t>
        </is>
      </c>
      <c r="C15" t="inlineStr">
        <is>
          <t>USD</t>
        </is>
      </c>
      <c r="D15" t="n">
        <v>2.49</v>
      </c>
      <c r="E15" t="n">
        <v>2.49</v>
      </c>
      <c r="F15" t="n">
        <v>86.95</v>
      </c>
      <c r="G15" t="n">
        <v>217</v>
      </c>
    </row>
    <row r="16">
      <c r="A16" s="2" t="n">
        <v>45736</v>
      </c>
      <c r="B16" t="inlineStr">
        <is>
          <t>RTX(US75513E1010) Cash Dividend USD 0.63 per Share (Ordinary Dividend)</t>
        </is>
      </c>
      <c r="C16" t="inlineStr">
        <is>
          <t>USD</t>
        </is>
      </c>
      <c r="D16" t="n">
        <v>3.15</v>
      </c>
      <c r="E16" t="n">
        <v>3.15</v>
      </c>
      <c r="F16" t="n">
        <v>86.95</v>
      </c>
      <c r="G16" t="n">
        <v>274</v>
      </c>
    </row>
    <row r="17">
      <c r="A17" s="2" t="n">
        <v>45740</v>
      </c>
      <c r="B17" t="inlineStr">
        <is>
          <t>SHELL.DRS(NL0015002E16) Expire Dividend Right (Ordinary Dividend)</t>
        </is>
      </c>
      <c r="C17" t="inlineStr">
        <is>
          <t>EUR</t>
        </is>
      </c>
      <c r="D17" t="n">
        <v>6.3</v>
      </c>
      <c r="E17" t="n">
        <v>7.4</v>
      </c>
      <c r="F17" t="n">
        <v>86.95</v>
      </c>
      <c r="G17" t="n">
        <v>643</v>
      </c>
    </row>
    <row r="18">
      <c r="A18" s="2" t="n">
        <v>45740</v>
      </c>
      <c r="B18" t="inlineStr">
        <is>
          <t>SHELL.DRS(NL0015002E16) Expire Dividend Right - REVERSAL (Ordinary Dividend)</t>
        </is>
      </c>
      <c r="C18" t="inlineStr">
        <is>
          <t>EUR</t>
        </is>
      </c>
      <c r="D18" t="n">
        <v>-6.3</v>
      </c>
      <c r="E18" t="n">
        <v>-7.4</v>
      </c>
      <c r="F18" t="n">
        <v>86.95</v>
      </c>
      <c r="G18" t="n">
        <v>-643</v>
      </c>
    </row>
    <row r="19">
      <c r="A19" s="2" t="n">
        <v>45740</v>
      </c>
      <c r="B19" t="inlineStr">
        <is>
          <t>SHELL.DRS(NL0015002E16) Expire Dividend Right (Ordinary Dividend)</t>
        </is>
      </c>
      <c r="C19" t="inlineStr">
        <is>
          <t>EUR</t>
        </is>
      </c>
      <c r="D19" t="n">
        <v>6.3</v>
      </c>
      <c r="E19" t="n">
        <v>7.4</v>
      </c>
      <c r="F19" t="n">
        <v>86.95</v>
      </c>
      <c r="G19" t="n">
        <v>643</v>
      </c>
    </row>
    <row r="20">
      <c r="A20" s="2" t="n">
        <v>45744</v>
      </c>
      <c r="B20" t="inlineStr">
        <is>
          <t>BAC(US0605051046) Cash Dividend USD 0.26 per Share (Ordinary Dividend)</t>
        </is>
      </c>
      <c r="C20" t="inlineStr">
        <is>
          <t>USD</t>
        </is>
      </c>
      <c r="D20" t="n">
        <v>3.64</v>
      </c>
      <c r="E20" t="n">
        <v>3.64</v>
      </c>
      <c r="F20" t="n">
        <v>86.95</v>
      </c>
      <c r="G20" t="n">
        <v>316</v>
      </c>
    </row>
    <row r="21">
      <c r="A21" s="2" t="n">
        <v>45751</v>
      </c>
      <c r="B21" t="inlineStr">
        <is>
          <t>TIP(US4642871762) Cash Dividend USD 0.70918 per Share (Ordinary Dividend)</t>
        </is>
      </c>
      <c r="C21" t="inlineStr">
        <is>
          <t>USD</t>
        </is>
      </c>
      <c r="D21" t="n">
        <v>8.51</v>
      </c>
      <c r="E21" t="n">
        <v>8.51</v>
      </c>
      <c r="F21" t="n">
        <v>85.09999999999999</v>
      </c>
      <c r="G21" t="n">
        <v>724</v>
      </c>
    </row>
    <row r="22">
      <c r="A22" s="2" t="n">
        <v>45757</v>
      </c>
      <c r="B22" t="inlineStr">
        <is>
          <t>TSM(US8740391003) Cash Dividend USD 0.677693 per Share (Ordinary Div - NRA Withholding Exempt)</t>
        </is>
      </c>
      <c r="C22" t="inlineStr">
        <is>
          <t>USD</t>
        </is>
      </c>
      <c r="D22" t="n">
        <v>2.04</v>
      </c>
      <c r="E22" t="n">
        <v>2.04</v>
      </c>
      <c r="F22" t="n">
        <v>85.09999999999999</v>
      </c>
      <c r="G22" t="n">
        <v>174</v>
      </c>
    </row>
    <row r="23">
      <c r="A23" s="2" t="n">
        <v>45771</v>
      </c>
      <c r="B23" t="inlineStr">
        <is>
          <t>AIR(NL0000235190) Cash Dividend EUR 1.00 per Share (Bonus Dividend)</t>
        </is>
      </c>
      <c r="C23" t="inlineStr">
        <is>
          <t>EUR</t>
        </is>
      </c>
      <c r="D23" t="n">
        <v>6</v>
      </c>
      <c r="E23" t="n">
        <v>7.0476</v>
      </c>
      <c r="F23" t="n">
        <v>85.09999999999999</v>
      </c>
      <c r="G23" t="n">
        <v>600</v>
      </c>
    </row>
    <row r="24">
      <c r="A24" s="2" t="n">
        <v>45771</v>
      </c>
      <c r="B24" t="inlineStr">
        <is>
          <t>AIR(NL0000235190) Cash Dividend EUR 2.00 per Share (Ordinary Dividend)</t>
        </is>
      </c>
      <c r="C24" t="inlineStr">
        <is>
          <t>EUR</t>
        </is>
      </c>
      <c r="D24" t="n">
        <v>12</v>
      </c>
      <c r="E24" t="n">
        <v>14.0952</v>
      </c>
      <c r="F24" t="n">
        <v>85.09999999999999</v>
      </c>
      <c r="G24" t="n">
        <v>1200</v>
      </c>
    </row>
    <row r="25">
      <c r="A25" s="2" t="n">
        <v>45772</v>
      </c>
      <c r="B25" t="inlineStr">
        <is>
          <t>GE(US3696043013) Cash Dividend USD 0.36 per Share (Ordinary Dividend)</t>
        </is>
      </c>
      <c r="C25" t="inlineStr">
        <is>
          <t>USD</t>
        </is>
      </c>
      <c r="D25" t="n">
        <v>2.16</v>
      </c>
      <c r="E25" t="n">
        <v>2.16</v>
      </c>
      <c r="F25" t="n">
        <v>85.09999999999999</v>
      </c>
      <c r="G25" t="n">
        <v>184</v>
      </c>
    </row>
    <row r="26">
      <c r="A26" s="2" t="n">
        <v>45782</v>
      </c>
      <c r="B26" t="inlineStr">
        <is>
          <t>BX(US09260D1072) Cash Dividend USD 0.93 per Share (Ordinary Dividend)</t>
        </is>
      </c>
      <c r="C26" t="inlineStr">
        <is>
          <t>USD</t>
        </is>
      </c>
      <c r="D26" t="n">
        <v>5.58</v>
      </c>
      <c r="E26" t="n">
        <v>5.58</v>
      </c>
      <c r="F26" t="n">
        <v>84.25</v>
      </c>
      <c r="G26" t="n">
        <v>470</v>
      </c>
    </row>
    <row r="27">
      <c r="A27" s="2" t="n">
        <v>45783</v>
      </c>
      <c r="B27" t="inlineStr">
        <is>
          <t>TIP(US4642871762) Cash Dividend USD 0.534953 per Share (Ordinary Dividend)</t>
        </is>
      </c>
      <c r="C27" t="inlineStr">
        <is>
          <t>USD</t>
        </is>
      </c>
      <c r="D27" t="n">
        <v>6.42</v>
      </c>
      <c r="E27" t="n">
        <v>6.42</v>
      </c>
      <c r="F27" t="n">
        <v>84.25</v>
      </c>
      <c r="G27" t="n">
        <v>541</v>
      </c>
    </row>
    <row r="28">
      <c r="A28" s="2" t="n">
        <v>45786</v>
      </c>
      <c r="B28" t="inlineStr">
        <is>
          <t>AXP(US0258161092) Cash Dividend USD 0.82 per Share (Ordinary Dividend)</t>
        </is>
      </c>
      <c r="C28" t="inlineStr">
        <is>
          <t>USD</t>
        </is>
      </c>
      <c r="D28" t="n">
        <v>1.64</v>
      </c>
      <c r="E28" t="n">
        <v>1.64</v>
      </c>
      <c r="F28" t="n">
        <v>84.25</v>
      </c>
      <c r="G28" t="n">
        <v>138</v>
      </c>
    </row>
    <row r="29">
      <c r="A29" s="2" t="n">
        <v>45786</v>
      </c>
      <c r="B29" t="inlineStr">
        <is>
          <t>GD(US3695501086) Cash Dividend USD 1.50 per Share (Ordinary Dividend)</t>
        </is>
      </c>
      <c r="C29" t="inlineStr">
        <is>
          <t>USD</t>
        </is>
      </c>
      <c r="D29" t="n">
        <v>3</v>
      </c>
      <c r="E29" t="n">
        <v>3</v>
      </c>
      <c r="F29" t="n">
        <v>84.25</v>
      </c>
      <c r="G29" t="n">
        <v>253</v>
      </c>
    </row>
    <row r="30">
      <c r="A30" s="2" t="n">
        <v>45797</v>
      </c>
      <c r="B30" t="inlineStr">
        <is>
          <t>CAT(US1491231015) Cash Dividend USD 1.41 per Share (Ordinary Dividend)</t>
        </is>
      </c>
      <c r="C30" t="inlineStr">
        <is>
          <t>USD</t>
        </is>
      </c>
      <c r="D30" t="n">
        <v>4.23</v>
      </c>
      <c r="E30" t="n">
        <v>4.23</v>
      </c>
      <c r="F30" t="n">
        <v>84.25</v>
      </c>
      <c r="G30" t="n">
        <v>356</v>
      </c>
    </row>
    <row r="31">
      <c r="A31" s="2" t="n">
        <v>45810</v>
      </c>
      <c r="B31" t="inlineStr">
        <is>
          <t>TGT(US87612E1064) Cash Dividend USD 1.12 per Share (Ordinary Dividend)</t>
        </is>
      </c>
      <c r="C31" t="inlineStr">
        <is>
          <t>USD</t>
        </is>
      </c>
      <c r="D31" t="n">
        <v>10.08</v>
      </c>
      <c r="E31" t="n">
        <v>10.08</v>
      </c>
      <c r="F31" t="n">
        <v>85.09999999999999</v>
      </c>
      <c r="G31" t="n">
        <v>858</v>
      </c>
    </row>
    <row r="32">
      <c r="A32" s="2" t="n">
        <v>45813</v>
      </c>
      <c r="B32" t="inlineStr">
        <is>
          <t>TIP(US4642871762) Cash Dividend USD 0.273105 per Share (Ordinary Dividend)</t>
        </is>
      </c>
      <c r="C32" t="inlineStr">
        <is>
          <t>USD</t>
        </is>
      </c>
      <c r="D32" t="n">
        <v>3.28</v>
      </c>
      <c r="E32" t="n">
        <v>3.28</v>
      </c>
      <c r="F32" t="n">
        <v>85.09999999999999</v>
      </c>
      <c r="G32" t="n">
        <v>279</v>
      </c>
    </row>
    <row r="33">
      <c r="A33" s="2" t="n">
        <v>45818</v>
      </c>
      <c r="B33" t="inlineStr">
        <is>
          <t>LLY(US5324571083) Cash Dividend USD 1.50 per Share (Ordinary Dividend)</t>
        </is>
      </c>
      <c r="C33" t="inlineStr">
        <is>
          <t>USD</t>
        </is>
      </c>
      <c r="D33" t="n">
        <v>2.58</v>
      </c>
      <c r="E33" t="n">
        <v>2.58</v>
      </c>
      <c r="F33" t="n">
        <v>85.09999999999999</v>
      </c>
      <c r="G33" t="n">
        <v>220</v>
      </c>
    </row>
    <row r="34">
      <c r="A34" s="2" t="n">
        <v>45820</v>
      </c>
      <c r="B34" t="inlineStr">
        <is>
          <t>MSFT(US5949181045) Cash Dividend USD 0.83 per Share (Ordinary Dividend)</t>
        </is>
      </c>
      <c r="C34" t="inlineStr">
        <is>
          <t>USD</t>
        </is>
      </c>
      <c r="D34" t="n">
        <v>2.49</v>
      </c>
      <c r="E34" t="n">
        <v>2.49</v>
      </c>
      <c r="F34" t="n">
        <v>85.09999999999999</v>
      </c>
      <c r="G34" t="n">
        <v>212</v>
      </c>
    </row>
    <row r="35">
      <c r="A35" s="2" t="n">
        <v>45820</v>
      </c>
      <c r="B35" t="inlineStr">
        <is>
          <t>RTX(US75513E1010) Cash Dividend USD 0.68 per Share (Ordinary Dividend)</t>
        </is>
      </c>
      <c r="C35" t="inlineStr">
        <is>
          <t>USD</t>
        </is>
      </c>
      <c r="D35" t="n">
        <v>3.4</v>
      </c>
      <c r="E35" t="n">
        <v>3.4</v>
      </c>
      <c r="F35" t="n">
        <v>85.09999999999999</v>
      </c>
      <c r="G35" t="n">
        <v>289</v>
      </c>
    </row>
    <row r="36">
      <c r="A36" s="2" t="n">
        <v>45828</v>
      </c>
      <c r="B36" t="inlineStr">
        <is>
          <t>MCHI(US46429B6719) Cash Dividend USD 0.535561 per Share (Ordinary Dividend)</t>
        </is>
      </c>
      <c r="C36" t="inlineStr">
        <is>
          <t>USD</t>
        </is>
      </c>
      <c r="D36" t="n">
        <v>6.43</v>
      </c>
      <c r="E36" t="n">
        <v>6.43</v>
      </c>
      <c r="F36" t="n">
        <v>85.09999999999999</v>
      </c>
      <c r="G36" t="n">
        <v>547</v>
      </c>
    </row>
    <row r="37">
      <c r="A37" s="2" t="n">
        <v>45831</v>
      </c>
      <c r="B37" t="inlineStr">
        <is>
          <t>SHELL.DVD(NL0015002HW4) Expire Dividend Right (Ordinary Dividend)</t>
        </is>
      </c>
      <c r="C37" t="inlineStr">
        <is>
          <t>EUR</t>
        </is>
      </c>
      <c r="D37" t="n">
        <v>5.96</v>
      </c>
      <c r="E37" t="n">
        <v>7.0006</v>
      </c>
      <c r="F37" t="n">
        <v>85.09999999999999</v>
      </c>
      <c r="G37" t="n">
        <v>596</v>
      </c>
    </row>
    <row r="38">
      <c r="A38" s="2" t="n">
        <v>45835</v>
      </c>
      <c r="B38" t="inlineStr">
        <is>
          <t>BAC(US0605051046) Cash Dividend USD 0.26 per Share (Ordinary Dividend)</t>
        </is>
      </c>
      <c r="C38" t="inlineStr">
        <is>
          <t>USD</t>
        </is>
      </c>
      <c r="D38" t="n">
        <v>3.64</v>
      </c>
      <c r="E38" t="n">
        <v>3.64</v>
      </c>
      <c r="F38" t="n">
        <v>85.09999999999999</v>
      </c>
      <c r="G38" t="n">
        <v>310</v>
      </c>
    </row>
    <row r="39">
      <c r="A39" s="2" t="n">
        <v>45845</v>
      </c>
      <c r="B39" t="inlineStr">
        <is>
          <t>TIP(US4642871762) Cash Dividend USD 0.379923 per Share (Ordinary Dividend)</t>
        </is>
      </c>
      <c r="C39" t="inlineStr">
        <is>
          <t>USD</t>
        </is>
      </c>
      <c r="D39" t="n">
        <v>4.56</v>
      </c>
      <c r="E39" t="n">
        <v>4.56</v>
      </c>
      <c r="F39" t="n">
        <v>85.09999999999999</v>
      </c>
      <c r="G39" t="n">
        <v>388</v>
      </c>
    </row>
    <row r="40">
      <c r="A40" s="2" t="n">
        <v>45848</v>
      </c>
      <c r="B40" t="inlineStr">
        <is>
          <t>TSM(US8740391003) Cash Dividend USD 0.780305 per Share (Ordinary Div - NRA Withholding Exempt)</t>
        </is>
      </c>
      <c r="C40" t="inlineStr">
        <is>
          <t>USD</t>
        </is>
      </c>
      <c r="D40" t="n">
        <v>2.34</v>
      </c>
      <c r="E40" t="n">
        <v>2.34</v>
      </c>
      <c r="F40" t="n">
        <v>85.09999999999999</v>
      </c>
      <c r="G40" t="n">
        <v>199</v>
      </c>
    </row>
    <row r="41">
      <c r="A41" s="2" t="n">
        <v>45863</v>
      </c>
      <c r="B41" t="inlineStr">
        <is>
          <t>GE(US3696043013) Cash Dividend USD 0.36 per Share (Ordinary Dividend)</t>
        </is>
      </c>
      <c r="C41" t="inlineStr">
        <is>
          <t>USD</t>
        </is>
      </c>
      <c r="D41" t="n">
        <v>2.16</v>
      </c>
      <c r="E41" t="n">
        <v>2.16</v>
      </c>
      <c r="F41" t="n">
        <v>85.09999999999999</v>
      </c>
      <c r="G41" t="n">
        <v>184</v>
      </c>
    </row>
    <row r="42">
      <c r="A42" s="2" t="n">
        <v>45869</v>
      </c>
      <c r="B42" t="inlineStr">
        <is>
          <t>3188(HK0000123577) Cash Dividend CNH 0.53 per Share (Ordinary Dividend)</t>
        </is>
      </c>
      <c r="C42" t="inlineStr">
        <is>
          <t>CNH</t>
        </is>
      </c>
      <c r="D42" t="n">
        <v>106</v>
      </c>
      <c r="E42" t="n">
        <v>15.6986</v>
      </c>
      <c r="F42" t="n">
        <v>85.09999999999999</v>
      </c>
      <c r="G42" t="n">
        <v>1336</v>
      </c>
    </row>
    <row r="43">
      <c r="A43" s="2" t="n">
        <v>45875</v>
      </c>
      <c r="B43" t="inlineStr">
        <is>
          <t>3416(HK0000978954) Cash Dividend HKD 0.15 per Share (Ordinary Dividend)</t>
        </is>
      </c>
      <c r="C43" t="inlineStr">
        <is>
          <t>HKD</t>
        </is>
      </c>
      <c r="D43" t="n">
        <v>150</v>
      </c>
      <c r="E43" t="n">
        <v>19.2735</v>
      </c>
      <c r="F43" t="n">
        <v>87.15000000000001</v>
      </c>
      <c r="G43" t="n">
        <v>1680</v>
      </c>
    </row>
    <row r="44">
      <c r="A44" s="2" t="n">
        <v>45875</v>
      </c>
      <c r="B44" t="inlineStr">
        <is>
          <t>TIP(US4642871762) Cash Dividend USD 0.264488 per Share (Ordinary Dividend)</t>
        </is>
      </c>
      <c r="C44" t="inlineStr">
        <is>
          <t>USD</t>
        </is>
      </c>
      <c r="D44" t="n">
        <v>3.17</v>
      </c>
      <c r="E44" t="n">
        <v>3.17</v>
      </c>
      <c r="F44" t="n">
        <v>87.15000000000001</v>
      </c>
      <c r="G44" t="n">
        <v>276</v>
      </c>
    </row>
    <row r="45">
      <c r="A45" s="2" t="n">
        <v>45877</v>
      </c>
      <c r="B45" t="inlineStr">
        <is>
          <t>AXP(US0258161092) Cash Dividend USD 0.82 per Share (Ordinary Dividend)</t>
        </is>
      </c>
      <c r="C45" t="inlineStr">
        <is>
          <t>USD</t>
        </is>
      </c>
      <c r="D45" t="n">
        <v>3.28</v>
      </c>
      <c r="E45" t="n">
        <v>3.28</v>
      </c>
      <c r="F45" t="n">
        <v>87.15000000000001</v>
      </c>
      <c r="G45" t="n">
        <v>286</v>
      </c>
    </row>
    <row r="46">
      <c r="A46" s="2" t="n">
        <v>45877</v>
      </c>
      <c r="B46" t="inlineStr">
        <is>
          <t>GD(US3695501086) Cash Dividend USD 1.50 per Share (Ordinary Dividend)</t>
        </is>
      </c>
      <c r="C46" t="inlineStr">
        <is>
          <t>USD</t>
        </is>
      </c>
      <c r="D46" t="n">
        <v>3</v>
      </c>
      <c r="E46" t="n">
        <v>3</v>
      </c>
      <c r="F46" t="n">
        <v>87.15000000000001</v>
      </c>
      <c r="G46" t="n">
        <v>261</v>
      </c>
    </row>
    <row r="47">
      <c r="A47" s="2" t="n">
        <v>45880</v>
      </c>
      <c r="B47" t="inlineStr">
        <is>
          <t>BX(US09260D1072) Cash Dividend USD 1.03 per Share (Ordinary Dividend)</t>
        </is>
      </c>
      <c r="C47" t="inlineStr">
        <is>
          <t>USD</t>
        </is>
      </c>
      <c r="D47" t="n">
        <v>12.36</v>
      </c>
      <c r="E47" t="n">
        <v>12.36</v>
      </c>
      <c r="F47" t="n">
        <v>87.15000000000001</v>
      </c>
      <c r="G47" t="n">
        <v>1077</v>
      </c>
    </row>
    <row r="48">
      <c r="A48" s="2" t="n">
        <v>45889</v>
      </c>
      <c r="B48" t="inlineStr">
        <is>
          <t>CAT(US1491231015) Cash Dividend USD 1.51 per Share (Ordinary Dividend)</t>
        </is>
      </c>
      <c r="C48" t="inlineStr">
        <is>
          <t>USD</t>
        </is>
      </c>
      <c r="D48" t="n">
        <v>4.53</v>
      </c>
      <c r="E48" t="n">
        <v>4.53</v>
      </c>
      <c r="F48" t="n">
        <v>87.15000000000001</v>
      </c>
      <c r="G48" t="n">
        <v>395</v>
      </c>
    </row>
    <row r="49">
      <c r="A49" s="2" t="n">
        <v>45902</v>
      </c>
      <c r="B49" t="inlineStr">
        <is>
          <t>TGT(US87612E1064) Cash Dividend USD 1.14 per Share (Ordinary Dividend)</t>
        </is>
      </c>
      <c r="C49" t="inlineStr">
        <is>
          <t>USD</t>
        </is>
      </c>
      <c r="D49" t="n">
        <v>10.26</v>
      </c>
      <c r="E49" t="n">
        <v>10.26</v>
      </c>
      <c r="F49" t="n">
        <v>87.7</v>
      </c>
      <c r="G49" t="n">
        <v>900</v>
      </c>
    </row>
    <row r="50">
      <c r="A50" s="2" t="n">
        <v>45904</v>
      </c>
      <c r="B50" t="inlineStr">
        <is>
          <t>3416(HK0000978954) Cash Dividend HKD 0.14 per Share (Ordinary Dividend)</t>
        </is>
      </c>
      <c r="C50" t="inlineStr">
        <is>
          <t>HKD</t>
        </is>
      </c>
      <c r="D50" t="n">
        <v>140</v>
      </c>
      <c r="E50" t="n">
        <v>17.9886</v>
      </c>
      <c r="F50" t="n">
        <v>87.7</v>
      </c>
      <c r="G50" t="n">
        <v>1578</v>
      </c>
    </row>
    <row r="51">
      <c r="A51" s="2" t="n">
        <v>45904</v>
      </c>
      <c r="B51" t="inlineStr">
        <is>
          <t>RTX(US75513E1010) Cash Dividend USD 0.68 per Share (Ordinary Dividend)</t>
        </is>
      </c>
      <c r="C51" t="inlineStr">
        <is>
          <t>USD</t>
        </is>
      </c>
      <c r="D51" t="n">
        <v>3.4</v>
      </c>
      <c r="E51" t="n">
        <v>3.4</v>
      </c>
      <c r="F51" t="n">
        <v>87.7</v>
      </c>
      <c r="G51" t="n">
        <v>298</v>
      </c>
    </row>
    <row r="52">
      <c r="A52" s="2" t="n">
        <v>45905</v>
      </c>
      <c r="B52" t="inlineStr">
        <is>
          <t>TIP(US4642871762) Cash Dividend USD 0.417238 per Share (Ordinary Dividend)</t>
        </is>
      </c>
      <c r="C52" t="inlineStr">
        <is>
          <t>USD</t>
        </is>
      </c>
      <c r="D52" t="n">
        <v>5.01</v>
      </c>
      <c r="E52" t="n">
        <v>5.01</v>
      </c>
      <c r="F52" t="n">
        <v>87.7</v>
      </c>
      <c r="G52" t="n">
        <v>439</v>
      </c>
    </row>
    <row r="53">
      <c r="A53" s="2" t="n">
        <v>45910</v>
      </c>
      <c r="B53" t="inlineStr">
        <is>
          <t>LLY(US5324571083) Cash Dividend USD 1.50 per Share (Ordinary Dividend)</t>
        </is>
      </c>
      <c r="C53" t="inlineStr">
        <is>
          <t>USD</t>
        </is>
      </c>
      <c r="D53" t="n">
        <v>2.58</v>
      </c>
      <c r="E53" t="n">
        <v>2.58</v>
      </c>
      <c r="F53" t="n">
        <v>87.7</v>
      </c>
      <c r="G53" t="n">
        <v>226</v>
      </c>
    </row>
    <row r="54">
      <c r="A54" s="2" t="n">
        <v>45911</v>
      </c>
      <c r="B54" t="inlineStr">
        <is>
          <t>MSFT(US5949181045) Cash Dividend USD 0.83 per Share (Ordinary Dividend)</t>
        </is>
      </c>
      <c r="C54" t="inlineStr">
        <is>
          <t>USD</t>
        </is>
      </c>
      <c r="D54" t="n">
        <v>2.49</v>
      </c>
      <c r="E54" t="n">
        <v>2.49</v>
      </c>
      <c r="F54" t="n">
        <v>87.7</v>
      </c>
      <c r="G54" t="n">
        <v>218</v>
      </c>
    </row>
    <row r="55">
      <c r="A55" s="2" t="n">
        <v>45922</v>
      </c>
      <c r="B55" t="inlineStr">
        <is>
          <t>SHELL.DRS(NL0015002L33) Expire Dividend Right (Ordinary Dividend)</t>
        </is>
      </c>
      <c r="C55" t="inlineStr">
        <is>
          <t>EUR</t>
        </is>
      </c>
      <c r="D55" t="n">
        <v>11.66</v>
      </c>
      <c r="E55" t="n">
        <v>13.6958</v>
      </c>
      <c r="F55" t="n">
        <v>87.7</v>
      </c>
      <c r="G55" t="n">
        <v>1201</v>
      </c>
    </row>
    <row r="56">
      <c r="A56" s="2" t="n">
        <v>45926</v>
      </c>
      <c r="B56" t="inlineStr">
        <is>
          <t>BAC(US0605051046) Cash Dividend USD 0.28 per Share (Ordinary Dividend)</t>
        </is>
      </c>
      <c r="C56" t="inlineStr">
        <is>
          <t>USD</t>
        </is>
      </c>
      <c r="D56" t="n">
        <v>3.92</v>
      </c>
      <c r="E56" t="n">
        <v>3.92</v>
      </c>
      <c r="F56" t="n">
        <v>87.7</v>
      </c>
      <c r="G56" t="n">
        <v>344</v>
      </c>
    </row>
    <row r="57">
      <c r="A57" s="2" t="n">
        <v>45930</v>
      </c>
      <c r="B57" t="inlineStr">
        <is>
          <t>3110(HK0000151933) Cash Dividend HKD 1.60 per Share (Ordinary Dividend)</t>
        </is>
      </c>
      <c r="C57" t="inlineStr">
        <is>
          <t>HKD</t>
        </is>
      </c>
      <c r="D57" t="n">
        <v>480</v>
      </c>
      <c r="E57" t="n">
        <v>61.6752</v>
      </c>
      <c r="F57" t="n">
        <v>87.7</v>
      </c>
      <c r="G57" t="n">
        <v>5409</v>
      </c>
    </row>
    <row r="58">
      <c r="A58" s="2" t="n">
        <v>45936</v>
      </c>
      <c r="B58" t="inlineStr">
        <is>
          <t>TIP(US4642871762) Cash Dividend USD 0.198069 per Share (Ordinary Dividend)</t>
        </is>
      </c>
      <c r="C58" t="inlineStr">
        <is>
          <t>USD</t>
        </is>
      </c>
      <c r="D58" t="n">
        <v>2.38</v>
      </c>
      <c r="E58" t="n">
        <v>2.38</v>
      </c>
      <c r="F58" t="n">
        <v>88.34999999999999</v>
      </c>
      <c r="G58" t="n">
        <v>210</v>
      </c>
    </row>
    <row r="59">
      <c r="A59" s="2" t="n">
        <v>45938</v>
      </c>
      <c r="B59" t="inlineStr">
        <is>
          <t>3416(HK0000978954) Cash Dividend HKD 0.14 per Share (Ordinary Dividend)</t>
        </is>
      </c>
      <c r="C59" t="inlineStr">
        <is>
          <t>HKD</t>
        </is>
      </c>
      <c r="D59" t="n">
        <v>140</v>
      </c>
      <c r="E59" t="n">
        <v>17.9886</v>
      </c>
      <c r="F59" t="n">
        <v>88.34999999999999</v>
      </c>
      <c r="G59" t="n">
        <v>1589</v>
      </c>
    </row>
    <row r="60">
      <c r="A60" s="2" t="n">
        <v>45939</v>
      </c>
      <c r="B60" t="inlineStr">
        <is>
          <t>TSM(US8740391003) Cash Dividend USD 0.821965 per Share (Ordinary Div - NRA Withholding Exempt)</t>
        </is>
      </c>
      <c r="C60" t="inlineStr">
        <is>
          <t>USD</t>
        </is>
      </c>
      <c r="D60" t="n">
        <v>2.47</v>
      </c>
      <c r="E60" t="n">
        <v>2.47</v>
      </c>
      <c r="F60" t="n">
        <v>88.34999999999999</v>
      </c>
      <c r="G60" t="n">
        <v>218</v>
      </c>
    </row>
    <row r="61">
      <c r="A61" s="2" t="n">
        <v>45957</v>
      </c>
      <c r="B61" t="inlineStr">
        <is>
          <t>GE(US3696043013) Cash Dividend USD 0.36 per Share (Ordinary Dividend)</t>
        </is>
      </c>
      <c r="C61" t="inlineStr">
        <is>
          <t>USD</t>
        </is>
      </c>
      <c r="D61" t="n">
        <v>2.16</v>
      </c>
      <c r="E61" t="n">
        <v>2.16</v>
      </c>
      <c r="F61" t="n">
        <v>88.34999999999999</v>
      </c>
      <c r="G61" t="n">
        <v>191</v>
      </c>
    </row>
    <row r="62">
      <c r="A62" s="2" t="n">
        <v>45967</v>
      </c>
      <c r="B62" t="inlineStr">
        <is>
          <t>3416(HK0000978954) Cash Dividend HKD 0.14 per Share (Ordinary Dividend)</t>
        </is>
      </c>
      <c r="C62" t="inlineStr">
        <is>
          <t>HKD</t>
        </is>
      </c>
      <c r="D62" t="n">
        <v>140</v>
      </c>
      <c r="E62" t="n">
        <v>17.9886</v>
      </c>
      <c r="F62" t="n">
        <v>88.2</v>
      </c>
      <c r="G62" t="n">
        <v>1587</v>
      </c>
    </row>
    <row r="63">
      <c r="A63" s="2" t="n">
        <v>45967</v>
      </c>
      <c r="B63" t="inlineStr">
        <is>
          <t>TIP(US4642871762) Cash Dividend USD 0.360933 per Share (Ordinary Dividend)</t>
        </is>
      </c>
      <c r="C63" t="inlineStr">
        <is>
          <t>USD</t>
        </is>
      </c>
      <c r="D63" t="n">
        <v>4.33</v>
      </c>
      <c r="E63" t="n">
        <v>4.33</v>
      </c>
      <c r="F63" t="n">
        <v>88.2</v>
      </c>
      <c r="G63" t="n">
        <v>382</v>
      </c>
    </row>
    <row r="64">
      <c r="A64" s="2" t="n">
        <v>45971</v>
      </c>
      <c r="B64" t="inlineStr">
        <is>
          <t>AXP(US0258161092) Cash Dividend USD 0.82 per Share (Ordinary Dividend)</t>
        </is>
      </c>
      <c r="C64" t="inlineStr">
        <is>
          <t>USD</t>
        </is>
      </c>
      <c r="D64" t="n">
        <v>3.28</v>
      </c>
      <c r="E64" t="n">
        <v>3.28</v>
      </c>
      <c r="F64" t="n">
        <v>88.2</v>
      </c>
      <c r="G64" t="n">
        <v>289</v>
      </c>
    </row>
    <row r="65">
      <c r="A65" s="2" t="n">
        <v>45971</v>
      </c>
      <c r="B65" t="inlineStr">
        <is>
          <t>BX(US09260D1072) Cash Dividend USD 1.29 per Share (Ordinary Dividend)</t>
        </is>
      </c>
      <c r="C65" t="inlineStr">
        <is>
          <t>USD</t>
        </is>
      </c>
      <c r="D65" t="n">
        <v>15.48</v>
      </c>
      <c r="E65" t="n">
        <v>15.48</v>
      </c>
      <c r="F65" t="n">
        <v>88.2</v>
      </c>
      <c r="G65" t="n">
        <v>1365</v>
      </c>
    </row>
    <row r="66">
      <c r="A66" s="2" t="n">
        <v>45975</v>
      </c>
      <c r="B66" t="inlineStr">
        <is>
          <t>GD(US3695501086) Cash Dividend USD 1.50 per Share (Ordinary Dividend)</t>
        </is>
      </c>
      <c r="C66" t="inlineStr">
        <is>
          <t>USD</t>
        </is>
      </c>
      <c r="D66" t="n">
        <v>3</v>
      </c>
      <c r="E66" t="n">
        <v>3</v>
      </c>
      <c r="F66" t="n">
        <v>88.2</v>
      </c>
      <c r="G66" t="n">
        <v>265</v>
      </c>
    </row>
    <row r="67">
      <c r="A67" s="2" t="n">
        <v>45981</v>
      </c>
      <c r="B67" t="inlineStr">
        <is>
          <t>CAT(US1491231015) Cash Dividend USD 1.51 per Share (Ordinary Dividend)</t>
        </is>
      </c>
      <c r="C67" t="inlineStr">
        <is>
          <t>USD</t>
        </is>
      </c>
      <c r="D67" t="n">
        <v>4.53</v>
      </c>
      <c r="E67" t="n">
        <v>4.53</v>
      </c>
      <c r="F67" t="n">
        <v>88.2</v>
      </c>
      <c r="G67" t="n">
        <v>400</v>
      </c>
    </row>
    <row r="68">
      <c r="A68" s="2" t="n">
        <v>45992</v>
      </c>
      <c r="B68" t="inlineStr">
        <is>
          <t>TGT(US87612E1064) Cash Dividend USD 1.14 per Share (Ordinary Dividend)</t>
        </is>
      </c>
      <c r="C68" t="inlineStr">
        <is>
          <t>USD</t>
        </is>
      </c>
      <c r="D68" t="n">
        <v>22.8</v>
      </c>
      <c r="E68" t="n">
        <v>22.8</v>
      </c>
      <c r="F68" t="n">
        <v>88.95</v>
      </c>
      <c r="G68" t="n">
        <v>2028</v>
      </c>
    </row>
    <row r="69">
      <c r="A69" s="2" t="n">
        <v>45995</v>
      </c>
      <c r="B69" t="inlineStr">
        <is>
          <t>3416(HK0000978954) Cash Dividend HKD 0.14 per Share (Ordinary Dividend)</t>
        </is>
      </c>
      <c r="C69" t="inlineStr">
        <is>
          <t>HKD</t>
        </is>
      </c>
      <c r="D69" t="n">
        <v>140</v>
      </c>
      <c r="E69" t="n">
        <v>17.9886</v>
      </c>
      <c r="F69" t="n">
        <v>88.95</v>
      </c>
      <c r="G69" t="n">
        <v>1600</v>
      </c>
    </row>
    <row r="70">
      <c r="A70" s="2" t="n">
        <v>45995</v>
      </c>
      <c r="B70" t="inlineStr">
        <is>
          <t>TIP(US4642871762) Cash Dividend USD 0.322417 per Share (Ordinary Dividend)</t>
        </is>
      </c>
      <c r="C70" t="inlineStr">
        <is>
          <t>USD</t>
        </is>
      </c>
      <c r="D70" t="n">
        <v>3.87</v>
      </c>
      <c r="E70" t="n">
        <v>3.87</v>
      </c>
      <c r="F70" t="n">
        <v>88.95</v>
      </c>
      <c r="G70" t="n">
        <v>344</v>
      </c>
    </row>
    <row r="71">
      <c r="A71" s="2" t="n">
        <v>46001</v>
      </c>
      <c r="B71" t="inlineStr">
        <is>
          <t>4568.T(JP3475350009) Cash Dividend JPY 39 per Share (Ordinary Dividend)</t>
        </is>
      </c>
      <c r="C71" t="inlineStr">
        <is>
          <t>JPY</t>
        </is>
      </c>
      <c r="D71" t="n">
        <v>3900</v>
      </c>
      <c r="E71" t="n">
        <v>24.8925</v>
      </c>
      <c r="F71" t="n">
        <v>88.95</v>
      </c>
      <c r="G71" t="n">
        <v>2214</v>
      </c>
    </row>
    <row r="72">
      <c r="A72" s="2" t="n">
        <v>46001</v>
      </c>
      <c r="B72" t="inlineStr">
        <is>
          <t>LLY(US5324571083) Cash Dividend USD 1.50 per Share (Ordinary Dividend)</t>
        </is>
      </c>
      <c r="C72" t="inlineStr">
        <is>
          <t>USD</t>
        </is>
      </c>
      <c r="D72" t="n">
        <v>2.58</v>
      </c>
      <c r="E72" t="n">
        <v>2.58</v>
      </c>
      <c r="F72" t="n">
        <v>88.95</v>
      </c>
      <c r="G72" t="n">
        <v>229</v>
      </c>
    </row>
    <row r="73">
      <c r="A73" s="2" t="n">
        <v>46002</v>
      </c>
      <c r="B73" t="inlineStr">
        <is>
          <t>MSFT(US5949181045) Cash Dividend USD 0.91 per Share (Ordinary Dividend)</t>
        </is>
      </c>
      <c r="C73" t="inlineStr">
        <is>
          <t>USD</t>
        </is>
      </c>
      <c r="D73" t="n">
        <v>2.73</v>
      </c>
      <c r="E73" t="n">
        <v>2.73</v>
      </c>
      <c r="F73" t="n">
        <v>88.95</v>
      </c>
      <c r="G73" t="n">
        <v>243</v>
      </c>
    </row>
    <row r="74">
      <c r="A74" s="2" t="n">
        <v>46002</v>
      </c>
      <c r="B74" t="inlineStr">
        <is>
          <t>RTX(US75513E1010) Cash Dividend USD 0.68 per Share (Ordinary Dividend)</t>
        </is>
      </c>
      <c r="C74" t="inlineStr">
        <is>
          <t>USD</t>
        </is>
      </c>
      <c r="D74" t="n">
        <v>3.4</v>
      </c>
      <c r="E74" t="n">
        <v>3.4</v>
      </c>
      <c r="F74" t="n">
        <v>88.95</v>
      </c>
      <c r="G74" t="n">
        <v>302</v>
      </c>
    </row>
    <row r="75">
      <c r="A75" s="2" t="n">
        <v>46009</v>
      </c>
      <c r="B75" t="inlineStr">
        <is>
          <t>SHELL1.DI(NL0015002SG4) Expire Dividend Right (Ordinary Dividend)</t>
        </is>
      </c>
      <c r="C75" t="inlineStr">
        <is>
          <t>EUR</t>
        </is>
      </c>
      <c r="D75" t="n">
        <v>11.67</v>
      </c>
      <c r="E75" t="n">
        <v>13.7076</v>
      </c>
      <c r="F75" t="n">
        <v>88.95</v>
      </c>
      <c r="G75" t="n">
        <v>1219</v>
      </c>
    </row>
    <row r="76">
      <c r="A76" s="2" t="n">
        <v>46010</v>
      </c>
      <c r="B76" t="inlineStr">
        <is>
          <t>MCHI(US46429B6719) Cash Dividend USD 0.735007 per Share (Ordinary Dividend)</t>
        </is>
      </c>
      <c r="C76" t="inlineStr">
        <is>
          <t>USD</t>
        </is>
      </c>
      <c r="D76" t="n">
        <v>8.82</v>
      </c>
      <c r="E76" t="n">
        <v>8.82</v>
      </c>
      <c r="F76" t="n">
        <v>88.95</v>
      </c>
      <c r="G76" t="n">
        <v>785</v>
      </c>
    </row>
    <row r="77">
      <c r="A77" s="2" t="n">
        <v>46014</v>
      </c>
      <c r="B77" t="inlineStr">
        <is>
          <t>META(US30303M1027) Cash Dividend USD 0.525 per Share (Ordinary Dividend)</t>
        </is>
      </c>
      <c r="C77" t="inlineStr">
        <is>
          <t>USD</t>
        </is>
      </c>
      <c r="D77" t="n">
        <v>1.05</v>
      </c>
      <c r="E77" t="n">
        <v>1.05</v>
      </c>
      <c r="F77" t="n">
        <v>88.95</v>
      </c>
      <c r="G77" t="n">
        <v>93</v>
      </c>
    </row>
    <row r="78">
      <c r="A78" s="2" t="n">
        <v>46015</v>
      </c>
      <c r="B78" t="inlineStr">
        <is>
          <t>TIP(US4642871762) Cash Dividend USD 0.341961 per Share (Ordinary Dividend)</t>
        </is>
      </c>
      <c r="C78" t="inlineStr">
        <is>
          <t>USD</t>
        </is>
      </c>
      <c r="D78" t="n">
        <v>4.1</v>
      </c>
      <c r="E78" t="n">
        <v>4.1</v>
      </c>
      <c r="F78" t="n">
        <v>88.95</v>
      </c>
      <c r="G78" t="n">
        <v>365</v>
      </c>
    </row>
    <row r="79">
      <c r="A79" s="2" t="n">
        <v>46017</v>
      </c>
      <c r="B79" t="inlineStr">
        <is>
          <t>BAC(US0605051046) Cash Dividend USD 0.28 per Share (Ordinary Dividend)</t>
        </is>
      </c>
      <c r="C79" t="inlineStr">
        <is>
          <t>USD</t>
        </is>
      </c>
      <c r="D79" t="n">
        <v>3.92</v>
      </c>
      <c r="E79" t="n">
        <v>3.92</v>
      </c>
      <c r="F79" t="n">
        <v>88.95</v>
      </c>
      <c r="G79" t="n">
        <v>349</v>
      </c>
    </row>
    <row r="80">
      <c r="A80" s="2" t="n">
        <v>46022</v>
      </c>
      <c r="B80" t="inlineStr">
        <is>
          <t>3088(HK0000643327) Cash Dividend HKD 0.02 per Share (Ordinary Dividend)</t>
        </is>
      </c>
      <c r="C80" t="inlineStr">
        <is>
          <t>HKD</t>
        </is>
      </c>
      <c r="D80" t="n">
        <v>12</v>
      </c>
      <c r="E80" t="n">
        <v>1.5419</v>
      </c>
      <c r="F80" t="n">
        <v>88.95</v>
      </c>
      <c r="G80" t="n">
        <v>137</v>
      </c>
    </row>
    <row r="81">
      <c r="B81" t="inlineStr">
        <is>
          <t>TOTAL DIVIDENDS</t>
        </is>
      </c>
      <c r="E81" t="n">
        <v>526.33</v>
      </c>
      <c r="G81" t="n">
        <v>45926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Financial Year 2025-26 (01-Apr-2025 to 31-Mar-2026) for ITR income schedules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45904</v>
      </c>
      <c r="B4" t="inlineStr">
        <is>
          <t>USD Debit Interest for Aug-2025</t>
        </is>
      </c>
      <c r="C4" t="inlineStr">
        <is>
          <t>USD</t>
        </is>
      </c>
      <c r="D4" t="n">
        <v>-0.04</v>
      </c>
      <c r="E4" t="n">
        <v>-0.04</v>
      </c>
      <c r="F4" t="n">
        <v>87.7</v>
      </c>
      <c r="G4" t="n">
        <v>-4</v>
      </c>
    </row>
    <row r="5">
      <c r="A5" s="2" t="n">
        <v>45933</v>
      </c>
      <c r="B5" t="inlineStr">
        <is>
          <t>USD Debit Interest for Sep-2025</t>
        </is>
      </c>
      <c r="C5" t="inlineStr">
        <is>
          <t>USD</t>
        </is>
      </c>
      <c r="D5" t="n">
        <v>-0.01</v>
      </c>
      <c r="E5" t="n">
        <v>-0.01</v>
      </c>
      <c r="F5" t="n">
        <v>88.34999999999999</v>
      </c>
      <c r="G5" t="n">
        <v>-1</v>
      </c>
    </row>
    <row r="6">
      <c r="A6" s="2" t="n">
        <v>45966</v>
      </c>
      <c r="B6" t="inlineStr">
        <is>
          <t>USD Debit Interest for Oct-2025</t>
        </is>
      </c>
      <c r="C6" t="inlineStr">
        <is>
          <t>USD</t>
        </is>
      </c>
      <c r="D6" t="n">
        <v>-0.02</v>
      </c>
      <c r="E6" t="n">
        <v>-0.02</v>
      </c>
      <c r="F6" t="n">
        <v>88.2</v>
      </c>
      <c r="G6" t="n">
        <v>-2</v>
      </c>
    </row>
    <row r="7">
      <c r="A7" s="2" t="n">
        <v>45994</v>
      </c>
      <c r="B7" t="inlineStr">
        <is>
          <t>USD Debit Interest for Nov-2025</t>
        </is>
      </c>
      <c r="C7" t="inlineStr">
        <is>
          <t>USD</t>
        </is>
      </c>
      <c r="D7" t="n">
        <v>-0.02</v>
      </c>
      <c r="E7" t="n">
        <v>-0.02</v>
      </c>
      <c r="F7" t="n">
        <v>88.95</v>
      </c>
      <c r="G7" t="n">
        <v>-2</v>
      </c>
    </row>
    <row r="8">
      <c r="A8" s="2" t="n">
        <v>46057</v>
      </c>
      <c r="B8" t="inlineStr">
        <is>
          <t>USD Debit Interest for Jan-2026</t>
        </is>
      </c>
      <c r="C8" t="inlineStr">
        <is>
          <t>USD</t>
        </is>
      </c>
      <c r="D8" t="n">
        <v>-0.04</v>
      </c>
      <c r="E8" t="n">
        <v>-0.04</v>
      </c>
      <c r="F8" t="n">
        <v>91.34999999999999</v>
      </c>
      <c r="G8" t="n">
        <v>-4</v>
      </c>
    </row>
    <row r="9">
      <c r="B9" t="inlineStr">
        <is>
          <t>TOTAL INTEREST</t>
        </is>
      </c>
      <c r="E9" t="n">
        <v>-0.13</v>
      </c>
      <c r="G9" t="n">
        <v>-12</v>
      </c>
    </row>
    <row r="11">
      <c r="A11" t="inlineStr">
        <is>
          <t>— DIVIDENDS —</t>
        </is>
      </c>
    </row>
    <row r="12">
      <c r="A12" s="2" t="n">
        <v>45751</v>
      </c>
      <c r="B12" t="inlineStr">
        <is>
          <t>TIP(US4642871762) Cash Dividend USD 0.70918 per Share (Ordinary Dividend)</t>
        </is>
      </c>
      <c r="C12" t="inlineStr">
        <is>
          <t>USD</t>
        </is>
      </c>
      <c r="D12" t="n">
        <v>8.51</v>
      </c>
      <c r="E12" t="n">
        <v>8.51</v>
      </c>
      <c r="F12" t="n">
        <v>85.09999999999999</v>
      </c>
      <c r="G12" t="n">
        <v>724</v>
      </c>
    </row>
    <row r="13">
      <c r="A13" s="2" t="n">
        <v>45757</v>
      </c>
      <c r="B13" t="inlineStr">
        <is>
          <t>TSM(US8740391003) Cash Dividend USD 0.677693 per Share (Ordinary Div - NRA Withholding Exempt)</t>
        </is>
      </c>
      <c r="C13" t="inlineStr">
        <is>
          <t>USD</t>
        </is>
      </c>
      <c r="D13" t="n">
        <v>2.04</v>
      </c>
      <c r="E13" t="n">
        <v>2.04</v>
      </c>
      <c r="F13" t="n">
        <v>85.09999999999999</v>
      </c>
      <c r="G13" t="n">
        <v>174</v>
      </c>
    </row>
    <row r="14">
      <c r="A14" s="2" t="n">
        <v>45771</v>
      </c>
      <c r="B14" t="inlineStr">
        <is>
          <t>AIR(NL0000235190) Cash Dividend EUR 1.00 per Share (Bonus Dividend)</t>
        </is>
      </c>
      <c r="C14" t="inlineStr">
        <is>
          <t>EUR</t>
        </is>
      </c>
      <c r="D14" t="n">
        <v>6</v>
      </c>
      <c r="E14" t="n">
        <v>7.0476</v>
      </c>
      <c r="F14" t="n">
        <v>85.09999999999999</v>
      </c>
      <c r="G14" t="n">
        <v>600</v>
      </c>
    </row>
    <row r="15">
      <c r="A15" s="2" t="n">
        <v>45771</v>
      </c>
      <c r="B15" t="inlineStr">
        <is>
          <t>AIR(NL0000235190) Cash Dividend EUR 2.00 per Share (Ordinary Dividend)</t>
        </is>
      </c>
      <c r="C15" t="inlineStr">
        <is>
          <t>EUR</t>
        </is>
      </c>
      <c r="D15" t="n">
        <v>12</v>
      </c>
      <c r="E15" t="n">
        <v>14.0952</v>
      </c>
      <c r="F15" t="n">
        <v>85.09999999999999</v>
      </c>
      <c r="G15" t="n">
        <v>1200</v>
      </c>
    </row>
    <row r="16">
      <c r="A16" s="2" t="n">
        <v>45772</v>
      </c>
      <c r="B16" t="inlineStr">
        <is>
          <t>GE(US3696043013) Cash Dividend USD 0.36 per Share (Ordinary Dividend)</t>
        </is>
      </c>
      <c r="C16" t="inlineStr">
        <is>
          <t>USD</t>
        </is>
      </c>
      <c r="D16" t="n">
        <v>2.16</v>
      </c>
      <c r="E16" t="n">
        <v>2.16</v>
      </c>
      <c r="F16" t="n">
        <v>85.09999999999999</v>
      </c>
      <c r="G16" t="n">
        <v>184</v>
      </c>
    </row>
    <row r="17">
      <c r="A17" s="2" t="n">
        <v>45782</v>
      </c>
      <c r="B17" t="inlineStr">
        <is>
          <t>BX(US09260D1072) Cash Dividend USD 0.93 per Share (Ordinary Dividend)</t>
        </is>
      </c>
      <c r="C17" t="inlineStr">
        <is>
          <t>USD</t>
        </is>
      </c>
      <c r="D17" t="n">
        <v>5.58</v>
      </c>
      <c r="E17" t="n">
        <v>5.58</v>
      </c>
      <c r="F17" t="n">
        <v>84.25</v>
      </c>
      <c r="G17" t="n">
        <v>470</v>
      </c>
    </row>
    <row r="18">
      <c r="A18" s="2" t="n">
        <v>45783</v>
      </c>
      <c r="B18" t="inlineStr">
        <is>
          <t>TIP(US4642871762) Cash Dividend USD 0.534953 per Share (Ordinary Dividend)</t>
        </is>
      </c>
      <c r="C18" t="inlineStr">
        <is>
          <t>USD</t>
        </is>
      </c>
      <c r="D18" t="n">
        <v>6.42</v>
      </c>
      <c r="E18" t="n">
        <v>6.42</v>
      </c>
      <c r="F18" t="n">
        <v>84.25</v>
      </c>
      <c r="G18" t="n">
        <v>541</v>
      </c>
    </row>
    <row r="19">
      <c r="A19" s="2" t="n">
        <v>45786</v>
      </c>
      <c r="B19" t="inlineStr">
        <is>
          <t>AXP(US0258161092) Cash Dividend USD 0.82 per Share (Ordinary Dividend)</t>
        </is>
      </c>
      <c r="C19" t="inlineStr">
        <is>
          <t>USD</t>
        </is>
      </c>
      <c r="D19" t="n">
        <v>1.64</v>
      </c>
      <c r="E19" t="n">
        <v>1.64</v>
      </c>
      <c r="F19" t="n">
        <v>84.25</v>
      </c>
      <c r="G19" t="n">
        <v>138</v>
      </c>
    </row>
    <row r="20">
      <c r="A20" s="2" t="n">
        <v>45786</v>
      </c>
      <c r="B20" t="inlineStr">
        <is>
          <t>GD(US3695501086) Cash Dividend USD 1.50 per Share (Ordinary Dividend)</t>
        </is>
      </c>
      <c r="C20" t="inlineStr">
        <is>
          <t>USD</t>
        </is>
      </c>
      <c r="D20" t="n">
        <v>3</v>
      </c>
      <c r="E20" t="n">
        <v>3</v>
      </c>
      <c r="F20" t="n">
        <v>84.25</v>
      </c>
      <c r="G20" t="n">
        <v>253</v>
      </c>
    </row>
    <row r="21">
      <c r="A21" s="2" t="n">
        <v>45797</v>
      </c>
      <c r="B21" t="inlineStr">
        <is>
          <t>CAT(US1491231015) Cash Dividend USD 1.41 per Share (Ordinary Dividend)</t>
        </is>
      </c>
      <c r="C21" t="inlineStr">
        <is>
          <t>USD</t>
        </is>
      </c>
      <c r="D21" t="n">
        <v>4.23</v>
      </c>
      <c r="E21" t="n">
        <v>4.23</v>
      </c>
      <c r="F21" t="n">
        <v>84.25</v>
      </c>
      <c r="G21" t="n">
        <v>356</v>
      </c>
    </row>
    <row r="22">
      <c r="A22" s="2" t="n">
        <v>45810</v>
      </c>
      <c r="B22" t="inlineStr">
        <is>
          <t>TGT(US87612E1064) Cash Dividend USD 1.12 per Share (Ordinary Dividend)</t>
        </is>
      </c>
      <c r="C22" t="inlineStr">
        <is>
          <t>USD</t>
        </is>
      </c>
      <c r="D22" t="n">
        <v>10.08</v>
      </c>
      <c r="E22" t="n">
        <v>10.08</v>
      </c>
      <c r="F22" t="n">
        <v>85.09999999999999</v>
      </c>
      <c r="G22" t="n">
        <v>858</v>
      </c>
    </row>
    <row r="23">
      <c r="A23" s="2" t="n">
        <v>45813</v>
      </c>
      <c r="B23" t="inlineStr">
        <is>
          <t>TIP(US4642871762) Cash Dividend USD 0.273105 per Share (Ordinary Dividend)</t>
        </is>
      </c>
      <c r="C23" t="inlineStr">
        <is>
          <t>USD</t>
        </is>
      </c>
      <c r="D23" t="n">
        <v>3.28</v>
      </c>
      <c r="E23" t="n">
        <v>3.28</v>
      </c>
      <c r="F23" t="n">
        <v>85.09999999999999</v>
      </c>
      <c r="G23" t="n">
        <v>279</v>
      </c>
    </row>
    <row r="24">
      <c r="A24" s="2" t="n">
        <v>45818</v>
      </c>
      <c r="B24" t="inlineStr">
        <is>
          <t>LLY(US5324571083) Cash Dividend USD 1.50 per Share (Ordinary Dividend)</t>
        </is>
      </c>
      <c r="C24" t="inlineStr">
        <is>
          <t>USD</t>
        </is>
      </c>
      <c r="D24" t="n">
        <v>2.58</v>
      </c>
      <c r="E24" t="n">
        <v>2.58</v>
      </c>
      <c r="F24" t="n">
        <v>85.09999999999999</v>
      </c>
      <c r="G24" t="n">
        <v>220</v>
      </c>
    </row>
    <row r="25">
      <c r="A25" s="2" t="n">
        <v>45820</v>
      </c>
      <c r="B25" t="inlineStr">
        <is>
          <t>MSFT(US5949181045) Cash Dividend USD 0.83 per Share (Ordinary Dividend)</t>
        </is>
      </c>
      <c r="C25" t="inlineStr">
        <is>
          <t>USD</t>
        </is>
      </c>
      <c r="D25" t="n">
        <v>2.49</v>
      </c>
      <c r="E25" t="n">
        <v>2.49</v>
      </c>
      <c r="F25" t="n">
        <v>85.09999999999999</v>
      </c>
      <c r="G25" t="n">
        <v>212</v>
      </c>
    </row>
    <row r="26">
      <c r="A26" s="2" t="n">
        <v>45820</v>
      </c>
      <c r="B26" t="inlineStr">
        <is>
          <t>RTX(US75513E1010) Cash Dividend USD 0.68 per Share (Ordinary Dividend)</t>
        </is>
      </c>
      <c r="C26" t="inlineStr">
        <is>
          <t>USD</t>
        </is>
      </c>
      <c r="D26" t="n">
        <v>3.4</v>
      </c>
      <c r="E26" t="n">
        <v>3.4</v>
      </c>
      <c r="F26" t="n">
        <v>85.09999999999999</v>
      </c>
      <c r="G26" t="n">
        <v>289</v>
      </c>
    </row>
    <row r="27">
      <c r="A27" s="2" t="n">
        <v>45828</v>
      </c>
      <c r="B27" t="inlineStr">
        <is>
          <t>MCHI(US46429B6719) Cash Dividend USD 0.535561 per Share (Ordinary Dividend)</t>
        </is>
      </c>
      <c r="C27" t="inlineStr">
        <is>
          <t>USD</t>
        </is>
      </c>
      <c r="D27" t="n">
        <v>6.43</v>
      </c>
      <c r="E27" t="n">
        <v>6.43</v>
      </c>
      <c r="F27" t="n">
        <v>85.09999999999999</v>
      </c>
      <c r="G27" t="n">
        <v>547</v>
      </c>
    </row>
    <row r="28">
      <c r="A28" s="2" t="n">
        <v>45831</v>
      </c>
      <c r="B28" t="inlineStr">
        <is>
          <t>SHELL.DVD(NL0015002HW4) Expire Dividend Right (Ordinary Dividend)</t>
        </is>
      </c>
      <c r="C28" t="inlineStr">
        <is>
          <t>EUR</t>
        </is>
      </c>
      <c r="D28" t="n">
        <v>5.96</v>
      </c>
      <c r="E28" t="n">
        <v>7.0006</v>
      </c>
      <c r="F28" t="n">
        <v>85.09999999999999</v>
      </c>
      <c r="G28" t="n">
        <v>596</v>
      </c>
    </row>
    <row r="29">
      <c r="A29" s="2" t="n">
        <v>45835</v>
      </c>
      <c r="B29" t="inlineStr">
        <is>
          <t>BAC(US0605051046) Cash Dividend USD 0.26 per Share (Ordinary Dividend)</t>
        </is>
      </c>
      <c r="C29" t="inlineStr">
        <is>
          <t>USD</t>
        </is>
      </c>
      <c r="D29" t="n">
        <v>3.64</v>
      </c>
      <c r="E29" t="n">
        <v>3.64</v>
      </c>
      <c r="F29" t="n">
        <v>85.09999999999999</v>
      </c>
      <c r="G29" t="n">
        <v>310</v>
      </c>
    </row>
    <row r="30">
      <c r="A30" s="2" t="n">
        <v>45845</v>
      </c>
      <c r="B30" t="inlineStr">
        <is>
          <t>TIP(US4642871762) Cash Dividend USD 0.379923 per Share (Ordinary Dividend)</t>
        </is>
      </c>
      <c r="C30" t="inlineStr">
        <is>
          <t>USD</t>
        </is>
      </c>
      <c r="D30" t="n">
        <v>4.56</v>
      </c>
      <c r="E30" t="n">
        <v>4.56</v>
      </c>
      <c r="F30" t="n">
        <v>85.09999999999999</v>
      </c>
      <c r="G30" t="n">
        <v>388</v>
      </c>
    </row>
    <row r="31">
      <c r="A31" s="2" t="n">
        <v>45848</v>
      </c>
      <c r="B31" t="inlineStr">
        <is>
          <t>TSM(US8740391003) Cash Dividend USD 0.780305 per Share (Ordinary Div - NRA Withholding Exempt)</t>
        </is>
      </c>
      <c r="C31" t="inlineStr">
        <is>
          <t>USD</t>
        </is>
      </c>
      <c r="D31" t="n">
        <v>2.34</v>
      </c>
      <c r="E31" t="n">
        <v>2.34</v>
      </c>
      <c r="F31" t="n">
        <v>85.09999999999999</v>
      </c>
      <c r="G31" t="n">
        <v>199</v>
      </c>
    </row>
    <row r="32">
      <c r="A32" s="2" t="n">
        <v>45863</v>
      </c>
      <c r="B32" t="inlineStr">
        <is>
          <t>GE(US3696043013) Cash Dividend USD 0.36 per Share (Ordinary Dividend)</t>
        </is>
      </c>
      <c r="C32" t="inlineStr">
        <is>
          <t>USD</t>
        </is>
      </c>
      <c r="D32" t="n">
        <v>2.16</v>
      </c>
      <c r="E32" t="n">
        <v>2.16</v>
      </c>
      <c r="F32" t="n">
        <v>85.09999999999999</v>
      </c>
      <c r="G32" t="n">
        <v>184</v>
      </c>
    </row>
    <row r="33">
      <c r="A33" s="2" t="n">
        <v>45869</v>
      </c>
      <c r="B33" t="inlineStr">
        <is>
          <t>3188(HK0000123577) Cash Dividend CNH 0.53 per Share (Ordinary Dividend)</t>
        </is>
      </c>
      <c r="C33" t="inlineStr">
        <is>
          <t>CNH</t>
        </is>
      </c>
      <c r="D33" t="n">
        <v>106</v>
      </c>
      <c r="E33" t="n">
        <v>15.6986</v>
      </c>
      <c r="F33" t="n">
        <v>85.09999999999999</v>
      </c>
      <c r="G33" t="n">
        <v>1336</v>
      </c>
    </row>
    <row r="34">
      <c r="A34" s="2" t="n">
        <v>45875</v>
      </c>
      <c r="B34" t="inlineStr">
        <is>
          <t>3416(HK0000978954) Cash Dividend HKD 0.15 per Share (Ordinary Dividend)</t>
        </is>
      </c>
      <c r="C34" t="inlineStr">
        <is>
          <t>HKD</t>
        </is>
      </c>
      <c r="D34" t="n">
        <v>150</v>
      </c>
      <c r="E34" t="n">
        <v>19.2735</v>
      </c>
      <c r="F34" t="n">
        <v>87.15000000000001</v>
      </c>
      <c r="G34" t="n">
        <v>1680</v>
      </c>
    </row>
    <row r="35">
      <c r="A35" s="2" t="n">
        <v>45875</v>
      </c>
      <c r="B35" t="inlineStr">
        <is>
          <t>TIP(US4642871762) Cash Dividend USD 0.264488 per Share (Ordinary Dividend)</t>
        </is>
      </c>
      <c r="C35" t="inlineStr">
        <is>
          <t>USD</t>
        </is>
      </c>
      <c r="D35" t="n">
        <v>3.17</v>
      </c>
      <c r="E35" t="n">
        <v>3.17</v>
      </c>
      <c r="F35" t="n">
        <v>87.15000000000001</v>
      </c>
      <c r="G35" t="n">
        <v>276</v>
      </c>
    </row>
    <row r="36">
      <c r="A36" s="2" t="n">
        <v>45877</v>
      </c>
      <c r="B36" t="inlineStr">
        <is>
          <t>AXP(US0258161092) Cash Dividend USD 0.82 per Share (Ordinary Dividend)</t>
        </is>
      </c>
      <c r="C36" t="inlineStr">
        <is>
          <t>USD</t>
        </is>
      </c>
      <c r="D36" t="n">
        <v>3.28</v>
      </c>
      <c r="E36" t="n">
        <v>3.28</v>
      </c>
      <c r="F36" t="n">
        <v>87.15000000000001</v>
      </c>
      <c r="G36" t="n">
        <v>286</v>
      </c>
    </row>
    <row r="37">
      <c r="A37" s="2" t="n">
        <v>45877</v>
      </c>
      <c r="B37" t="inlineStr">
        <is>
          <t>GD(US3695501086) Cash Dividend USD 1.50 per Share (Ordinary Dividend)</t>
        </is>
      </c>
      <c r="C37" t="inlineStr">
        <is>
          <t>USD</t>
        </is>
      </c>
      <c r="D37" t="n">
        <v>3</v>
      </c>
      <c r="E37" t="n">
        <v>3</v>
      </c>
      <c r="F37" t="n">
        <v>87.15000000000001</v>
      </c>
      <c r="G37" t="n">
        <v>261</v>
      </c>
    </row>
    <row r="38">
      <c r="A38" s="2" t="n">
        <v>45880</v>
      </c>
      <c r="B38" t="inlineStr">
        <is>
          <t>BX(US09260D1072) Cash Dividend USD 1.03 per Share (Ordinary Dividend)</t>
        </is>
      </c>
      <c r="C38" t="inlineStr">
        <is>
          <t>USD</t>
        </is>
      </c>
      <c r="D38" t="n">
        <v>12.36</v>
      </c>
      <c r="E38" t="n">
        <v>12.36</v>
      </c>
      <c r="F38" t="n">
        <v>87.15000000000001</v>
      </c>
      <c r="G38" t="n">
        <v>1077</v>
      </c>
    </row>
    <row r="39">
      <c r="A39" s="2" t="n">
        <v>45889</v>
      </c>
      <c r="B39" t="inlineStr">
        <is>
          <t>CAT(US1491231015) Cash Dividend USD 1.51 per Share (Ordinary Dividend)</t>
        </is>
      </c>
      <c r="C39" t="inlineStr">
        <is>
          <t>USD</t>
        </is>
      </c>
      <c r="D39" t="n">
        <v>4.53</v>
      </c>
      <c r="E39" t="n">
        <v>4.53</v>
      </c>
      <c r="F39" t="n">
        <v>87.15000000000001</v>
      </c>
      <c r="G39" t="n">
        <v>395</v>
      </c>
    </row>
    <row r="40">
      <c r="A40" s="2" t="n">
        <v>45902</v>
      </c>
      <c r="B40" t="inlineStr">
        <is>
          <t>TGT(US87612E1064) Cash Dividend USD 1.14 per Share (Ordinary Dividend)</t>
        </is>
      </c>
      <c r="C40" t="inlineStr">
        <is>
          <t>USD</t>
        </is>
      </c>
      <c r="D40" t="n">
        <v>10.26</v>
      </c>
      <c r="E40" t="n">
        <v>10.26</v>
      </c>
      <c r="F40" t="n">
        <v>87.7</v>
      </c>
      <c r="G40" t="n">
        <v>900</v>
      </c>
    </row>
    <row r="41">
      <c r="A41" s="2" t="n">
        <v>45904</v>
      </c>
      <c r="B41" t="inlineStr">
        <is>
          <t>3416(HK0000978954) Cash Dividend HKD 0.14 per Share (Ordinary Dividend)</t>
        </is>
      </c>
      <c r="C41" t="inlineStr">
        <is>
          <t>HKD</t>
        </is>
      </c>
      <c r="D41" t="n">
        <v>140</v>
      </c>
      <c r="E41" t="n">
        <v>17.9886</v>
      </c>
      <c r="F41" t="n">
        <v>87.7</v>
      </c>
      <c r="G41" t="n">
        <v>1578</v>
      </c>
    </row>
    <row r="42">
      <c r="A42" s="2" t="n">
        <v>45904</v>
      </c>
      <c r="B42" t="inlineStr">
        <is>
          <t>RTX(US75513E1010) Cash Dividend USD 0.68 per Share (Ordinary Dividend)</t>
        </is>
      </c>
      <c r="C42" t="inlineStr">
        <is>
          <t>USD</t>
        </is>
      </c>
      <c r="D42" t="n">
        <v>3.4</v>
      </c>
      <c r="E42" t="n">
        <v>3.4</v>
      </c>
      <c r="F42" t="n">
        <v>87.7</v>
      </c>
      <c r="G42" t="n">
        <v>298</v>
      </c>
    </row>
    <row r="43">
      <c r="A43" s="2" t="n">
        <v>45905</v>
      </c>
      <c r="B43" t="inlineStr">
        <is>
          <t>TIP(US4642871762) Cash Dividend USD 0.417238 per Share (Ordinary Dividend)</t>
        </is>
      </c>
      <c r="C43" t="inlineStr">
        <is>
          <t>USD</t>
        </is>
      </c>
      <c r="D43" t="n">
        <v>5.01</v>
      </c>
      <c r="E43" t="n">
        <v>5.01</v>
      </c>
      <c r="F43" t="n">
        <v>87.7</v>
      </c>
      <c r="G43" t="n">
        <v>439</v>
      </c>
    </row>
    <row r="44">
      <c r="A44" s="2" t="n">
        <v>45910</v>
      </c>
      <c r="B44" t="inlineStr">
        <is>
          <t>LLY(US5324571083) Cash Dividend USD 1.50 per Share (Ordinary Dividend)</t>
        </is>
      </c>
      <c r="C44" t="inlineStr">
        <is>
          <t>USD</t>
        </is>
      </c>
      <c r="D44" t="n">
        <v>2.58</v>
      </c>
      <c r="E44" t="n">
        <v>2.58</v>
      </c>
      <c r="F44" t="n">
        <v>87.7</v>
      </c>
      <c r="G44" t="n">
        <v>226</v>
      </c>
    </row>
    <row r="45">
      <c r="A45" s="2" t="n">
        <v>45911</v>
      </c>
      <c r="B45" t="inlineStr">
        <is>
          <t>MSFT(US5949181045) Cash Dividend USD 0.83 per Share (Ordinary Dividend)</t>
        </is>
      </c>
      <c r="C45" t="inlineStr">
        <is>
          <t>USD</t>
        </is>
      </c>
      <c r="D45" t="n">
        <v>2.49</v>
      </c>
      <c r="E45" t="n">
        <v>2.49</v>
      </c>
      <c r="F45" t="n">
        <v>87.7</v>
      </c>
      <c r="G45" t="n">
        <v>218</v>
      </c>
    </row>
    <row r="46">
      <c r="A46" s="2" t="n">
        <v>45922</v>
      </c>
      <c r="B46" t="inlineStr">
        <is>
          <t>SHELL.DRS(NL0015002L33) Expire Dividend Right (Ordinary Dividend)</t>
        </is>
      </c>
      <c r="C46" t="inlineStr">
        <is>
          <t>EUR</t>
        </is>
      </c>
      <c r="D46" t="n">
        <v>11.66</v>
      </c>
      <c r="E46" t="n">
        <v>13.6958</v>
      </c>
      <c r="F46" t="n">
        <v>87.7</v>
      </c>
      <c r="G46" t="n">
        <v>1201</v>
      </c>
    </row>
    <row r="47">
      <c r="A47" s="2" t="n">
        <v>45926</v>
      </c>
      <c r="B47" t="inlineStr">
        <is>
          <t>BAC(US0605051046) Cash Dividend USD 0.28 per Share (Ordinary Dividend)</t>
        </is>
      </c>
      <c r="C47" t="inlineStr">
        <is>
          <t>USD</t>
        </is>
      </c>
      <c r="D47" t="n">
        <v>3.92</v>
      </c>
      <c r="E47" t="n">
        <v>3.92</v>
      </c>
      <c r="F47" t="n">
        <v>87.7</v>
      </c>
      <c r="G47" t="n">
        <v>344</v>
      </c>
    </row>
    <row r="48">
      <c r="A48" s="2" t="n">
        <v>45930</v>
      </c>
      <c r="B48" t="inlineStr">
        <is>
          <t>3110(HK0000151933) Cash Dividend HKD 1.60 per Share (Ordinary Dividend)</t>
        </is>
      </c>
      <c r="C48" t="inlineStr">
        <is>
          <t>HKD</t>
        </is>
      </c>
      <c r="D48" t="n">
        <v>480</v>
      </c>
      <c r="E48" t="n">
        <v>61.6752</v>
      </c>
      <c r="F48" t="n">
        <v>87.7</v>
      </c>
      <c r="G48" t="n">
        <v>5409</v>
      </c>
    </row>
    <row r="49">
      <c r="A49" s="2" t="n">
        <v>45936</v>
      </c>
      <c r="B49" t="inlineStr">
        <is>
          <t>TIP(US4642871762) Cash Dividend USD 0.198069 per Share (Ordinary Dividend)</t>
        </is>
      </c>
      <c r="C49" t="inlineStr">
        <is>
          <t>USD</t>
        </is>
      </c>
      <c r="D49" t="n">
        <v>2.38</v>
      </c>
      <c r="E49" t="n">
        <v>2.38</v>
      </c>
      <c r="F49" t="n">
        <v>88.34999999999999</v>
      </c>
      <c r="G49" t="n">
        <v>210</v>
      </c>
    </row>
    <row r="50">
      <c r="A50" s="2" t="n">
        <v>45938</v>
      </c>
      <c r="B50" t="inlineStr">
        <is>
          <t>3416(HK0000978954) Cash Dividend HKD 0.14 per Share (Ordinary Dividend)</t>
        </is>
      </c>
      <c r="C50" t="inlineStr">
        <is>
          <t>HKD</t>
        </is>
      </c>
      <c r="D50" t="n">
        <v>140</v>
      </c>
      <c r="E50" t="n">
        <v>17.9886</v>
      </c>
      <c r="F50" t="n">
        <v>88.34999999999999</v>
      </c>
      <c r="G50" t="n">
        <v>1589</v>
      </c>
    </row>
    <row r="51">
      <c r="A51" s="2" t="n">
        <v>45939</v>
      </c>
      <c r="B51" t="inlineStr">
        <is>
          <t>TSM(US8740391003) Cash Dividend USD 0.821965 per Share (Ordinary Div - NRA Withholding Exempt)</t>
        </is>
      </c>
      <c r="C51" t="inlineStr">
        <is>
          <t>USD</t>
        </is>
      </c>
      <c r="D51" t="n">
        <v>2.47</v>
      </c>
      <c r="E51" t="n">
        <v>2.47</v>
      </c>
      <c r="F51" t="n">
        <v>88.34999999999999</v>
      </c>
      <c r="G51" t="n">
        <v>218</v>
      </c>
    </row>
    <row r="52">
      <c r="A52" s="2" t="n">
        <v>45957</v>
      </c>
      <c r="B52" t="inlineStr">
        <is>
          <t>GE(US3696043013) Cash Dividend USD 0.36 per Share (Ordinary Dividend)</t>
        </is>
      </c>
      <c r="C52" t="inlineStr">
        <is>
          <t>USD</t>
        </is>
      </c>
      <c r="D52" t="n">
        <v>2.16</v>
      </c>
      <c r="E52" t="n">
        <v>2.16</v>
      </c>
      <c r="F52" t="n">
        <v>88.34999999999999</v>
      </c>
      <c r="G52" t="n">
        <v>191</v>
      </c>
    </row>
    <row r="53">
      <c r="A53" s="2" t="n">
        <v>45967</v>
      </c>
      <c r="B53" t="inlineStr">
        <is>
          <t>3416(HK0000978954) Cash Dividend HKD 0.14 per Share (Ordinary Dividend)</t>
        </is>
      </c>
      <c r="C53" t="inlineStr">
        <is>
          <t>HKD</t>
        </is>
      </c>
      <c r="D53" t="n">
        <v>140</v>
      </c>
      <c r="E53" t="n">
        <v>17.9886</v>
      </c>
      <c r="F53" t="n">
        <v>88.2</v>
      </c>
      <c r="G53" t="n">
        <v>1587</v>
      </c>
    </row>
    <row r="54">
      <c r="A54" s="2" t="n">
        <v>45967</v>
      </c>
      <c r="B54" t="inlineStr">
        <is>
          <t>TIP(US4642871762) Cash Dividend USD 0.360933 per Share (Ordinary Dividend)</t>
        </is>
      </c>
      <c r="C54" t="inlineStr">
        <is>
          <t>USD</t>
        </is>
      </c>
      <c r="D54" t="n">
        <v>4.33</v>
      </c>
      <c r="E54" t="n">
        <v>4.33</v>
      </c>
      <c r="F54" t="n">
        <v>88.2</v>
      </c>
      <c r="G54" t="n">
        <v>382</v>
      </c>
    </row>
    <row r="55">
      <c r="A55" s="2" t="n">
        <v>45971</v>
      </c>
      <c r="B55" t="inlineStr">
        <is>
          <t>AXP(US0258161092) Cash Dividend USD 0.82 per Share (Ordinary Dividend)</t>
        </is>
      </c>
      <c r="C55" t="inlineStr">
        <is>
          <t>USD</t>
        </is>
      </c>
      <c r="D55" t="n">
        <v>3.28</v>
      </c>
      <c r="E55" t="n">
        <v>3.28</v>
      </c>
      <c r="F55" t="n">
        <v>88.2</v>
      </c>
      <c r="G55" t="n">
        <v>289</v>
      </c>
    </row>
    <row r="56">
      <c r="A56" s="2" t="n">
        <v>45971</v>
      </c>
      <c r="B56" t="inlineStr">
        <is>
          <t>BX(US09260D1072) Cash Dividend USD 1.29 per Share (Ordinary Dividend)</t>
        </is>
      </c>
      <c r="C56" t="inlineStr">
        <is>
          <t>USD</t>
        </is>
      </c>
      <c r="D56" t="n">
        <v>15.48</v>
      </c>
      <c r="E56" t="n">
        <v>15.48</v>
      </c>
      <c r="F56" t="n">
        <v>88.2</v>
      </c>
      <c r="G56" t="n">
        <v>1365</v>
      </c>
    </row>
    <row r="57">
      <c r="A57" s="2" t="n">
        <v>45975</v>
      </c>
      <c r="B57" t="inlineStr">
        <is>
          <t>GD(US3695501086) Cash Dividend USD 1.50 per Share (Ordinary Dividend)</t>
        </is>
      </c>
      <c r="C57" t="inlineStr">
        <is>
          <t>USD</t>
        </is>
      </c>
      <c r="D57" t="n">
        <v>3</v>
      </c>
      <c r="E57" t="n">
        <v>3</v>
      </c>
      <c r="F57" t="n">
        <v>88.2</v>
      </c>
      <c r="G57" t="n">
        <v>265</v>
      </c>
    </row>
    <row r="58">
      <c r="A58" s="2" t="n">
        <v>45981</v>
      </c>
      <c r="B58" t="inlineStr">
        <is>
          <t>CAT(US1491231015) Cash Dividend USD 1.51 per Share (Ordinary Dividend)</t>
        </is>
      </c>
      <c r="C58" t="inlineStr">
        <is>
          <t>USD</t>
        </is>
      </c>
      <c r="D58" t="n">
        <v>4.53</v>
      </c>
      <c r="E58" t="n">
        <v>4.53</v>
      </c>
      <c r="F58" t="n">
        <v>88.2</v>
      </c>
      <c r="G58" t="n">
        <v>400</v>
      </c>
    </row>
    <row r="59">
      <c r="A59" s="2" t="n">
        <v>45992</v>
      </c>
      <c r="B59" t="inlineStr">
        <is>
          <t>TGT(US87612E1064) Cash Dividend USD 1.14 per Share (Ordinary Dividend)</t>
        </is>
      </c>
      <c r="C59" t="inlineStr">
        <is>
          <t>USD</t>
        </is>
      </c>
      <c r="D59" t="n">
        <v>22.8</v>
      </c>
      <c r="E59" t="n">
        <v>22.8</v>
      </c>
      <c r="F59" t="n">
        <v>88.95</v>
      </c>
      <c r="G59" t="n">
        <v>2028</v>
      </c>
    </row>
    <row r="60">
      <c r="A60" s="2" t="n">
        <v>45995</v>
      </c>
      <c r="B60" t="inlineStr">
        <is>
          <t>3416(HK0000978954) Cash Dividend HKD 0.14 per Share (Ordinary Dividend)</t>
        </is>
      </c>
      <c r="C60" t="inlineStr">
        <is>
          <t>HKD</t>
        </is>
      </c>
      <c r="D60" t="n">
        <v>140</v>
      </c>
      <c r="E60" t="n">
        <v>17.9886</v>
      </c>
      <c r="F60" t="n">
        <v>88.95</v>
      </c>
      <c r="G60" t="n">
        <v>1600</v>
      </c>
    </row>
    <row r="61">
      <c r="A61" s="2" t="n">
        <v>45995</v>
      </c>
      <c r="B61" t="inlineStr">
        <is>
          <t>TIP(US4642871762) Cash Dividend USD 0.322417 per Share (Ordinary Dividend)</t>
        </is>
      </c>
      <c r="C61" t="inlineStr">
        <is>
          <t>USD</t>
        </is>
      </c>
      <c r="D61" t="n">
        <v>3.87</v>
      </c>
      <c r="E61" t="n">
        <v>3.87</v>
      </c>
      <c r="F61" t="n">
        <v>88.95</v>
      </c>
      <c r="G61" t="n">
        <v>344</v>
      </c>
    </row>
    <row r="62">
      <c r="A62" s="2" t="n">
        <v>46001</v>
      </c>
      <c r="B62" t="inlineStr">
        <is>
          <t>4568.T(JP3475350009) Cash Dividend JPY 39 per Share (Ordinary Dividend)</t>
        </is>
      </c>
      <c r="C62" t="inlineStr">
        <is>
          <t>JPY</t>
        </is>
      </c>
      <c r="D62" t="n">
        <v>3900</v>
      </c>
      <c r="E62" t="n">
        <v>24.8925</v>
      </c>
      <c r="F62" t="n">
        <v>88.95</v>
      </c>
      <c r="G62" t="n">
        <v>2214</v>
      </c>
    </row>
    <row r="63">
      <c r="A63" s="2" t="n">
        <v>46001</v>
      </c>
      <c r="B63" t="inlineStr">
        <is>
          <t>LLY(US5324571083) Cash Dividend USD 1.50 per Share (Ordinary Dividend)</t>
        </is>
      </c>
      <c r="C63" t="inlineStr">
        <is>
          <t>USD</t>
        </is>
      </c>
      <c r="D63" t="n">
        <v>2.58</v>
      </c>
      <c r="E63" t="n">
        <v>2.58</v>
      </c>
      <c r="F63" t="n">
        <v>88.95</v>
      </c>
      <c r="G63" t="n">
        <v>229</v>
      </c>
    </row>
    <row r="64">
      <c r="A64" s="2" t="n">
        <v>46002</v>
      </c>
      <c r="B64" t="inlineStr">
        <is>
          <t>MSFT(US5949181045) Cash Dividend USD 0.91 per Share (Ordinary Dividend)</t>
        </is>
      </c>
      <c r="C64" t="inlineStr">
        <is>
          <t>USD</t>
        </is>
      </c>
      <c r="D64" t="n">
        <v>2.73</v>
      </c>
      <c r="E64" t="n">
        <v>2.73</v>
      </c>
      <c r="F64" t="n">
        <v>88.95</v>
      </c>
      <c r="G64" t="n">
        <v>243</v>
      </c>
    </row>
    <row r="65">
      <c r="A65" s="2" t="n">
        <v>46002</v>
      </c>
      <c r="B65" t="inlineStr">
        <is>
          <t>RTX(US75513E1010) Cash Dividend USD 0.68 per Share (Ordinary Dividend)</t>
        </is>
      </c>
      <c r="C65" t="inlineStr">
        <is>
          <t>USD</t>
        </is>
      </c>
      <c r="D65" t="n">
        <v>3.4</v>
      </c>
      <c r="E65" t="n">
        <v>3.4</v>
      </c>
      <c r="F65" t="n">
        <v>88.95</v>
      </c>
      <c r="G65" t="n">
        <v>302</v>
      </c>
    </row>
    <row r="66">
      <c r="A66" s="2" t="n">
        <v>46009</v>
      </c>
      <c r="B66" t="inlineStr">
        <is>
          <t>SHELL1.DI(NL0015002SG4) Expire Dividend Right (Ordinary Dividend)</t>
        </is>
      </c>
      <c r="C66" t="inlineStr">
        <is>
          <t>EUR</t>
        </is>
      </c>
      <c r="D66" t="n">
        <v>11.67</v>
      </c>
      <c r="E66" t="n">
        <v>13.7076</v>
      </c>
      <c r="F66" t="n">
        <v>88.95</v>
      </c>
      <c r="G66" t="n">
        <v>1219</v>
      </c>
    </row>
    <row r="67">
      <c r="A67" s="2" t="n">
        <v>46010</v>
      </c>
      <c r="B67" t="inlineStr">
        <is>
          <t>MCHI(US46429B6719) Cash Dividend USD 0.735007 per Share (Ordinary Dividend)</t>
        </is>
      </c>
      <c r="C67" t="inlineStr">
        <is>
          <t>USD</t>
        </is>
      </c>
      <c r="D67" t="n">
        <v>8.82</v>
      </c>
      <c r="E67" t="n">
        <v>8.82</v>
      </c>
      <c r="F67" t="n">
        <v>88.95</v>
      </c>
      <c r="G67" t="n">
        <v>785</v>
      </c>
    </row>
    <row r="68">
      <c r="A68" s="2" t="n">
        <v>46014</v>
      </c>
      <c r="B68" t="inlineStr">
        <is>
          <t>META(US30303M1027) Cash Dividend USD 0.525 per Share (Ordinary Dividend)</t>
        </is>
      </c>
      <c r="C68" t="inlineStr">
        <is>
          <t>USD</t>
        </is>
      </c>
      <c r="D68" t="n">
        <v>1.05</v>
      </c>
      <c r="E68" t="n">
        <v>1.05</v>
      </c>
      <c r="F68" t="n">
        <v>88.95</v>
      </c>
      <c r="G68" t="n">
        <v>93</v>
      </c>
    </row>
    <row r="69">
      <c r="A69" s="2" t="n">
        <v>46015</v>
      </c>
      <c r="B69" t="inlineStr">
        <is>
          <t>TIP(US4642871762) Cash Dividend USD 0.341961 per Share (Ordinary Dividend)</t>
        </is>
      </c>
      <c r="C69" t="inlineStr">
        <is>
          <t>USD</t>
        </is>
      </c>
      <c r="D69" t="n">
        <v>4.1</v>
      </c>
      <c r="E69" t="n">
        <v>4.1</v>
      </c>
      <c r="F69" t="n">
        <v>88.95</v>
      </c>
      <c r="G69" t="n">
        <v>365</v>
      </c>
    </row>
    <row r="70">
      <c r="A70" s="2" t="n">
        <v>46017</v>
      </c>
      <c r="B70" t="inlineStr">
        <is>
          <t>BAC(US0605051046) Cash Dividend USD 0.28 per Share (Ordinary Dividend)</t>
        </is>
      </c>
      <c r="C70" t="inlineStr">
        <is>
          <t>USD</t>
        </is>
      </c>
      <c r="D70" t="n">
        <v>3.92</v>
      </c>
      <c r="E70" t="n">
        <v>3.92</v>
      </c>
      <c r="F70" t="n">
        <v>88.95</v>
      </c>
      <c r="G70" t="n">
        <v>349</v>
      </c>
    </row>
    <row r="71">
      <c r="A71" s="2" t="n">
        <v>46022</v>
      </c>
      <c r="B71" t="inlineStr">
        <is>
          <t>3088(HK0000643327) Cash Dividend HKD 0.02 per Share (Ordinary Dividend)</t>
        </is>
      </c>
      <c r="C71" t="inlineStr">
        <is>
          <t>HKD</t>
        </is>
      </c>
      <c r="D71" t="n">
        <v>12</v>
      </c>
      <c r="E71" t="n">
        <v>1.5419</v>
      </c>
      <c r="F71" t="n">
        <v>88.95</v>
      </c>
      <c r="G71" t="n">
        <v>137</v>
      </c>
    </row>
    <row r="72">
      <c r="A72" s="2" t="n">
        <v>46029</v>
      </c>
      <c r="B72" t="inlineStr">
        <is>
          <t>3416(HK0000978954) Cash Dividend HKD 0.14 per Share (Ordinary Dividend)</t>
        </is>
      </c>
      <c r="C72" t="inlineStr">
        <is>
          <t>HKD</t>
        </is>
      </c>
      <c r="D72" t="n">
        <v>140</v>
      </c>
      <c r="E72" t="n">
        <v>17.9886</v>
      </c>
      <c r="F72" t="n">
        <v>89.47</v>
      </c>
      <c r="G72" t="n">
        <v>1609</v>
      </c>
    </row>
    <row r="73">
      <c r="A73" s="2" t="n">
        <v>46029</v>
      </c>
      <c r="B73" t="inlineStr">
        <is>
          <t>COPX(US37954Y8306) Cash Dividend USD 1.672477 per Share (Ordinary Dividend)</t>
        </is>
      </c>
      <c r="C73" t="inlineStr">
        <is>
          <t>USD</t>
        </is>
      </c>
      <c r="D73" t="n">
        <v>20.07</v>
      </c>
      <c r="E73" t="n">
        <v>20.07</v>
      </c>
      <c r="F73" t="n">
        <v>89.47</v>
      </c>
      <c r="G73" t="n">
        <v>1796</v>
      </c>
    </row>
    <row r="74">
      <c r="A74" s="2" t="n">
        <v>46029</v>
      </c>
      <c r="B74" t="inlineStr">
        <is>
          <t>URA(US37954Y8710) Cash Dividend USD 2.084331 per Share (Ordinary Dividend)</t>
        </is>
      </c>
      <c r="C74" t="inlineStr">
        <is>
          <t>USD</t>
        </is>
      </c>
      <c r="D74" t="n">
        <v>62.53</v>
      </c>
      <c r="E74" t="n">
        <v>62.53</v>
      </c>
      <c r="F74" t="n">
        <v>89.47</v>
      </c>
      <c r="G74" t="n">
        <v>5595</v>
      </c>
    </row>
    <row r="75">
      <c r="A75" s="2" t="n">
        <v>46030</v>
      </c>
      <c r="B75" t="inlineStr">
        <is>
          <t>TSM(US8740391003) Cash Dividend USD 0.79542 per Share (Ordinary Div - NRA Withholding Exempt)</t>
        </is>
      </c>
      <c r="C75" t="inlineStr">
        <is>
          <t>USD</t>
        </is>
      </c>
      <c r="D75" t="n">
        <v>2.39</v>
      </c>
      <c r="E75" t="n">
        <v>2.39</v>
      </c>
      <c r="F75" t="n">
        <v>89.47</v>
      </c>
      <c r="G75" t="n">
        <v>214</v>
      </c>
    </row>
    <row r="76">
      <c r="A76" s="2" t="n">
        <v>46048</v>
      </c>
      <c r="B76" t="inlineStr">
        <is>
          <t>GE(US3696043013) Cash Dividend USD 0.36 per Share (Ordinary Dividend)</t>
        </is>
      </c>
      <c r="C76" t="inlineStr">
        <is>
          <t>USD</t>
        </is>
      </c>
      <c r="D76" t="n">
        <v>2.16</v>
      </c>
      <c r="E76" t="n">
        <v>2.16</v>
      </c>
      <c r="F76" t="n">
        <v>89.47</v>
      </c>
      <c r="G76" t="n">
        <v>193</v>
      </c>
    </row>
    <row r="77">
      <c r="A77" s="2" t="n">
        <v>46058</v>
      </c>
      <c r="B77" t="inlineStr">
        <is>
          <t>3416(HK0000978954) Cash Dividend HKD 0.14 per Share (Ordinary Dividend)</t>
        </is>
      </c>
      <c r="C77" t="inlineStr">
        <is>
          <t>HKD</t>
        </is>
      </c>
      <c r="D77" t="n">
        <v>140</v>
      </c>
      <c r="E77" t="n">
        <v>17.9886</v>
      </c>
      <c r="F77" t="n">
        <v>91.34999999999999</v>
      </c>
      <c r="G77" t="n">
        <v>1643</v>
      </c>
    </row>
    <row r="78">
      <c r="A78" s="2" t="n">
        <v>46059</v>
      </c>
      <c r="B78" t="inlineStr">
        <is>
          <t>GD(US3695501086) Cash Dividend USD 1.50 per Share (Ordinary Dividend)</t>
        </is>
      </c>
      <c r="C78" t="inlineStr">
        <is>
          <t>USD</t>
        </is>
      </c>
      <c r="D78" t="n">
        <v>3</v>
      </c>
      <c r="E78" t="n">
        <v>3</v>
      </c>
      <c r="F78" t="n">
        <v>91.34999999999999</v>
      </c>
      <c r="G78" t="n">
        <v>274</v>
      </c>
    </row>
    <row r="79">
      <c r="A79" s="2" t="n">
        <v>46063</v>
      </c>
      <c r="B79" t="inlineStr">
        <is>
          <t>AXP(US0258161092) Cash Dividend USD 0.82 per Share (Ordinary Dividend)</t>
        </is>
      </c>
      <c r="C79" t="inlineStr">
        <is>
          <t>USD</t>
        </is>
      </c>
      <c r="D79" t="n">
        <v>3.28</v>
      </c>
      <c r="E79" t="n">
        <v>3.28</v>
      </c>
      <c r="F79" t="n">
        <v>91.34999999999999</v>
      </c>
      <c r="G79" t="n">
        <v>300</v>
      </c>
    </row>
    <row r="80">
      <c r="A80" s="2" t="n">
        <v>46070</v>
      </c>
      <c r="B80" t="inlineStr">
        <is>
          <t>BX(US09260D1072) Cash Dividend USD 1.49 per Share (Ordinary Dividend)</t>
        </is>
      </c>
      <c r="C80" t="inlineStr">
        <is>
          <t>USD</t>
        </is>
      </c>
      <c r="D80" t="n">
        <v>17.88</v>
      </c>
      <c r="E80" t="n">
        <v>17.88</v>
      </c>
      <c r="F80" t="n">
        <v>91.34999999999999</v>
      </c>
      <c r="G80" t="n">
        <v>1633</v>
      </c>
    </row>
    <row r="81">
      <c r="A81" s="2" t="n">
        <v>46070</v>
      </c>
      <c r="B81" t="inlineStr">
        <is>
          <t>SIE(DE0007236101) Cash Dividend EUR 5.35 per Share (Ordinary Dividend)</t>
        </is>
      </c>
      <c r="C81" t="inlineStr">
        <is>
          <t>EUR</t>
        </is>
      </c>
      <c r="D81" t="n">
        <v>16.05</v>
      </c>
      <c r="E81" t="n">
        <v>18.8523</v>
      </c>
      <c r="F81" t="n">
        <v>91.34999999999999</v>
      </c>
      <c r="G81" t="n">
        <v>1722</v>
      </c>
    </row>
    <row r="82">
      <c r="A82" s="2" t="n">
        <v>46072</v>
      </c>
      <c r="B82" t="inlineStr">
        <is>
          <t>CAT(US1491231015) Cash Dividend USD 1.51 per Share (Ordinary Dividend)</t>
        </is>
      </c>
      <c r="C82" t="inlineStr">
        <is>
          <t>USD</t>
        </is>
      </c>
      <c r="D82" t="n">
        <v>4.53</v>
      </c>
      <c r="E82" t="n">
        <v>4.53</v>
      </c>
      <c r="F82" t="n">
        <v>91.34999999999999</v>
      </c>
      <c r="G82" t="n">
        <v>414</v>
      </c>
    </row>
    <row r="83">
      <c r="A83" s="2" t="n">
        <v>46082</v>
      </c>
      <c r="B83" t="inlineStr">
        <is>
          <t>TGT(US87612E1064) Cash Dividend USD 1.14 per Share (Ordinary Dividend)</t>
        </is>
      </c>
      <c r="C83" t="inlineStr">
        <is>
          <t>USD</t>
        </is>
      </c>
      <c r="D83" t="n">
        <v>22.8</v>
      </c>
      <c r="E83" t="n">
        <v>22.8</v>
      </c>
      <c r="F83" t="n">
        <v>90.56</v>
      </c>
      <c r="G83" t="n">
        <v>2065</v>
      </c>
    </row>
    <row r="84">
      <c r="A84" s="2" t="n">
        <v>46083</v>
      </c>
      <c r="B84" t="inlineStr">
        <is>
          <t>V(US92826C8394) Cash Dividend USD 0.67 per Share (Ordinary Dividend)</t>
        </is>
      </c>
      <c r="C84" t="inlineStr">
        <is>
          <t>USD</t>
        </is>
      </c>
      <c r="D84" t="n">
        <v>2.01</v>
      </c>
      <c r="E84" t="n">
        <v>2.01</v>
      </c>
      <c r="F84" t="n">
        <v>90.56</v>
      </c>
      <c r="G84" t="n">
        <v>182</v>
      </c>
    </row>
    <row r="85">
      <c r="A85" s="2" t="n">
        <v>46086</v>
      </c>
      <c r="B85" t="inlineStr">
        <is>
          <t>3416(HK0000978954) Cash Dividend HKD 0.14 per Share (Ordinary Dividend)</t>
        </is>
      </c>
      <c r="C85" t="inlineStr">
        <is>
          <t>HKD</t>
        </is>
      </c>
      <c r="D85" t="n">
        <v>140</v>
      </c>
      <c r="E85" t="n">
        <v>17.9886</v>
      </c>
      <c r="F85" t="n">
        <v>90.56</v>
      </c>
      <c r="G85" t="n">
        <v>1629</v>
      </c>
    </row>
    <row r="86">
      <c r="A86" s="2" t="n">
        <v>46091</v>
      </c>
      <c r="B86" t="inlineStr">
        <is>
          <t>AEP(US0255371017) Cash Dividend USD 0.95 per Share (Ordinary Dividend)</t>
        </is>
      </c>
      <c r="C86" t="inlineStr">
        <is>
          <t>USD</t>
        </is>
      </c>
      <c r="D86" t="n">
        <v>5.7</v>
      </c>
      <c r="E86" t="n">
        <v>5.7</v>
      </c>
      <c r="F86" t="n">
        <v>90.56</v>
      </c>
      <c r="G86" t="n">
        <v>516</v>
      </c>
    </row>
    <row r="87">
      <c r="A87" s="2" t="n">
        <v>46091</v>
      </c>
      <c r="B87" t="inlineStr">
        <is>
          <t>LLY(US5324571083) Cash Dividend USD 1.73 per Share (Ordinary Dividend)</t>
        </is>
      </c>
      <c r="C87" t="inlineStr">
        <is>
          <t>USD</t>
        </is>
      </c>
      <c r="D87" t="n">
        <v>2.98</v>
      </c>
      <c r="E87" t="n">
        <v>2.98</v>
      </c>
      <c r="F87" t="n">
        <v>90.56</v>
      </c>
      <c r="G87" t="n">
        <v>270</v>
      </c>
    </row>
    <row r="88">
      <c r="A88" s="2" t="n">
        <v>46093</v>
      </c>
      <c r="B88" t="inlineStr">
        <is>
          <t>MSFT(US5949181045) Cash Dividend USD 0.91 per Share (Ordinary Dividend)</t>
        </is>
      </c>
      <c r="C88" t="inlineStr">
        <is>
          <t>USD</t>
        </is>
      </c>
      <c r="D88" t="n">
        <v>2.73</v>
      </c>
      <c r="E88" t="n">
        <v>2.73</v>
      </c>
      <c r="F88" t="n">
        <v>90.56</v>
      </c>
      <c r="G88" t="n">
        <v>247</v>
      </c>
    </row>
    <row r="89">
      <c r="A89" s="2" t="n">
        <v>46100</v>
      </c>
      <c r="B89" t="inlineStr">
        <is>
          <t>RTX(US75513E1010) Cash Dividend USD 0.68 per Share (Ordinary Dividend)</t>
        </is>
      </c>
      <c r="C89" t="inlineStr">
        <is>
          <t>USD</t>
        </is>
      </c>
      <c r="D89" t="n">
        <v>3.4</v>
      </c>
      <c r="E89" t="n">
        <v>3.4</v>
      </c>
      <c r="F89" t="n">
        <v>90.56</v>
      </c>
      <c r="G89" t="n">
        <v>308</v>
      </c>
    </row>
    <row r="90">
      <c r="A90" s="2" t="n">
        <v>46107</v>
      </c>
      <c r="B90" t="inlineStr">
        <is>
          <t>META(US30303M1027) Cash Dividend USD 0.525 per Share (Ordinary Dividend)</t>
        </is>
      </c>
      <c r="C90" t="inlineStr">
        <is>
          <t>USD</t>
        </is>
      </c>
      <c r="D90" t="n">
        <v>1.05</v>
      </c>
      <c r="E90" t="n">
        <v>1.05</v>
      </c>
      <c r="F90" t="n">
        <v>90.56</v>
      </c>
      <c r="G90" t="n">
        <v>95</v>
      </c>
    </row>
    <row r="91">
      <c r="A91" s="2" t="n">
        <v>46108</v>
      </c>
      <c r="B91" t="inlineStr">
        <is>
          <t>BAC(US0605051046) Cash Dividend USD 0.28 per Share (Ordinary Dividend)</t>
        </is>
      </c>
      <c r="C91" t="inlineStr">
        <is>
          <t>USD</t>
        </is>
      </c>
      <c r="D91" t="n">
        <v>3.92</v>
      </c>
      <c r="E91" t="n">
        <v>3.92</v>
      </c>
      <c r="F91" t="n">
        <v>90.56</v>
      </c>
      <c r="G91" t="n">
        <v>355</v>
      </c>
    </row>
    <row r="92">
      <c r="A92" s="2" t="n">
        <v>46111</v>
      </c>
      <c r="B92" t="inlineStr">
        <is>
          <t>SHELL.DDR(NL0015073VB0) Expire Dividend Right (Ordinary Dividend)</t>
        </is>
      </c>
      <c r="C92" t="inlineStr">
        <is>
          <t>EUR</t>
        </is>
      </c>
      <c r="D92" t="n">
        <v>12.26</v>
      </c>
      <c r="E92" t="n">
        <v>14.4006</v>
      </c>
      <c r="F92" t="n">
        <v>90.56</v>
      </c>
      <c r="G92" t="n">
        <v>1304</v>
      </c>
    </row>
    <row r="93">
      <c r="A93" s="2" t="n">
        <v>46112</v>
      </c>
      <c r="B93" t="inlineStr">
        <is>
          <t>3110(HK0000151933) Cash Dividend HKD 0.28 per Share (Ordinary Dividend)</t>
        </is>
      </c>
      <c r="C93" t="inlineStr">
        <is>
          <t>HKD</t>
        </is>
      </c>
      <c r="D93" t="n">
        <v>84</v>
      </c>
      <c r="E93" t="n">
        <v>10.7932</v>
      </c>
      <c r="F93" t="n">
        <v>90.56</v>
      </c>
      <c r="G93" t="n">
        <v>977</v>
      </c>
    </row>
    <row r="94">
      <c r="B94" t="inlineStr">
        <is>
          <t>TOTAL DIVIDENDS</t>
        </is>
      </c>
      <c r="E94" t="n">
        <v>728.46</v>
      </c>
      <c r="G94" t="n">
        <v>64392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5"/>
  <sheetViews>
    <sheetView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48" customWidth="1" min="3" max="3"/>
    <col width="10" customWidth="1" min="4" max="4"/>
    <col width="14" customWidth="1" min="5" max="5"/>
    <col width="14" customWidth="1" min="6" max="6"/>
    <col width="10" customWidth="1" min="7" max="7"/>
    <col width="14" customWidth="1" min="8" max="8"/>
  </cols>
  <sheetData>
    <row r="1">
      <c r="A1" t="inlineStr">
        <is>
          <t>Foreign tax withheld (for Schedule FSI / TR) — review credit eligibility under DTAA</t>
        </is>
      </c>
    </row>
    <row r="2">
      <c r="A2" s="1" t="inlineStr">
        <is>
          <t>Period</t>
        </is>
      </c>
      <c r="B2" s="1" t="inlineStr">
        <is>
          <t>Date</t>
        </is>
      </c>
      <c r="C2" s="1" t="inlineStr">
        <is>
          <t>Description</t>
        </is>
      </c>
      <c r="D2" s="1" t="inlineStr">
        <is>
          <t>Currency</t>
        </is>
      </c>
      <c r="E2" s="1" t="inlineStr">
        <is>
          <t>Amount (FCY)</t>
        </is>
      </c>
      <c r="F2" s="1" t="inlineStr">
        <is>
          <t>Amount (USD)</t>
        </is>
      </c>
      <c r="G2" s="1" t="inlineStr">
        <is>
          <t>USD/INR</t>
        </is>
      </c>
      <c r="H2" s="1" t="inlineStr">
        <is>
          <t>Amount (INR)</t>
        </is>
      </c>
    </row>
    <row r="3">
      <c r="A3" t="inlineStr">
        <is>
          <t>CY2025</t>
        </is>
      </c>
      <c r="B3" s="2" t="n">
        <v>45706</v>
      </c>
      <c r="C3" t="inlineStr">
        <is>
          <t>SIE(DE0007236101) Cash Dividend EUR 5.20 per Share - DE Tax</t>
        </is>
      </c>
      <c r="D3" t="inlineStr">
        <is>
          <t>EUR</t>
        </is>
      </c>
      <c r="E3" t="n">
        <v>-4.11</v>
      </c>
      <c r="F3" t="n">
        <v>-4.8276</v>
      </c>
      <c r="G3" t="n">
        <v>86.2</v>
      </c>
      <c r="H3" t="n">
        <v>-416</v>
      </c>
    </row>
    <row r="4">
      <c r="A4" t="inlineStr">
        <is>
          <t>CY2025</t>
        </is>
      </c>
      <c r="B4" s="2" t="n">
        <v>45706</v>
      </c>
      <c r="C4" t="inlineStr">
        <is>
          <t>BX(US09260D1072) Cash Dividend USD 1.44 per Share - US Tax</t>
        </is>
      </c>
      <c r="D4" t="inlineStr">
        <is>
          <t>USD</t>
        </is>
      </c>
      <c r="E4" t="n">
        <v>-2.16</v>
      </c>
      <c r="F4" t="n">
        <v>-2.16</v>
      </c>
      <c r="G4" t="n">
        <v>86.2</v>
      </c>
      <c r="H4" t="n">
        <v>-186</v>
      </c>
    </row>
    <row r="5">
      <c r="A5" t="inlineStr">
        <is>
          <t>CY2025</t>
        </is>
      </c>
      <c r="B5" s="2" t="n">
        <v>45706</v>
      </c>
      <c r="C5" t="inlineStr">
        <is>
          <t>BX(US09260D1072) Cash Dividend USD 1.44 per Share - US Tax</t>
        </is>
      </c>
      <c r="D5" t="inlineStr">
        <is>
          <t>USD</t>
        </is>
      </c>
      <c r="E5" t="n">
        <v>2.16</v>
      </c>
      <c r="F5" t="n">
        <v>2.16</v>
      </c>
      <c r="G5" t="n">
        <v>86.2</v>
      </c>
      <c r="H5" t="n">
        <v>186</v>
      </c>
    </row>
    <row r="6">
      <c r="A6" t="inlineStr">
        <is>
          <t>CY2025</t>
        </is>
      </c>
      <c r="B6" s="2" t="n">
        <v>45706</v>
      </c>
      <c r="C6" t="inlineStr">
        <is>
          <t>BX(US09260D1072) Cash Dividend USD 1.44 per Share - US Tax</t>
        </is>
      </c>
      <c r="D6" t="inlineStr">
        <is>
          <t>USD</t>
        </is>
      </c>
      <c r="E6" t="n">
        <v>-1.09</v>
      </c>
      <c r="F6" t="n">
        <v>-1.09</v>
      </c>
      <c r="G6" t="n">
        <v>86.2</v>
      </c>
      <c r="H6" t="n">
        <v>-94</v>
      </c>
    </row>
    <row r="7">
      <c r="A7" t="inlineStr">
        <is>
          <t>CY2025</t>
        </is>
      </c>
      <c r="B7" s="2" t="n">
        <v>45719</v>
      </c>
      <c r="C7" t="inlineStr">
        <is>
          <t>TGT(US87612E1064) Cash Dividend USD 1.12 per Share - US Tax</t>
        </is>
      </c>
      <c r="D7" t="inlineStr">
        <is>
          <t>USD</t>
        </is>
      </c>
      <c r="E7" t="n">
        <v>-2.52</v>
      </c>
      <c r="F7" t="n">
        <v>-2.52</v>
      </c>
      <c r="G7" t="n">
        <v>86.95</v>
      </c>
      <c r="H7" t="n">
        <v>-219</v>
      </c>
    </row>
    <row r="8">
      <c r="A8" t="inlineStr">
        <is>
          <t>CY2025</t>
        </is>
      </c>
      <c r="B8" s="2" t="n">
        <v>45726</v>
      </c>
      <c r="C8" t="inlineStr">
        <is>
          <t>LLY(US5324571083) Cash Dividend USD 1.50 per Share - US Tax</t>
        </is>
      </c>
      <c r="D8" t="inlineStr">
        <is>
          <t>USD</t>
        </is>
      </c>
      <c r="E8" t="n">
        <v>-0.65</v>
      </c>
      <c r="F8" t="n">
        <v>-0.65</v>
      </c>
      <c r="G8" t="n">
        <v>86.95</v>
      </c>
      <c r="H8" t="n">
        <v>-57</v>
      </c>
    </row>
    <row r="9">
      <c r="A9" t="inlineStr">
        <is>
          <t>CY2025</t>
        </is>
      </c>
      <c r="B9" s="2" t="n">
        <v>45729</v>
      </c>
      <c r="C9" t="inlineStr">
        <is>
          <t>MSFT(US5949181045) Cash Dividend USD 0.83 per Share - US Tax</t>
        </is>
      </c>
      <c r="D9" t="inlineStr">
        <is>
          <t>USD</t>
        </is>
      </c>
      <c r="E9" t="n">
        <v>-0.62</v>
      </c>
      <c r="F9" t="n">
        <v>-0.62</v>
      </c>
      <c r="G9" t="n">
        <v>86.95</v>
      </c>
      <c r="H9" t="n">
        <v>-54</v>
      </c>
    </row>
    <row r="10">
      <c r="A10" t="inlineStr">
        <is>
          <t>CY2025</t>
        </is>
      </c>
      <c r="B10" s="2" t="n">
        <v>45736</v>
      </c>
      <c r="C10" t="inlineStr">
        <is>
          <t>RTX(US75513E1010) Cash Dividend USD 0.63 per Share - US Tax</t>
        </is>
      </c>
      <c r="D10" t="inlineStr">
        <is>
          <t>USD</t>
        </is>
      </c>
      <c r="E10" t="n">
        <v>-0.79</v>
      </c>
      <c r="F10" t="n">
        <v>-0.79</v>
      </c>
      <c r="G10" t="n">
        <v>86.95</v>
      </c>
      <c r="H10" t="n">
        <v>-69</v>
      </c>
    </row>
    <row r="11">
      <c r="A11" t="inlineStr">
        <is>
          <t>CY2025</t>
        </is>
      </c>
      <c r="B11" s="2" t="n">
        <v>45744</v>
      </c>
      <c r="C11" t="inlineStr">
        <is>
          <t>BAC(US0605051046) Cash Dividend USD 0.26 per Share - US Tax</t>
        </is>
      </c>
      <c r="D11" t="inlineStr">
        <is>
          <t>USD</t>
        </is>
      </c>
      <c r="E11" t="n">
        <v>-0.91</v>
      </c>
      <c r="F11" t="n">
        <v>-0.91</v>
      </c>
      <c r="G11" t="n">
        <v>86.95</v>
      </c>
      <c r="H11" t="n">
        <v>-79</v>
      </c>
    </row>
    <row r="12">
      <c r="A12" t="inlineStr">
        <is>
          <t>CY2025</t>
        </is>
      </c>
      <c r="B12" s="2" t="n">
        <v>45751</v>
      </c>
      <c r="C12" t="inlineStr">
        <is>
          <t>TIP(US4642871762) Cash Dividend USD 0.70918 per Share - US Tax</t>
        </is>
      </c>
      <c r="D12" t="inlineStr">
        <is>
          <t>USD</t>
        </is>
      </c>
      <c r="E12" t="n">
        <v>-2.13</v>
      </c>
      <c r="F12" t="n">
        <v>-2.13</v>
      </c>
      <c r="G12" t="n">
        <v>85.09999999999999</v>
      </c>
      <c r="H12" t="n">
        <v>-181</v>
      </c>
    </row>
    <row r="13">
      <c r="A13" t="inlineStr">
        <is>
          <t>CY2025</t>
        </is>
      </c>
      <c r="B13" s="2" t="n">
        <v>45751</v>
      </c>
      <c r="C13" t="inlineStr">
        <is>
          <t>TIP(US4642871762) Cash Dividend USD 0.70918 per Share - US Tax</t>
        </is>
      </c>
      <c r="D13" t="inlineStr">
        <is>
          <t>USD</t>
        </is>
      </c>
      <c r="E13" t="n">
        <v>2.13</v>
      </c>
      <c r="F13" t="n">
        <v>2.13</v>
      </c>
      <c r="G13" t="n">
        <v>85.09999999999999</v>
      </c>
      <c r="H13" t="n">
        <v>181</v>
      </c>
    </row>
    <row r="14">
      <c r="A14" t="inlineStr">
        <is>
          <t>CY2025</t>
        </is>
      </c>
      <c r="B14" s="2" t="n">
        <v>45757</v>
      </c>
      <c r="C14" t="inlineStr">
        <is>
          <t>TSM(US8740391003) Cash Dividend USD 0.677693 per Share - TW Tax</t>
        </is>
      </c>
      <c r="D14" t="inlineStr">
        <is>
          <t>USD</t>
        </is>
      </c>
      <c r="E14" t="n">
        <v>-0.43</v>
      </c>
      <c r="F14" t="n">
        <v>-0.43</v>
      </c>
      <c r="G14" t="n">
        <v>85.09999999999999</v>
      </c>
      <c r="H14" t="n">
        <v>-37</v>
      </c>
    </row>
    <row r="15">
      <c r="A15" t="inlineStr">
        <is>
          <t>CY2025</t>
        </is>
      </c>
      <c r="B15" s="2" t="n">
        <v>45771</v>
      </c>
      <c r="C15" t="inlineStr">
        <is>
          <t>AIR(NL0000235190) Cash Dividend EUR 1.00 per Share - NL Tax</t>
        </is>
      </c>
      <c r="D15" t="inlineStr">
        <is>
          <t>EUR</t>
        </is>
      </c>
      <c r="E15" t="n">
        <v>-0.9</v>
      </c>
      <c r="F15" t="n">
        <v>-1.0571</v>
      </c>
      <c r="G15" t="n">
        <v>85.09999999999999</v>
      </c>
      <c r="H15" t="n">
        <v>-90</v>
      </c>
    </row>
    <row r="16">
      <c r="A16" t="inlineStr">
        <is>
          <t>CY2025</t>
        </is>
      </c>
      <c r="B16" s="2" t="n">
        <v>45771</v>
      </c>
      <c r="C16" t="inlineStr">
        <is>
          <t>AIR(NL0000235190) Cash Dividend EUR 2.00 per Share - NL Tax</t>
        </is>
      </c>
      <c r="D16" t="inlineStr">
        <is>
          <t>EUR</t>
        </is>
      </c>
      <c r="E16" t="n">
        <v>-1.8</v>
      </c>
      <c r="F16" t="n">
        <v>-2.1143</v>
      </c>
      <c r="G16" t="n">
        <v>85.09999999999999</v>
      </c>
      <c r="H16" t="n">
        <v>-180</v>
      </c>
    </row>
    <row r="17">
      <c r="A17" t="inlineStr">
        <is>
          <t>CY2025</t>
        </is>
      </c>
      <c r="B17" s="2" t="n">
        <v>45772</v>
      </c>
      <c r="C17" t="inlineStr">
        <is>
          <t>GE(US3696043013) Cash Dividend USD 0.36 per Share - US Tax</t>
        </is>
      </c>
      <c r="D17" t="inlineStr">
        <is>
          <t>USD</t>
        </is>
      </c>
      <c r="E17" t="n">
        <v>-0.54</v>
      </c>
      <c r="F17" t="n">
        <v>-0.54</v>
      </c>
      <c r="G17" t="n">
        <v>85.09999999999999</v>
      </c>
      <c r="H17" t="n">
        <v>-46</v>
      </c>
    </row>
    <row r="18">
      <c r="A18" t="inlineStr">
        <is>
          <t>CY2025</t>
        </is>
      </c>
      <c r="B18" s="2" t="n">
        <v>45782</v>
      </c>
      <c r="C18" t="inlineStr">
        <is>
          <t>BX(US09260D1072) Cash Dividend USD 0.93 per Share - US Tax</t>
        </is>
      </c>
      <c r="D18" t="inlineStr">
        <is>
          <t>USD</t>
        </is>
      </c>
      <c r="E18" t="n">
        <v>-1.4</v>
      </c>
      <c r="F18" t="n">
        <v>-1.4</v>
      </c>
      <c r="G18" t="n">
        <v>84.25</v>
      </c>
      <c r="H18" t="n">
        <v>-118</v>
      </c>
    </row>
    <row r="19">
      <c r="A19" t="inlineStr">
        <is>
          <t>CY2025</t>
        </is>
      </c>
      <c r="B19" s="2" t="n">
        <v>45782</v>
      </c>
      <c r="C19" t="inlineStr">
        <is>
          <t>BX(US09260D1072) Cash Dividend USD 0.93 per Share - US Tax</t>
        </is>
      </c>
      <c r="D19" t="inlineStr">
        <is>
          <t>USD</t>
        </is>
      </c>
      <c r="E19" t="n">
        <v>1.4</v>
      </c>
      <c r="F19" t="n">
        <v>1.4</v>
      </c>
      <c r="G19" t="n">
        <v>84.25</v>
      </c>
      <c r="H19" t="n">
        <v>118</v>
      </c>
    </row>
    <row r="20">
      <c r="A20" t="inlineStr">
        <is>
          <t>CY2025</t>
        </is>
      </c>
      <c r="B20" s="2" t="n">
        <v>45782</v>
      </c>
      <c r="C20" t="inlineStr">
        <is>
          <t>BX(US09260D1072) Cash Dividend USD 0.93 per Share - US Tax</t>
        </is>
      </c>
      <c r="D20" t="inlineStr">
        <is>
          <t>USD</t>
        </is>
      </c>
      <c r="E20" t="n">
        <v>-0.7</v>
      </c>
      <c r="F20" t="n">
        <v>-0.7</v>
      </c>
      <c r="G20" t="n">
        <v>84.25</v>
      </c>
      <c r="H20" t="n">
        <v>-59</v>
      </c>
    </row>
    <row r="21">
      <c r="A21" t="inlineStr">
        <is>
          <t>CY2025</t>
        </is>
      </c>
      <c r="B21" s="2" t="n">
        <v>45783</v>
      </c>
      <c r="C21" t="inlineStr">
        <is>
          <t>TIP(US4642871762) Cash Dividend USD 0.534953 per Share - US Tax</t>
        </is>
      </c>
      <c r="D21" t="inlineStr">
        <is>
          <t>USD</t>
        </is>
      </c>
      <c r="E21" t="n">
        <v>-1.61</v>
      </c>
      <c r="F21" t="n">
        <v>-1.61</v>
      </c>
      <c r="G21" t="n">
        <v>84.25</v>
      </c>
      <c r="H21" t="n">
        <v>-136</v>
      </c>
    </row>
    <row r="22">
      <c r="A22" t="inlineStr">
        <is>
          <t>CY2025</t>
        </is>
      </c>
      <c r="B22" s="2" t="n">
        <v>45783</v>
      </c>
      <c r="C22" t="inlineStr">
        <is>
          <t>TIP(US4642871762) Cash Dividend USD 0.534953 per Share - US Tax</t>
        </is>
      </c>
      <c r="D22" t="inlineStr">
        <is>
          <t>USD</t>
        </is>
      </c>
      <c r="E22" t="n">
        <v>1.61</v>
      </c>
      <c r="F22" t="n">
        <v>1.61</v>
      </c>
      <c r="G22" t="n">
        <v>84.25</v>
      </c>
      <c r="H22" t="n">
        <v>136</v>
      </c>
    </row>
    <row r="23">
      <c r="A23" t="inlineStr">
        <is>
          <t>CY2025</t>
        </is>
      </c>
      <c r="B23" s="2" t="n">
        <v>45786</v>
      </c>
      <c r="C23" t="inlineStr">
        <is>
          <t>AXP(US0258161092) Cash Dividend USD 0.82 per Share - US Tax</t>
        </is>
      </c>
      <c r="D23" t="inlineStr">
        <is>
          <t>USD</t>
        </is>
      </c>
      <c r="E23" t="n">
        <v>-0.41</v>
      </c>
      <c r="F23" t="n">
        <v>-0.41</v>
      </c>
      <c r="G23" t="n">
        <v>84.25</v>
      </c>
      <c r="H23" t="n">
        <v>-35</v>
      </c>
    </row>
    <row r="24">
      <c r="A24" t="inlineStr">
        <is>
          <t>CY2025</t>
        </is>
      </c>
      <c r="B24" s="2" t="n">
        <v>45786</v>
      </c>
      <c r="C24" t="inlineStr">
        <is>
          <t>GD(US3695501086) Cash Dividend USD 1.50 per Share - US Tax</t>
        </is>
      </c>
      <c r="D24" t="inlineStr">
        <is>
          <t>USD</t>
        </is>
      </c>
      <c r="E24" t="n">
        <v>-0.75</v>
      </c>
      <c r="F24" t="n">
        <v>-0.75</v>
      </c>
      <c r="G24" t="n">
        <v>84.25</v>
      </c>
      <c r="H24" t="n">
        <v>-63</v>
      </c>
    </row>
    <row r="25">
      <c r="A25" t="inlineStr">
        <is>
          <t>CY2025</t>
        </is>
      </c>
      <c r="B25" s="2" t="n">
        <v>45797</v>
      </c>
      <c r="C25" t="inlineStr">
        <is>
          <t>CAT(US1491231015) Cash Dividend USD 1.41 per Share - US Tax</t>
        </is>
      </c>
      <c r="D25" t="inlineStr">
        <is>
          <t>USD</t>
        </is>
      </c>
      <c r="E25" t="n">
        <v>-1.06</v>
      </c>
      <c r="F25" t="n">
        <v>-1.06</v>
      </c>
      <c r="G25" t="n">
        <v>84.25</v>
      </c>
      <c r="H25" t="n">
        <v>-89</v>
      </c>
    </row>
    <row r="26">
      <c r="A26" t="inlineStr">
        <is>
          <t>CY2025</t>
        </is>
      </c>
      <c r="B26" s="2" t="n">
        <v>45810</v>
      </c>
      <c r="C26" t="inlineStr">
        <is>
          <t>TGT(US87612E1064) Cash Dividend USD 1.12 per Share - US Tax</t>
        </is>
      </c>
      <c r="D26" t="inlineStr">
        <is>
          <t>USD</t>
        </is>
      </c>
      <c r="E26" t="n">
        <v>-2.52</v>
      </c>
      <c r="F26" t="n">
        <v>-2.52</v>
      </c>
      <c r="G26" t="n">
        <v>85.09999999999999</v>
      </c>
      <c r="H26" t="n">
        <v>-214</v>
      </c>
    </row>
    <row r="27">
      <c r="A27" t="inlineStr">
        <is>
          <t>CY2025</t>
        </is>
      </c>
      <c r="B27" s="2" t="n">
        <v>45813</v>
      </c>
      <c r="C27" t="inlineStr">
        <is>
          <t>TIP(US4642871762) Cash Dividend USD 0.273105 per Share - US Tax</t>
        </is>
      </c>
      <c r="D27" t="inlineStr">
        <is>
          <t>USD</t>
        </is>
      </c>
      <c r="E27" t="n">
        <v>-0.82</v>
      </c>
      <c r="F27" t="n">
        <v>-0.82</v>
      </c>
      <c r="G27" t="n">
        <v>85.09999999999999</v>
      </c>
      <c r="H27" t="n">
        <v>-70</v>
      </c>
    </row>
    <row r="28">
      <c r="A28" t="inlineStr">
        <is>
          <t>CY2025</t>
        </is>
      </c>
      <c r="B28" s="2" t="n">
        <v>45813</v>
      </c>
      <c r="C28" t="inlineStr">
        <is>
          <t>TIP(US4642871762) Cash Dividend USD 0.273105 per Share - US Tax</t>
        </is>
      </c>
      <c r="D28" t="inlineStr">
        <is>
          <t>USD</t>
        </is>
      </c>
      <c r="E28" t="n">
        <v>0.82</v>
      </c>
      <c r="F28" t="n">
        <v>0.82</v>
      </c>
      <c r="G28" t="n">
        <v>85.09999999999999</v>
      </c>
      <c r="H28" t="n">
        <v>70</v>
      </c>
    </row>
    <row r="29">
      <c r="A29" t="inlineStr">
        <is>
          <t>CY2025</t>
        </is>
      </c>
      <c r="B29" s="2" t="n">
        <v>45818</v>
      </c>
      <c r="C29" t="inlineStr">
        <is>
          <t>LLY(US5324571083) Cash Dividend USD 1.50 per Share - US Tax</t>
        </is>
      </c>
      <c r="D29" t="inlineStr">
        <is>
          <t>USD</t>
        </is>
      </c>
      <c r="E29" t="n">
        <v>-0.65</v>
      </c>
      <c r="F29" t="n">
        <v>-0.65</v>
      </c>
      <c r="G29" t="n">
        <v>85.09999999999999</v>
      </c>
      <c r="H29" t="n">
        <v>-55</v>
      </c>
    </row>
    <row r="30">
      <c r="A30" t="inlineStr">
        <is>
          <t>CY2025</t>
        </is>
      </c>
      <c r="B30" s="2" t="n">
        <v>45820</v>
      </c>
      <c r="C30" t="inlineStr">
        <is>
          <t>MSFT(US5949181045) Cash Dividend USD 0.83 per Share - US Tax</t>
        </is>
      </c>
      <c r="D30" t="inlineStr">
        <is>
          <t>USD</t>
        </is>
      </c>
      <c r="E30" t="n">
        <v>-0.62</v>
      </c>
      <c r="F30" t="n">
        <v>-0.62</v>
      </c>
      <c r="G30" t="n">
        <v>85.09999999999999</v>
      </c>
      <c r="H30" t="n">
        <v>-53</v>
      </c>
    </row>
    <row r="31">
      <c r="A31" t="inlineStr">
        <is>
          <t>CY2025</t>
        </is>
      </c>
      <c r="B31" s="2" t="n">
        <v>45820</v>
      </c>
      <c r="C31" t="inlineStr">
        <is>
          <t>RTX(US75513E1010) Cash Dividend USD 0.68 per Share - US Tax</t>
        </is>
      </c>
      <c r="D31" t="inlineStr">
        <is>
          <t>USD</t>
        </is>
      </c>
      <c r="E31" t="n">
        <v>-0.85</v>
      </c>
      <c r="F31" t="n">
        <v>-0.85</v>
      </c>
      <c r="G31" t="n">
        <v>85.09999999999999</v>
      </c>
      <c r="H31" t="n">
        <v>-72</v>
      </c>
    </row>
    <row r="32">
      <c r="A32" t="inlineStr">
        <is>
          <t>CY2025</t>
        </is>
      </c>
      <c r="B32" s="2" t="n">
        <v>45828</v>
      </c>
      <c r="C32" t="inlineStr">
        <is>
          <t>MCHI(US46429B6719) Cash Dividend USD 0.535561 per Share - US Tax</t>
        </is>
      </c>
      <c r="D32" t="inlineStr">
        <is>
          <t>USD</t>
        </is>
      </c>
      <c r="E32" t="n">
        <v>-1.61</v>
      </c>
      <c r="F32" t="n">
        <v>-1.61</v>
      </c>
      <c r="G32" t="n">
        <v>85.09999999999999</v>
      </c>
      <c r="H32" t="n">
        <v>-137</v>
      </c>
    </row>
    <row r="33">
      <c r="A33" t="inlineStr">
        <is>
          <t>CY2025</t>
        </is>
      </c>
      <c r="B33" s="2" t="n">
        <v>45835</v>
      </c>
      <c r="C33" t="inlineStr">
        <is>
          <t>BAC(US0605051046) Cash Dividend USD 0.26 per Share - US Tax</t>
        </is>
      </c>
      <c r="D33" t="inlineStr">
        <is>
          <t>USD</t>
        </is>
      </c>
      <c r="E33" t="n">
        <v>-0.91</v>
      </c>
      <c r="F33" t="n">
        <v>-0.91</v>
      </c>
      <c r="G33" t="n">
        <v>85.09999999999999</v>
      </c>
      <c r="H33" t="n">
        <v>-77</v>
      </c>
    </row>
    <row r="34">
      <c r="A34" t="inlineStr">
        <is>
          <t>CY2025</t>
        </is>
      </c>
      <c r="B34" s="2" t="n">
        <v>45845</v>
      </c>
      <c r="C34" t="inlineStr">
        <is>
          <t>TIP(US4642871762) Cash Dividend USD 0.379923 per Share - US Tax</t>
        </is>
      </c>
      <c r="D34" t="inlineStr">
        <is>
          <t>USD</t>
        </is>
      </c>
      <c r="E34" t="n">
        <v>-1.14</v>
      </c>
      <c r="F34" t="n">
        <v>-1.14</v>
      </c>
      <c r="G34" t="n">
        <v>85.09999999999999</v>
      </c>
      <c r="H34" t="n">
        <v>-97</v>
      </c>
    </row>
    <row r="35">
      <c r="A35" t="inlineStr">
        <is>
          <t>CY2025</t>
        </is>
      </c>
      <c r="B35" s="2" t="n">
        <v>45845</v>
      </c>
      <c r="C35" t="inlineStr">
        <is>
          <t>TIP(US4642871762) Cash Dividend USD 0.379923 per Share - US Tax</t>
        </is>
      </c>
      <c r="D35" t="inlineStr">
        <is>
          <t>USD</t>
        </is>
      </c>
      <c r="E35" t="n">
        <v>1.14</v>
      </c>
      <c r="F35" t="n">
        <v>1.14</v>
      </c>
      <c r="G35" t="n">
        <v>85.09999999999999</v>
      </c>
      <c r="H35" t="n">
        <v>97</v>
      </c>
    </row>
    <row r="36">
      <c r="A36" t="inlineStr">
        <is>
          <t>CY2025</t>
        </is>
      </c>
      <c r="B36" s="2" t="n">
        <v>45848</v>
      </c>
      <c r="C36" t="inlineStr">
        <is>
          <t>TSM(US8740391003) Cash Dividend USD 0.780305 per Share - TW Tax</t>
        </is>
      </c>
      <c r="D36" t="inlineStr">
        <is>
          <t>USD</t>
        </is>
      </c>
      <c r="E36" t="n">
        <v>-0.49</v>
      </c>
      <c r="F36" t="n">
        <v>-0.49</v>
      </c>
      <c r="G36" t="n">
        <v>85.09999999999999</v>
      </c>
      <c r="H36" t="n">
        <v>-42</v>
      </c>
    </row>
    <row r="37">
      <c r="A37" t="inlineStr">
        <is>
          <t>CY2025</t>
        </is>
      </c>
      <c r="B37" s="2" t="n">
        <v>45863</v>
      </c>
      <c r="C37" t="inlineStr">
        <is>
          <t>GE(US3696043013) Cash Dividend USD 0.36 per Share - US Tax</t>
        </is>
      </c>
      <c r="D37" t="inlineStr">
        <is>
          <t>USD</t>
        </is>
      </c>
      <c r="E37" t="n">
        <v>-0.54</v>
      </c>
      <c r="F37" t="n">
        <v>-0.54</v>
      </c>
      <c r="G37" t="n">
        <v>85.09999999999999</v>
      </c>
      <c r="H37" t="n">
        <v>-46</v>
      </c>
    </row>
    <row r="38">
      <c r="A38" t="inlineStr">
        <is>
          <t>CY2025</t>
        </is>
      </c>
      <c r="B38" s="2" t="n">
        <v>45875</v>
      </c>
      <c r="C38" t="inlineStr">
        <is>
          <t>TIP(US4642871762) Cash Dividend USD 0.264488 per Share - US Tax</t>
        </is>
      </c>
      <c r="D38" t="inlineStr">
        <is>
          <t>USD</t>
        </is>
      </c>
      <c r="E38" t="n">
        <v>-0.79</v>
      </c>
      <c r="F38" t="n">
        <v>-0.79</v>
      </c>
      <c r="G38" t="n">
        <v>87.15000000000001</v>
      </c>
      <c r="H38" t="n">
        <v>-69</v>
      </c>
    </row>
    <row r="39">
      <c r="A39" t="inlineStr">
        <is>
          <t>CY2025</t>
        </is>
      </c>
      <c r="B39" s="2" t="n">
        <v>45875</v>
      </c>
      <c r="C39" t="inlineStr">
        <is>
          <t>TIP(US4642871762) Cash Dividend USD 0.264488 per Share - US Tax</t>
        </is>
      </c>
      <c r="D39" t="inlineStr">
        <is>
          <t>USD</t>
        </is>
      </c>
      <c r="E39" t="n">
        <v>0.79</v>
      </c>
      <c r="F39" t="n">
        <v>0.79</v>
      </c>
      <c r="G39" t="n">
        <v>87.15000000000001</v>
      </c>
      <c r="H39" t="n">
        <v>69</v>
      </c>
    </row>
    <row r="40">
      <c r="A40" t="inlineStr">
        <is>
          <t>CY2025</t>
        </is>
      </c>
      <c r="B40" s="2" t="n">
        <v>45877</v>
      </c>
      <c r="C40" t="inlineStr">
        <is>
          <t>AXP(US0258161092) Cash Dividend USD 0.82 per Share - US Tax</t>
        </is>
      </c>
      <c r="D40" t="inlineStr">
        <is>
          <t>USD</t>
        </is>
      </c>
      <c r="E40" t="n">
        <v>-0.82</v>
      </c>
      <c r="F40" t="n">
        <v>-0.82</v>
      </c>
      <c r="G40" t="n">
        <v>87.15000000000001</v>
      </c>
      <c r="H40" t="n">
        <v>-71</v>
      </c>
    </row>
    <row r="41">
      <c r="A41" t="inlineStr">
        <is>
          <t>CY2025</t>
        </is>
      </c>
      <c r="B41" s="2" t="n">
        <v>45877</v>
      </c>
      <c r="C41" t="inlineStr">
        <is>
          <t>GD(US3695501086) Cash Dividend USD 1.50 per Share - US Tax</t>
        </is>
      </c>
      <c r="D41" t="inlineStr">
        <is>
          <t>USD</t>
        </is>
      </c>
      <c r="E41" t="n">
        <v>-0.75</v>
      </c>
      <c r="F41" t="n">
        <v>-0.75</v>
      </c>
      <c r="G41" t="n">
        <v>87.15000000000001</v>
      </c>
      <c r="H41" t="n">
        <v>-65</v>
      </c>
    </row>
    <row r="42">
      <c r="A42" t="inlineStr">
        <is>
          <t>CY2025</t>
        </is>
      </c>
      <c r="B42" s="2" t="n">
        <v>45880</v>
      </c>
      <c r="C42" t="inlineStr">
        <is>
          <t>BX(US09260D1072) Cash Dividend USD 1.03 per Share - US Tax</t>
        </is>
      </c>
      <c r="D42" t="inlineStr">
        <is>
          <t>USD</t>
        </is>
      </c>
      <c r="E42" t="n">
        <v>-3.09</v>
      </c>
      <c r="F42" t="n">
        <v>-3.09</v>
      </c>
      <c r="G42" t="n">
        <v>87.15000000000001</v>
      </c>
      <c r="H42" t="n">
        <v>-269</v>
      </c>
    </row>
    <row r="43">
      <c r="A43" t="inlineStr">
        <is>
          <t>CY2025</t>
        </is>
      </c>
      <c r="B43" s="2" t="n">
        <v>45880</v>
      </c>
      <c r="C43" t="inlineStr">
        <is>
          <t>BX(US09260D1072) Cash Dividend USD 1.03 per Share - US Tax</t>
        </is>
      </c>
      <c r="D43" t="inlineStr">
        <is>
          <t>USD</t>
        </is>
      </c>
      <c r="E43" t="n">
        <v>3.09</v>
      </c>
      <c r="F43" t="n">
        <v>3.09</v>
      </c>
      <c r="G43" t="n">
        <v>87.15000000000001</v>
      </c>
      <c r="H43" t="n">
        <v>269</v>
      </c>
    </row>
    <row r="44">
      <c r="A44" t="inlineStr">
        <is>
          <t>CY2025</t>
        </is>
      </c>
      <c r="B44" s="2" t="n">
        <v>45880</v>
      </c>
      <c r="C44" t="inlineStr">
        <is>
          <t>BX(US09260D1072) Cash Dividend USD 1.03 per Share - US Tax</t>
        </is>
      </c>
      <c r="D44" t="inlineStr">
        <is>
          <t>USD</t>
        </is>
      </c>
      <c r="E44" t="n">
        <v>-1.55</v>
      </c>
      <c r="F44" t="n">
        <v>-1.55</v>
      </c>
      <c r="G44" t="n">
        <v>87.15000000000001</v>
      </c>
      <c r="H44" t="n">
        <v>-135</v>
      </c>
    </row>
    <row r="45">
      <c r="A45" t="inlineStr">
        <is>
          <t>CY2025</t>
        </is>
      </c>
      <c r="B45" s="2" t="n">
        <v>45889</v>
      </c>
      <c r="C45" t="inlineStr">
        <is>
          <t>CAT(US1491231015) Cash Dividend USD 1.51 per Share - US Tax</t>
        </is>
      </c>
      <c r="D45" t="inlineStr">
        <is>
          <t>USD</t>
        </is>
      </c>
      <c r="E45" t="n">
        <v>-1.13</v>
      </c>
      <c r="F45" t="n">
        <v>-1.13</v>
      </c>
      <c r="G45" t="n">
        <v>87.15000000000001</v>
      </c>
      <c r="H45" t="n">
        <v>-98</v>
      </c>
    </row>
    <row r="46">
      <c r="A46" t="inlineStr">
        <is>
          <t>CY2025</t>
        </is>
      </c>
      <c r="B46" s="2" t="n">
        <v>45902</v>
      </c>
      <c r="C46" t="inlineStr">
        <is>
          <t>TGT(US87612E1064) Cash Dividend USD 1.14 per Share - US Tax</t>
        </is>
      </c>
      <c r="D46" t="inlineStr">
        <is>
          <t>USD</t>
        </is>
      </c>
      <c r="E46" t="n">
        <v>-2.57</v>
      </c>
      <c r="F46" t="n">
        <v>-2.57</v>
      </c>
      <c r="G46" t="n">
        <v>87.7</v>
      </c>
      <c r="H46" t="n">
        <v>-225</v>
      </c>
    </row>
    <row r="47">
      <c r="A47" t="inlineStr">
        <is>
          <t>CY2025</t>
        </is>
      </c>
      <c r="B47" s="2" t="n">
        <v>45904</v>
      </c>
      <c r="C47" t="inlineStr">
        <is>
          <t>RTX(US75513E1010) Cash Dividend USD 0.68 per Share - US Tax</t>
        </is>
      </c>
      <c r="D47" t="inlineStr">
        <is>
          <t>USD</t>
        </is>
      </c>
      <c r="E47" t="n">
        <v>-0.85</v>
      </c>
      <c r="F47" t="n">
        <v>-0.85</v>
      </c>
      <c r="G47" t="n">
        <v>87.7</v>
      </c>
      <c r="H47" t="n">
        <v>-75</v>
      </c>
    </row>
    <row r="48">
      <c r="A48" t="inlineStr">
        <is>
          <t>CY2025</t>
        </is>
      </c>
      <c r="B48" s="2" t="n">
        <v>45905</v>
      </c>
      <c r="C48" t="inlineStr">
        <is>
          <t>TIP(US4642871762) Cash Dividend USD 0.417238 per Share - US Tax</t>
        </is>
      </c>
      <c r="D48" t="inlineStr">
        <is>
          <t>USD</t>
        </is>
      </c>
      <c r="E48" t="n">
        <v>-1.25</v>
      </c>
      <c r="F48" t="n">
        <v>-1.25</v>
      </c>
      <c r="G48" t="n">
        <v>87.7</v>
      </c>
      <c r="H48" t="n">
        <v>-110</v>
      </c>
    </row>
    <row r="49">
      <c r="A49" t="inlineStr">
        <is>
          <t>CY2025</t>
        </is>
      </c>
      <c r="B49" s="2" t="n">
        <v>45905</v>
      </c>
      <c r="C49" t="inlineStr">
        <is>
          <t>TIP(US4642871762) Cash Dividend USD 0.417238 per Share - US Tax</t>
        </is>
      </c>
      <c r="D49" t="inlineStr">
        <is>
          <t>USD</t>
        </is>
      </c>
      <c r="E49" t="n">
        <v>1.25</v>
      </c>
      <c r="F49" t="n">
        <v>1.25</v>
      </c>
      <c r="G49" t="n">
        <v>87.7</v>
      </c>
      <c r="H49" t="n">
        <v>110</v>
      </c>
    </row>
    <row r="50">
      <c r="A50" t="inlineStr">
        <is>
          <t>CY2025</t>
        </is>
      </c>
      <c r="B50" s="2" t="n">
        <v>45910</v>
      </c>
      <c r="C50" t="inlineStr">
        <is>
          <t>LLY(US5324571083) Cash Dividend USD 1.50 per Share - US Tax</t>
        </is>
      </c>
      <c r="D50" t="inlineStr">
        <is>
          <t>USD</t>
        </is>
      </c>
      <c r="E50" t="n">
        <v>-0.65</v>
      </c>
      <c r="F50" t="n">
        <v>-0.65</v>
      </c>
      <c r="G50" t="n">
        <v>87.7</v>
      </c>
      <c r="H50" t="n">
        <v>-57</v>
      </c>
    </row>
    <row r="51">
      <c r="A51" t="inlineStr">
        <is>
          <t>CY2025</t>
        </is>
      </c>
      <c r="B51" s="2" t="n">
        <v>45911</v>
      </c>
      <c r="C51" t="inlineStr">
        <is>
          <t>MSFT(US5949181045) Cash Dividend USD 0.83 per Share - US Tax</t>
        </is>
      </c>
      <c r="D51" t="inlineStr">
        <is>
          <t>USD</t>
        </is>
      </c>
      <c r="E51" t="n">
        <v>-0.62</v>
      </c>
      <c r="F51" t="n">
        <v>-0.62</v>
      </c>
      <c r="G51" t="n">
        <v>87.7</v>
      </c>
      <c r="H51" t="n">
        <v>-54</v>
      </c>
    </row>
    <row r="52">
      <c r="A52" t="inlineStr">
        <is>
          <t>CY2025</t>
        </is>
      </c>
      <c r="B52" s="2" t="n">
        <v>45926</v>
      </c>
      <c r="C52" t="inlineStr">
        <is>
          <t>BAC(US0605051046) Cash Dividend USD 0.28 per Share - US Tax</t>
        </is>
      </c>
      <c r="D52" t="inlineStr">
        <is>
          <t>USD</t>
        </is>
      </c>
      <c r="E52" t="n">
        <v>-0.98</v>
      </c>
      <c r="F52" t="n">
        <v>-0.98</v>
      </c>
      <c r="G52" t="n">
        <v>87.7</v>
      </c>
      <c r="H52" t="n">
        <v>-86</v>
      </c>
    </row>
    <row r="53">
      <c r="A53" t="inlineStr">
        <is>
          <t>CY2025</t>
        </is>
      </c>
      <c r="B53" s="2" t="n">
        <v>45936</v>
      </c>
      <c r="C53" t="inlineStr">
        <is>
          <t>TIP(US4642871762) Cash Dividend USD 0.198069 per Share - US Tax</t>
        </is>
      </c>
      <c r="D53" t="inlineStr">
        <is>
          <t>USD</t>
        </is>
      </c>
      <c r="E53" t="n">
        <v>-0.6</v>
      </c>
      <c r="F53" t="n">
        <v>-0.6</v>
      </c>
      <c r="G53" t="n">
        <v>88.34999999999999</v>
      </c>
      <c r="H53" t="n">
        <v>-53</v>
      </c>
    </row>
    <row r="54">
      <c r="A54" t="inlineStr">
        <is>
          <t>CY2025</t>
        </is>
      </c>
      <c r="B54" s="2" t="n">
        <v>45936</v>
      </c>
      <c r="C54" t="inlineStr">
        <is>
          <t>TIP(US4642871762) Cash Dividend USD 0.198069 per Share - US Tax</t>
        </is>
      </c>
      <c r="D54" t="inlineStr">
        <is>
          <t>USD</t>
        </is>
      </c>
      <c r="E54" t="n">
        <v>0.6</v>
      </c>
      <c r="F54" t="n">
        <v>0.6</v>
      </c>
      <c r="G54" t="n">
        <v>88.34999999999999</v>
      </c>
      <c r="H54" t="n">
        <v>53</v>
      </c>
    </row>
    <row r="55">
      <c r="A55" t="inlineStr">
        <is>
          <t>CY2025</t>
        </is>
      </c>
      <c r="B55" s="2" t="n">
        <v>45939</v>
      </c>
      <c r="C55" t="inlineStr">
        <is>
          <t>TSM(US8740391003) Cash Dividend USD 0.821965 per Share - TW Tax</t>
        </is>
      </c>
      <c r="D55" t="inlineStr">
        <is>
          <t>USD</t>
        </is>
      </c>
      <c r="E55" t="n">
        <v>-0.52</v>
      </c>
      <c r="F55" t="n">
        <v>-0.52</v>
      </c>
      <c r="G55" t="n">
        <v>88.34999999999999</v>
      </c>
      <c r="H55" t="n">
        <v>-46</v>
      </c>
    </row>
    <row r="56">
      <c r="A56" t="inlineStr">
        <is>
          <t>CY2025</t>
        </is>
      </c>
      <c r="B56" s="2" t="n">
        <v>45957</v>
      </c>
      <c r="C56" t="inlineStr">
        <is>
          <t>GE(US3696043013) Cash Dividend USD 0.36 per Share - US Tax</t>
        </is>
      </c>
      <c r="D56" t="inlineStr">
        <is>
          <t>USD</t>
        </is>
      </c>
      <c r="E56" t="n">
        <v>-0.54</v>
      </c>
      <c r="F56" t="n">
        <v>-0.54</v>
      </c>
      <c r="G56" t="n">
        <v>88.34999999999999</v>
      </c>
      <c r="H56" t="n">
        <v>-48</v>
      </c>
    </row>
    <row r="57">
      <c r="A57" t="inlineStr">
        <is>
          <t>CY2025</t>
        </is>
      </c>
      <c r="B57" s="2" t="n">
        <v>45967</v>
      </c>
      <c r="C57" t="inlineStr">
        <is>
          <t>TIP(US4642871762) Cash Dividend USD 0.360933 per Share - US Tax</t>
        </is>
      </c>
      <c r="D57" t="inlineStr">
        <is>
          <t>USD</t>
        </is>
      </c>
      <c r="E57" t="n">
        <v>-1.08</v>
      </c>
      <c r="F57" t="n">
        <v>-1.08</v>
      </c>
      <c r="G57" t="n">
        <v>88.2</v>
      </c>
      <c r="H57" t="n">
        <v>-95</v>
      </c>
    </row>
    <row r="58">
      <c r="A58" t="inlineStr">
        <is>
          <t>CY2025</t>
        </is>
      </c>
      <c r="B58" s="2" t="n">
        <v>45967</v>
      </c>
      <c r="C58" t="inlineStr">
        <is>
          <t>TIP(US4642871762) Cash Dividend USD 0.360933 per Share - US Tax</t>
        </is>
      </c>
      <c r="D58" t="inlineStr">
        <is>
          <t>USD</t>
        </is>
      </c>
      <c r="E58" t="n">
        <v>1.08</v>
      </c>
      <c r="F58" t="n">
        <v>1.08</v>
      </c>
      <c r="G58" t="n">
        <v>88.2</v>
      </c>
      <c r="H58" t="n">
        <v>95</v>
      </c>
    </row>
    <row r="59">
      <c r="A59" t="inlineStr">
        <is>
          <t>CY2025</t>
        </is>
      </c>
      <c r="B59" s="2" t="n">
        <v>45971</v>
      </c>
      <c r="C59" t="inlineStr">
        <is>
          <t>AXP(US0258161092) Cash Dividend USD 0.82 per Share - US Tax</t>
        </is>
      </c>
      <c r="D59" t="inlineStr">
        <is>
          <t>USD</t>
        </is>
      </c>
      <c r="E59" t="n">
        <v>-0.82</v>
      </c>
      <c r="F59" t="n">
        <v>-0.82</v>
      </c>
      <c r="G59" t="n">
        <v>88.2</v>
      </c>
      <c r="H59" t="n">
        <v>-72</v>
      </c>
    </row>
    <row r="60">
      <c r="A60" t="inlineStr">
        <is>
          <t>CY2025</t>
        </is>
      </c>
      <c r="B60" s="2" t="n">
        <v>45971</v>
      </c>
      <c r="C60" t="inlineStr">
        <is>
          <t>BX(US09260D1072) Cash Dividend USD 1.29 per Share - US Tax</t>
        </is>
      </c>
      <c r="D60" t="inlineStr">
        <is>
          <t>USD</t>
        </is>
      </c>
      <c r="E60" t="n">
        <v>-3.87</v>
      </c>
      <c r="F60" t="n">
        <v>-3.87</v>
      </c>
      <c r="G60" t="n">
        <v>88.2</v>
      </c>
      <c r="H60" t="n">
        <v>-341</v>
      </c>
    </row>
    <row r="61">
      <c r="A61" t="inlineStr">
        <is>
          <t>CY2025</t>
        </is>
      </c>
      <c r="B61" s="2" t="n">
        <v>45971</v>
      </c>
      <c r="C61" t="inlineStr">
        <is>
          <t>BX(US09260D1072) Cash Dividend USD 1.29 per Share - US Tax</t>
        </is>
      </c>
      <c r="D61" t="inlineStr">
        <is>
          <t>USD</t>
        </is>
      </c>
      <c r="E61" t="n">
        <v>3.87</v>
      </c>
      <c r="F61" t="n">
        <v>3.87</v>
      </c>
      <c r="G61" t="n">
        <v>88.2</v>
      </c>
      <c r="H61" t="n">
        <v>341</v>
      </c>
    </row>
    <row r="62">
      <c r="A62" t="inlineStr">
        <is>
          <t>CY2025</t>
        </is>
      </c>
      <c r="B62" s="2" t="n">
        <v>45971</v>
      </c>
      <c r="C62" t="inlineStr">
        <is>
          <t>BX(US09260D1072) Cash Dividend USD 1.29 per Share - US Tax</t>
        </is>
      </c>
      <c r="D62" t="inlineStr">
        <is>
          <t>USD</t>
        </is>
      </c>
      <c r="E62" t="n">
        <v>-1.95</v>
      </c>
      <c r="F62" t="n">
        <v>-1.95</v>
      </c>
      <c r="G62" t="n">
        <v>88.2</v>
      </c>
      <c r="H62" t="n">
        <v>-172</v>
      </c>
    </row>
    <row r="63">
      <c r="A63" t="inlineStr">
        <is>
          <t>CY2025</t>
        </is>
      </c>
      <c r="B63" s="2" t="n">
        <v>45975</v>
      </c>
      <c r="C63" t="inlineStr">
        <is>
          <t>GD(US3695501086) Cash Dividend USD 1.50 per Share - US Tax</t>
        </is>
      </c>
      <c r="D63" t="inlineStr">
        <is>
          <t>USD</t>
        </is>
      </c>
      <c r="E63" t="n">
        <v>-0.75</v>
      </c>
      <c r="F63" t="n">
        <v>-0.75</v>
      </c>
      <c r="G63" t="n">
        <v>88.2</v>
      </c>
      <c r="H63" t="n">
        <v>-66</v>
      </c>
    </row>
    <row r="64">
      <c r="A64" t="inlineStr">
        <is>
          <t>CY2025</t>
        </is>
      </c>
      <c r="B64" s="2" t="n">
        <v>45981</v>
      </c>
      <c r="C64" t="inlineStr">
        <is>
          <t>CAT(US1491231015) Cash Dividend USD 1.51 per Share - US Tax</t>
        </is>
      </c>
      <c r="D64" t="inlineStr">
        <is>
          <t>USD</t>
        </is>
      </c>
      <c r="E64" t="n">
        <v>-1.13</v>
      </c>
      <c r="F64" t="n">
        <v>-1.13</v>
      </c>
      <c r="G64" t="n">
        <v>88.2</v>
      </c>
      <c r="H64" t="n">
        <v>-100</v>
      </c>
    </row>
    <row r="65">
      <c r="A65" t="inlineStr">
        <is>
          <t>CY2025</t>
        </is>
      </c>
      <c r="B65" s="2" t="n">
        <v>45992</v>
      </c>
      <c r="C65" t="inlineStr">
        <is>
          <t>TGT(US87612E1064) Cash Dividend USD 1.14 per Share - US Tax</t>
        </is>
      </c>
      <c r="D65" t="inlineStr">
        <is>
          <t>USD</t>
        </is>
      </c>
      <c r="E65" t="n">
        <v>-5.7</v>
      </c>
      <c r="F65" t="n">
        <v>-5.7</v>
      </c>
      <c r="G65" t="n">
        <v>88.95</v>
      </c>
      <c r="H65" t="n">
        <v>-507</v>
      </c>
    </row>
    <row r="66">
      <c r="A66" t="inlineStr">
        <is>
          <t>CY2025</t>
        </is>
      </c>
      <c r="B66" s="2" t="n">
        <v>45995</v>
      </c>
      <c r="C66" t="inlineStr">
        <is>
          <t>TIP(US4642871762) Cash Dividend USD 0.322417 per Share - US Tax</t>
        </is>
      </c>
      <c r="D66" t="inlineStr">
        <is>
          <t>USD</t>
        </is>
      </c>
      <c r="E66" t="n">
        <v>-0.97</v>
      </c>
      <c r="F66" t="n">
        <v>-0.97</v>
      </c>
      <c r="G66" t="n">
        <v>88.95</v>
      </c>
      <c r="H66" t="n">
        <v>-86</v>
      </c>
    </row>
    <row r="67">
      <c r="A67" t="inlineStr">
        <is>
          <t>CY2025</t>
        </is>
      </c>
      <c r="B67" s="2" t="n">
        <v>45995</v>
      </c>
      <c r="C67" t="inlineStr">
        <is>
          <t>TIP(US4642871762) Cash Dividend USD 0.322417 per Share - US Tax</t>
        </is>
      </c>
      <c r="D67" t="inlineStr">
        <is>
          <t>USD</t>
        </is>
      </c>
      <c r="E67" t="n">
        <v>0.97</v>
      </c>
      <c r="F67" t="n">
        <v>0.97</v>
      </c>
      <c r="G67" t="n">
        <v>88.95</v>
      </c>
      <c r="H67" t="n">
        <v>86</v>
      </c>
    </row>
    <row r="68">
      <c r="A68" t="inlineStr">
        <is>
          <t>CY2025</t>
        </is>
      </c>
      <c r="B68" s="2" t="n">
        <v>46001</v>
      </c>
      <c r="C68" t="inlineStr">
        <is>
          <t>4568.T(JP3475350009) Cash Dividend JPY 39 per Share - JP Tax</t>
        </is>
      </c>
      <c r="D68" t="inlineStr">
        <is>
          <t>JPY</t>
        </is>
      </c>
      <c r="E68" t="n">
        <v>-597</v>
      </c>
      <c r="F68" t="n">
        <v>-3.8105</v>
      </c>
      <c r="G68" t="n">
        <v>88.95</v>
      </c>
      <c r="H68" t="n">
        <v>-339</v>
      </c>
    </row>
    <row r="69">
      <c r="A69" t="inlineStr">
        <is>
          <t>CY2025</t>
        </is>
      </c>
      <c r="B69" s="2" t="n">
        <v>46001</v>
      </c>
      <c r="C69" t="inlineStr">
        <is>
          <t>LLY(US5324571083) Cash Dividend USD 1.50 per Share - US Tax</t>
        </is>
      </c>
      <c r="D69" t="inlineStr">
        <is>
          <t>USD</t>
        </is>
      </c>
      <c r="E69" t="n">
        <v>-0.65</v>
      </c>
      <c r="F69" t="n">
        <v>-0.65</v>
      </c>
      <c r="G69" t="n">
        <v>88.95</v>
      </c>
      <c r="H69" t="n">
        <v>-58</v>
      </c>
    </row>
    <row r="70">
      <c r="A70" t="inlineStr">
        <is>
          <t>CY2025</t>
        </is>
      </c>
      <c r="B70" s="2" t="n">
        <v>46002</v>
      </c>
      <c r="C70" t="inlineStr">
        <is>
          <t>MSFT(US5949181045) Cash Dividend USD 0.91 per Share - US Tax</t>
        </is>
      </c>
      <c r="D70" t="inlineStr">
        <is>
          <t>USD</t>
        </is>
      </c>
      <c r="E70" t="n">
        <v>-0.68</v>
      </c>
      <c r="F70" t="n">
        <v>-0.68</v>
      </c>
      <c r="G70" t="n">
        <v>88.95</v>
      </c>
      <c r="H70" t="n">
        <v>-60</v>
      </c>
    </row>
    <row r="71">
      <c r="A71" t="inlineStr">
        <is>
          <t>CY2025</t>
        </is>
      </c>
      <c r="B71" s="2" t="n">
        <v>46002</v>
      </c>
      <c r="C71" t="inlineStr">
        <is>
          <t>RTX(US75513E1010) Cash Dividend USD 0.68 per Share - US Tax</t>
        </is>
      </c>
      <c r="D71" t="inlineStr">
        <is>
          <t>USD</t>
        </is>
      </c>
      <c r="E71" t="n">
        <v>-0.85</v>
      </c>
      <c r="F71" t="n">
        <v>-0.85</v>
      </c>
      <c r="G71" t="n">
        <v>88.95</v>
      </c>
      <c r="H71" t="n">
        <v>-76</v>
      </c>
    </row>
    <row r="72">
      <c r="A72" t="inlineStr">
        <is>
          <t>CY2025</t>
        </is>
      </c>
      <c r="B72" s="2" t="n">
        <v>46010</v>
      </c>
      <c r="C72" t="inlineStr">
        <is>
          <t>MCHI(US46429B6719) Cash Dividend USD 0.735007 per Share - US Tax</t>
        </is>
      </c>
      <c r="D72" t="inlineStr">
        <is>
          <t>USD</t>
        </is>
      </c>
      <c r="E72" t="n">
        <v>-2.21</v>
      </c>
      <c r="F72" t="n">
        <v>-2.21</v>
      </c>
      <c r="G72" t="n">
        <v>88.95</v>
      </c>
      <c r="H72" t="n">
        <v>-197</v>
      </c>
    </row>
    <row r="73">
      <c r="A73" t="inlineStr">
        <is>
          <t>CY2025</t>
        </is>
      </c>
      <c r="B73" s="2" t="n">
        <v>46010</v>
      </c>
      <c r="C73" t="inlineStr">
        <is>
          <t>MCHI(US46429B6719) Cash Dividend USD 0.735007 per Share - US Tax</t>
        </is>
      </c>
      <c r="D73" t="inlineStr">
        <is>
          <t>USD</t>
        </is>
      </c>
      <c r="E73" t="n">
        <v>2.21</v>
      </c>
      <c r="F73" t="n">
        <v>2.21</v>
      </c>
      <c r="G73" t="n">
        <v>88.95</v>
      </c>
      <c r="H73" t="n">
        <v>197</v>
      </c>
    </row>
    <row r="74">
      <c r="A74" t="inlineStr">
        <is>
          <t>CY2025</t>
        </is>
      </c>
      <c r="B74" s="2" t="n">
        <v>46010</v>
      </c>
      <c r="C74" t="inlineStr">
        <is>
          <t>MCHI(US46429B6719) Cash Dividend USD 0.735007 per Share - US Tax</t>
        </is>
      </c>
      <c r="D74" t="inlineStr">
        <is>
          <t>USD</t>
        </is>
      </c>
      <c r="E74" t="n">
        <v>-2.2</v>
      </c>
      <c r="F74" t="n">
        <v>-2.2</v>
      </c>
      <c r="G74" t="n">
        <v>88.95</v>
      </c>
      <c r="H74" t="n">
        <v>-196</v>
      </c>
    </row>
    <row r="75">
      <c r="A75" t="inlineStr">
        <is>
          <t>CY2025</t>
        </is>
      </c>
      <c r="B75" s="2" t="n">
        <v>46014</v>
      </c>
      <c r="C75" t="inlineStr">
        <is>
          <t>META(US30303M1027) Cash Dividend USD 0.525 per Share - US Tax</t>
        </is>
      </c>
      <c r="D75" t="inlineStr">
        <is>
          <t>USD</t>
        </is>
      </c>
      <c r="E75" t="n">
        <v>-0.26</v>
      </c>
      <c r="F75" t="n">
        <v>-0.26</v>
      </c>
      <c r="G75" t="n">
        <v>88.95</v>
      </c>
      <c r="H75" t="n">
        <v>-23</v>
      </c>
    </row>
    <row r="76">
      <c r="A76" t="inlineStr">
        <is>
          <t>CY2025</t>
        </is>
      </c>
      <c r="B76" s="2" t="n">
        <v>46015</v>
      </c>
      <c r="C76" t="inlineStr">
        <is>
          <t>TIP(US4642871762) Cash Dividend USD 0.341961 per Share - US Tax</t>
        </is>
      </c>
      <c r="D76" t="inlineStr">
        <is>
          <t>USD</t>
        </is>
      </c>
      <c r="E76" t="n">
        <v>-1.03</v>
      </c>
      <c r="F76" t="n">
        <v>-1.03</v>
      </c>
      <c r="G76" t="n">
        <v>88.95</v>
      </c>
      <c r="H76" t="n">
        <v>-92</v>
      </c>
    </row>
    <row r="77">
      <c r="A77" t="inlineStr">
        <is>
          <t>CY2025</t>
        </is>
      </c>
      <c r="B77" s="2" t="n">
        <v>46015</v>
      </c>
      <c r="C77" t="inlineStr">
        <is>
          <t>TIP(US4642871762) Cash Dividend USD 0.341961 per Share - US Tax</t>
        </is>
      </c>
      <c r="D77" t="inlineStr">
        <is>
          <t>USD</t>
        </is>
      </c>
      <c r="E77" t="n">
        <v>1.03</v>
      </c>
      <c r="F77" t="n">
        <v>1.03</v>
      </c>
      <c r="G77" t="n">
        <v>88.95</v>
      </c>
      <c r="H77" t="n">
        <v>92</v>
      </c>
    </row>
    <row r="78">
      <c r="A78" t="inlineStr">
        <is>
          <t>CY2025</t>
        </is>
      </c>
      <c r="B78" s="2" t="n">
        <v>46017</v>
      </c>
      <c r="C78" t="inlineStr">
        <is>
          <t>BAC(US0605051046) Cash Dividend USD 0.28 per Share - US Tax</t>
        </is>
      </c>
      <c r="D78" t="inlineStr">
        <is>
          <t>USD</t>
        </is>
      </c>
      <c r="E78" t="n">
        <v>-0.98</v>
      </c>
      <c r="F78" t="n">
        <v>-0.98</v>
      </c>
      <c r="G78" t="n">
        <v>88.95</v>
      </c>
      <c r="H78" t="n">
        <v>-87</v>
      </c>
    </row>
    <row r="79">
      <c r="A79" t="inlineStr">
        <is>
          <t>FY2025-26</t>
        </is>
      </c>
      <c r="B79" s="2" t="n">
        <v>45771</v>
      </c>
      <c r="C79" t="inlineStr">
        <is>
          <t>AIR(NL0000235190) Cash Dividend EUR 1.00 per Share - NL Tax</t>
        </is>
      </c>
      <c r="D79" t="inlineStr">
        <is>
          <t>EUR</t>
        </is>
      </c>
      <c r="E79" t="n">
        <v>-0.9</v>
      </c>
      <c r="F79" t="n">
        <v>-1.0571</v>
      </c>
      <c r="G79" t="n">
        <v>85.09999999999999</v>
      </c>
      <c r="H79" t="n">
        <v>-90</v>
      </c>
    </row>
    <row r="80">
      <c r="A80" t="inlineStr">
        <is>
          <t>FY2025-26</t>
        </is>
      </c>
      <c r="B80" s="2" t="n">
        <v>45771</v>
      </c>
      <c r="C80" t="inlineStr">
        <is>
          <t>AIR(NL0000235190) Cash Dividend EUR 2.00 per Share - NL Tax</t>
        </is>
      </c>
      <c r="D80" t="inlineStr">
        <is>
          <t>EUR</t>
        </is>
      </c>
      <c r="E80" t="n">
        <v>-1.8</v>
      </c>
      <c r="F80" t="n">
        <v>-2.1143</v>
      </c>
      <c r="G80" t="n">
        <v>85.09999999999999</v>
      </c>
      <c r="H80" t="n">
        <v>-180</v>
      </c>
    </row>
    <row r="81">
      <c r="A81" t="inlineStr">
        <is>
          <t>FY2025-26</t>
        </is>
      </c>
      <c r="B81" s="2" t="n">
        <v>46070</v>
      </c>
      <c r="C81" t="inlineStr">
        <is>
          <t>SIE(DE0007236101) Cash Dividend EUR 5.35 per Share - DE Tax</t>
        </is>
      </c>
      <c r="D81" t="inlineStr">
        <is>
          <t>EUR</t>
        </is>
      </c>
      <c r="E81" t="n">
        <v>-4.23</v>
      </c>
      <c r="F81" t="n">
        <v>-4.9686</v>
      </c>
      <c r="G81" t="n">
        <v>91.34999999999999</v>
      </c>
      <c r="H81" t="n">
        <v>-454</v>
      </c>
    </row>
    <row r="82">
      <c r="A82" t="inlineStr">
        <is>
          <t>FY2025-26</t>
        </is>
      </c>
      <c r="B82" s="2" t="n">
        <v>46001</v>
      </c>
      <c r="C82" t="inlineStr">
        <is>
          <t>4568.T(JP3475350009) Cash Dividend JPY 39 per Share - JP Tax</t>
        </is>
      </c>
      <c r="D82" t="inlineStr">
        <is>
          <t>JPY</t>
        </is>
      </c>
      <c r="E82" t="n">
        <v>-597</v>
      </c>
      <c r="F82" t="n">
        <v>-3.8105</v>
      </c>
      <c r="G82" t="n">
        <v>88.95</v>
      </c>
      <c r="H82" t="n">
        <v>-339</v>
      </c>
    </row>
    <row r="83">
      <c r="A83" t="inlineStr">
        <is>
          <t>FY2025-26</t>
        </is>
      </c>
      <c r="B83" s="2" t="n">
        <v>45751</v>
      </c>
      <c r="C83" t="inlineStr">
        <is>
          <t>TIP(US4642871762) Cash Dividend USD 0.70918 per Share - US Tax</t>
        </is>
      </c>
      <c r="D83" t="inlineStr">
        <is>
          <t>USD</t>
        </is>
      </c>
      <c r="E83" t="n">
        <v>-2.13</v>
      </c>
      <c r="F83" t="n">
        <v>-2.13</v>
      </c>
      <c r="G83" t="n">
        <v>85.09999999999999</v>
      </c>
      <c r="H83" t="n">
        <v>-181</v>
      </c>
    </row>
    <row r="84">
      <c r="A84" t="inlineStr">
        <is>
          <t>FY2025-26</t>
        </is>
      </c>
      <c r="B84" s="2" t="n">
        <v>45751</v>
      </c>
      <c r="C84" t="inlineStr">
        <is>
          <t>TIP(US4642871762) Cash Dividend USD 0.70918 per Share - US Tax</t>
        </is>
      </c>
      <c r="D84" t="inlineStr">
        <is>
          <t>USD</t>
        </is>
      </c>
      <c r="E84" t="n">
        <v>2.13</v>
      </c>
      <c r="F84" t="n">
        <v>2.13</v>
      </c>
      <c r="G84" t="n">
        <v>85.09999999999999</v>
      </c>
      <c r="H84" t="n">
        <v>181</v>
      </c>
    </row>
    <row r="85">
      <c r="A85" t="inlineStr">
        <is>
          <t>FY2025-26</t>
        </is>
      </c>
      <c r="B85" s="2" t="n">
        <v>45757</v>
      </c>
      <c r="C85" t="inlineStr">
        <is>
          <t>TSM(US8740391003) Cash Dividend USD 0.677693 per Share - TW Tax</t>
        </is>
      </c>
      <c r="D85" t="inlineStr">
        <is>
          <t>USD</t>
        </is>
      </c>
      <c r="E85" t="n">
        <v>-0.43</v>
      </c>
      <c r="F85" t="n">
        <v>-0.43</v>
      </c>
      <c r="G85" t="n">
        <v>85.09999999999999</v>
      </c>
      <c r="H85" t="n">
        <v>-37</v>
      </c>
    </row>
    <row r="86">
      <c r="A86" t="inlineStr">
        <is>
          <t>FY2025-26</t>
        </is>
      </c>
      <c r="B86" s="2" t="n">
        <v>45772</v>
      </c>
      <c r="C86" t="inlineStr">
        <is>
          <t>GE(US3696043013) Cash Dividend USD 0.36 per Share - US Tax</t>
        </is>
      </c>
      <c r="D86" t="inlineStr">
        <is>
          <t>USD</t>
        </is>
      </c>
      <c r="E86" t="n">
        <v>-0.54</v>
      </c>
      <c r="F86" t="n">
        <v>-0.54</v>
      </c>
      <c r="G86" t="n">
        <v>85.09999999999999</v>
      </c>
      <c r="H86" t="n">
        <v>-46</v>
      </c>
    </row>
    <row r="87">
      <c r="A87" t="inlineStr">
        <is>
          <t>FY2025-26</t>
        </is>
      </c>
      <c r="B87" s="2" t="n">
        <v>45782</v>
      </c>
      <c r="C87" t="inlineStr">
        <is>
          <t>BX(US09260D1072) Cash Dividend USD 0.93 per Share - US Tax</t>
        </is>
      </c>
      <c r="D87" t="inlineStr">
        <is>
          <t>USD</t>
        </is>
      </c>
      <c r="E87" t="n">
        <v>-1.4</v>
      </c>
      <c r="F87" t="n">
        <v>-1.4</v>
      </c>
      <c r="G87" t="n">
        <v>84.25</v>
      </c>
      <c r="H87" t="n">
        <v>-118</v>
      </c>
    </row>
    <row r="88">
      <c r="A88" t="inlineStr">
        <is>
          <t>FY2025-26</t>
        </is>
      </c>
      <c r="B88" s="2" t="n">
        <v>45782</v>
      </c>
      <c r="C88" t="inlineStr">
        <is>
          <t>BX(US09260D1072) Cash Dividend USD 0.93 per Share - US Tax</t>
        </is>
      </c>
      <c r="D88" t="inlineStr">
        <is>
          <t>USD</t>
        </is>
      </c>
      <c r="E88" t="n">
        <v>1.4</v>
      </c>
      <c r="F88" t="n">
        <v>1.4</v>
      </c>
      <c r="G88" t="n">
        <v>84.25</v>
      </c>
      <c r="H88" t="n">
        <v>118</v>
      </c>
    </row>
    <row r="89">
      <c r="A89" t="inlineStr">
        <is>
          <t>FY2025-26</t>
        </is>
      </c>
      <c r="B89" s="2" t="n">
        <v>45782</v>
      </c>
      <c r="C89" t="inlineStr">
        <is>
          <t>BX(US09260D1072) Cash Dividend USD 0.93 per Share - US Tax</t>
        </is>
      </c>
      <c r="D89" t="inlineStr">
        <is>
          <t>USD</t>
        </is>
      </c>
      <c r="E89" t="n">
        <v>-0.7</v>
      </c>
      <c r="F89" t="n">
        <v>-0.7</v>
      </c>
      <c r="G89" t="n">
        <v>84.25</v>
      </c>
      <c r="H89" t="n">
        <v>-59</v>
      </c>
    </row>
    <row r="90">
      <c r="A90" t="inlineStr">
        <is>
          <t>FY2025-26</t>
        </is>
      </c>
      <c r="B90" s="2" t="n">
        <v>45783</v>
      </c>
      <c r="C90" t="inlineStr">
        <is>
          <t>TIP(US4642871762) Cash Dividend USD 0.534953 per Share - US Tax</t>
        </is>
      </c>
      <c r="D90" t="inlineStr">
        <is>
          <t>USD</t>
        </is>
      </c>
      <c r="E90" t="n">
        <v>-1.61</v>
      </c>
      <c r="F90" t="n">
        <v>-1.61</v>
      </c>
      <c r="G90" t="n">
        <v>84.25</v>
      </c>
      <c r="H90" t="n">
        <v>-136</v>
      </c>
    </row>
    <row r="91">
      <c r="A91" t="inlineStr">
        <is>
          <t>FY2025-26</t>
        </is>
      </c>
      <c r="B91" s="2" t="n">
        <v>45783</v>
      </c>
      <c r="C91" t="inlineStr">
        <is>
          <t>TIP(US4642871762) Cash Dividend USD 0.534953 per Share - US Tax</t>
        </is>
      </c>
      <c r="D91" t="inlineStr">
        <is>
          <t>USD</t>
        </is>
      </c>
      <c r="E91" t="n">
        <v>1.61</v>
      </c>
      <c r="F91" t="n">
        <v>1.61</v>
      </c>
      <c r="G91" t="n">
        <v>84.25</v>
      </c>
      <c r="H91" t="n">
        <v>136</v>
      </c>
    </row>
    <row r="92">
      <c r="A92" t="inlineStr">
        <is>
          <t>FY2025-26</t>
        </is>
      </c>
      <c r="B92" s="2" t="n">
        <v>45786</v>
      </c>
      <c r="C92" t="inlineStr">
        <is>
          <t>AXP(US0258161092) Cash Dividend USD 0.82 per Share - US Tax</t>
        </is>
      </c>
      <c r="D92" t="inlineStr">
        <is>
          <t>USD</t>
        </is>
      </c>
      <c r="E92" t="n">
        <v>-0.41</v>
      </c>
      <c r="F92" t="n">
        <v>-0.41</v>
      </c>
      <c r="G92" t="n">
        <v>84.25</v>
      </c>
      <c r="H92" t="n">
        <v>-35</v>
      </c>
    </row>
    <row r="93">
      <c r="A93" t="inlineStr">
        <is>
          <t>FY2025-26</t>
        </is>
      </c>
      <c r="B93" s="2" t="n">
        <v>45786</v>
      </c>
      <c r="C93" t="inlineStr">
        <is>
          <t>GD(US3695501086) Cash Dividend USD 1.50 per Share - US Tax</t>
        </is>
      </c>
      <c r="D93" t="inlineStr">
        <is>
          <t>USD</t>
        </is>
      </c>
      <c r="E93" t="n">
        <v>-0.75</v>
      </c>
      <c r="F93" t="n">
        <v>-0.75</v>
      </c>
      <c r="G93" t="n">
        <v>84.25</v>
      </c>
      <c r="H93" t="n">
        <v>-63</v>
      </c>
    </row>
    <row r="94">
      <c r="A94" t="inlineStr">
        <is>
          <t>FY2025-26</t>
        </is>
      </c>
      <c r="B94" s="2" t="n">
        <v>45797</v>
      </c>
      <c r="C94" t="inlineStr">
        <is>
          <t>CAT(US1491231015) Cash Dividend USD 1.41 per Share - US Tax</t>
        </is>
      </c>
      <c r="D94" t="inlineStr">
        <is>
          <t>USD</t>
        </is>
      </c>
      <c r="E94" t="n">
        <v>-1.06</v>
      </c>
      <c r="F94" t="n">
        <v>-1.06</v>
      </c>
      <c r="G94" t="n">
        <v>84.25</v>
      </c>
      <c r="H94" t="n">
        <v>-89</v>
      </c>
    </row>
    <row r="95">
      <c r="A95" t="inlineStr">
        <is>
          <t>FY2025-26</t>
        </is>
      </c>
      <c r="B95" s="2" t="n">
        <v>45810</v>
      </c>
      <c r="C95" t="inlineStr">
        <is>
          <t>TGT(US87612E1064) Cash Dividend USD 1.12 per Share - US Tax</t>
        </is>
      </c>
      <c r="D95" t="inlineStr">
        <is>
          <t>USD</t>
        </is>
      </c>
      <c r="E95" t="n">
        <v>-2.52</v>
      </c>
      <c r="F95" t="n">
        <v>-2.52</v>
      </c>
      <c r="G95" t="n">
        <v>85.09999999999999</v>
      </c>
      <c r="H95" t="n">
        <v>-214</v>
      </c>
    </row>
    <row r="96">
      <c r="A96" t="inlineStr">
        <is>
          <t>FY2025-26</t>
        </is>
      </c>
      <c r="B96" s="2" t="n">
        <v>45813</v>
      </c>
      <c r="C96" t="inlineStr">
        <is>
          <t>TIP(US4642871762) Cash Dividend USD 0.273105 per Share - US Tax</t>
        </is>
      </c>
      <c r="D96" t="inlineStr">
        <is>
          <t>USD</t>
        </is>
      </c>
      <c r="E96" t="n">
        <v>-0.82</v>
      </c>
      <c r="F96" t="n">
        <v>-0.82</v>
      </c>
      <c r="G96" t="n">
        <v>85.09999999999999</v>
      </c>
      <c r="H96" t="n">
        <v>-70</v>
      </c>
    </row>
    <row r="97">
      <c r="A97" t="inlineStr">
        <is>
          <t>FY2025-26</t>
        </is>
      </c>
      <c r="B97" s="2" t="n">
        <v>45813</v>
      </c>
      <c r="C97" t="inlineStr">
        <is>
          <t>TIP(US4642871762) Cash Dividend USD 0.273105 per Share - US Tax</t>
        </is>
      </c>
      <c r="D97" t="inlineStr">
        <is>
          <t>USD</t>
        </is>
      </c>
      <c r="E97" t="n">
        <v>0.82</v>
      </c>
      <c r="F97" t="n">
        <v>0.82</v>
      </c>
      <c r="G97" t="n">
        <v>85.09999999999999</v>
      </c>
      <c r="H97" t="n">
        <v>70</v>
      </c>
    </row>
    <row r="98">
      <c r="A98" t="inlineStr">
        <is>
          <t>FY2025-26</t>
        </is>
      </c>
      <c r="B98" s="2" t="n">
        <v>45818</v>
      </c>
      <c r="C98" t="inlineStr">
        <is>
          <t>LLY(US5324571083) Cash Dividend USD 1.50 per Share - US Tax</t>
        </is>
      </c>
      <c r="D98" t="inlineStr">
        <is>
          <t>USD</t>
        </is>
      </c>
      <c r="E98" t="n">
        <v>-0.65</v>
      </c>
      <c r="F98" t="n">
        <v>-0.65</v>
      </c>
      <c r="G98" t="n">
        <v>85.09999999999999</v>
      </c>
      <c r="H98" t="n">
        <v>-55</v>
      </c>
    </row>
    <row r="99">
      <c r="A99" t="inlineStr">
        <is>
          <t>FY2025-26</t>
        </is>
      </c>
      <c r="B99" s="2" t="n">
        <v>45820</v>
      </c>
      <c r="C99" t="inlineStr">
        <is>
          <t>MSFT(US5949181045) Cash Dividend USD 0.83 per Share - US Tax</t>
        </is>
      </c>
      <c r="D99" t="inlineStr">
        <is>
          <t>USD</t>
        </is>
      </c>
      <c r="E99" t="n">
        <v>-0.62</v>
      </c>
      <c r="F99" t="n">
        <v>-0.62</v>
      </c>
      <c r="G99" t="n">
        <v>85.09999999999999</v>
      </c>
      <c r="H99" t="n">
        <v>-53</v>
      </c>
    </row>
    <row r="100">
      <c r="A100" t="inlineStr">
        <is>
          <t>FY2025-26</t>
        </is>
      </c>
      <c r="B100" s="2" t="n">
        <v>45820</v>
      </c>
      <c r="C100" t="inlineStr">
        <is>
          <t>RTX(US75513E1010) Cash Dividend USD 0.68 per Share - US Tax</t>
        </is>
      </c>
      <c r="D100" t="inlineStr">
        <is>
          <t>USD</t>
        </is>
      </c>
      <c r="E100" t="n">
        <v>-0.85</v>
      </c>
      <c r="F100" t="n">
        <v>-0.85</v>
      </c>
      <c r="G100" t="n">
        <v>85.09999999999999</v>
      </c>
      <c r="H100" t="n">
        <v>-72</v>
      </c>
    </row>
    <row r="101">
      <c r="A101" t="inlineStr">
        <is>
          <t>FY2025-26</t>
        </is>
      </c>
      <c r="B101" s="2" t="n">
        <v>45828</v>
      </c>
      <c r="C101" t="inlineStr">
        <is>
          <t>MCHI(US46429B6719) Cash Dividend USD 0.535561 per Share - US Tax</t>
        </is>
      </c>
      <c r="D101" t="inlineStr">
        <is>
          <t>USD</t>
        </is>
      </c>
      <c r="E101" t="n">
        <v>-1.61</v>
      </c>
      <c r="F101" t="n">
        <v>-1.61</v>
      </c>
      <c r="G101" t="n">
        <v>85.09999999999999</v>
      </c>
      <c r="H101" t="n">
        <v>-137</v>
      </c>
    </row>
    <row r="102">
      <c r="A102" t="inlineStr">
        <is>
          <t>FY2025-26</t>
        </is>
      </c>
      <c r="B102" s="2" t="n">
        <v>45835</v>
      </c>
      <c r="C102" t="inlineStr">
        <is>
          <t>BAC(US0605051046) Cash Dividend USD 0.26 per Share - US Tax</t>
        </is>
      </c>
      <c r="D102" t="inlineStr">
        <is>
          <t>USD</t>
        </is>
      </c>
      <c r="E102" t="n">
        <v>-0.91</v>
      </c>
      <c r="F102" t="n">
        <v>-0.91</v>
      </c>
      <c r="G102" t="n">
        <v>85.09999999999999</v>
      </c>
      <c r="H102" t="n">
        <v>-77</v>
      </c>
    </row>
    <row r="103">
      <c r="A103" t="inlineStr">
        <is>
          <t>FY2025-26</t>
        </is>
      </c>
      <c r="B103" s="2" t="n">
        <v>45845</v>
      </c>
      <c r="C103" t="inlineStr">
        <is>
          <t>TIP(US4642871762) Cash Dividend USD 0.379923 per Share - US Tax</t>
        </is>
      </c>
      <c r="D103" t="inlineStr">
        <is>
          <t>USD</t>
        </is>
      </c>
      <c r="E103" t="n">
        <v>-1.14</v>
      </c>
      <c r="F103" t="n">
        <v>-1.14</v>
      </c>
      <c r="G103" t="n">
        <v>85.09999999999999</v>
      </c>
      <c r="H103" t="n">
        <v>-97</v>
      </c>
    </row>
    <row r="104">
      <c r="A104" t="inlineStr">
        <is>
          <t>FY2025-26</t>
        </is>
      </c>
      <c r="B104" s="2" t="n">
        <v>45845</v>
      </c>
      <c r="C104" t="inlineStr">
        <is>
          <t>TIP(US4642871762) Cash Dividend USD 0.379923 per Share - US Tax</t>
        </is>
      </c>
      <c r="D104" t="inlineStr">
        <is>
          <t>USD</t>
        </is>
      </c>
      <c r="E104" t="n">
        <v>1.14</v>
      </c>
      <c r="F104" t="n">
        <v>1.14</v>
      </c>
      <c r="G104" t="n">
        <v>85.09999999999999</v>
      </c>
      <c r="H104" t="n">
        <v>97</v>
      </c>
    </row>
    <row r="105">
      <c r="A105" t="inlineStr">
        <is>
          <t>FY2025-26</t>
        </is>
      </c>
      <c r="B105" s="2" t="n">
        <v>45848</v>
      </c>
      <c r="C105" t="inlineStr">
        <is>
          <t>TSM(US8740391003) Cash Dividend USD 0.780305 per Share - TW Tax</t>
        </is>
      </c>
      <c r="D105" t="inlineStr">
        <is>
          <t>USD</t>
        </is>
      </c>
      <c r="E105" t="n">
        <v>-0.49</v>
      </c>
      <c r="F105" t="n">
        <v>-0.49</v>
      </c>
      <c r="G105" t="n">
        <v>85.09999999999999</v>
      </c>
      <c r="H105" t="n">
        <v>-42</v>
      </c>
    </row>
    <row r="106">
      <c r="A106" t="inlineStr">
        <is>
          <t>FY2025-26</t>
        </is>
      </c>
      <c r="B106" s="2" t="n">
        <v>45863</v>
      </c>
      <c r="C106" t="inlineStr">
        <is>
          <t>GE(US3696043013) Cash Dividend USD 0.36 per Share - US Tax</t>
        </is>
      </c>
      <c r="D106" t="inlineStr">
        <is>
          <t>USD</t>
        </is>
      </c>
      <c r="E106" t="n">
        <v>-0.54</v>
      </c>
      <c r="F106" t="n">
        <v>-0.54</v>
      </c>
      <c r="G106" t="n">
        <v>85.09999999999999</v>
      </c>
      <c r="H106" t="n">
        <v>-46</v>
      </c>
    </row>
    <row r="107">
      <c r="A107" t="inlineStr">
        <is>
          <t>FY2025-26</t>
        </is>
      </c>
      <c r="B107" s="2" t="n">
        <v>45875</v>
      </c>
      <c r="C107" t="inlineStr">
        <is>
          <t>TIP(US4642871762) Cash Dividend USD 0.264488 per Share - US Tax</t>
        </is>
      </c>
      <c r="D107" t="inlineStr">
        <is>
          <t>USD</t>
        </is>
      </c>
      <c r="E107" t="n">
        <v>-0.79</v>
      </c>
      <c r="F107" t="n">
        <v>-0.79</v>
      </c>
      <c r="G107" t="n">
        <v>87.15000000000001</v>
      </c>
      <c r="H107" t="n">
        <v>-69</v>
      </c>
    </row>
    <row r="108">
      <c r="A108" t="inlineStr">
        <is>
          <t>FY2025-26</t>
        </is>
      </c>
      <c r="B108" s="2" t="n">
        <v>45875</v>
      </c>
      <c r="C108" t="inlineStr">
        <is>
          <t>TIP(US4642871762) Cash Dividend USD 0.264488 per Share - US Tax</t>
        </is>
      </c>
      <c r="D108" t="inlineStr">
        <is>
          <t>USD</t>
        </is>
      </c>
      <c r="E108" t="n">
        <v>0.79</v>
      </c>
      <c r="F108" t="n">
        <v>0.79</v>
      </c>
      <c r="G108" t="n">
        <v>87.15000000000001</v>
      </c>
      <c r="H108" t="n">
        <v>69</v>
      </c>
    </row>
    <row r="109">
      <c r="A109" t="inlineStr">
        <is>
          <t>FY2025-26</t>
        </is>
      </c>
      <c r="B109" s="2" t="n">
        <v>45877</v>
      </c>
      <c r="C109" t="inlineStr">
        <is>
          <t>AXP(US0258161092) Cash Dividend USD 0.82 per Share - US Tax</t>
        </is>
      </c>
      <c r="D109" t="inlineStr">
        <is>
          <t>USD</t>
        </is>
      </c>
      <c r="E109" t="n">
        <v>-0.82</v>
      </c>
      <c r="F109" t="n">
        <v>-0.82</v>
      </c>
      <c r="G109" t="n">
        <v>87.15000000000001</v>
      </c>
      <c r="H109" t="n">
        <v>-71</v>
      </c>
    </row>
    <row r="110">
      <c r="A110" t="inlineStr">
        <is>
          <t>FY2025-26</t>
        </is>
      </c>
      <c r="B110" s="2" t="n">
        <v>45877</v>
      </c>
      <c r="C110" t="inlineStr">
        <is>
          <t>GD(US3695501086) Cash Dividend USD 1.50 per Share - US Tax</t>
        </is>
      </c>
      <c r="D110" t="inlineStr">
        <is>
          <t>USD</t>
        </is>
      </c>
      <c r="E110" t="n">
        <v>-0.75</v>
      </c>
      <c r="F110" t="n">
        <v>-0.75</v>
      </c>
      <c r="G110" t="n">
        <v>87.15000000000001</v>
      </c>
      <c r="H110" t="n">
        <v>-65</v>
      </c>
    </row>
    <row r="111">
      <c r="A111" t="inlineStr">
        <is>
          <t>FY2025-26</t>
        </is>
      </c>
      <c r="B111" s="2" t="n">
        <v>45880</v>
      </c>
      <c r="C111" t="inlineStr">
        <is>
          <t>BX(US09260D1072) Cash Dividend USD 1.03 per Share - US Tax</t>
        </is>
      </c>
      <c r="D111" t="inlineStr">
        <is>
          <t>USD</t>
        </is>
      </c>
      <c r="E111" t="n">
        <v>-3.09</v>
      </c>
      <c r="F111" t="n">
        <v>-3.09</v>
      </c>
      <c r="G111" t="n">
        <v>87.15000000000001</v>
      </c>
      <c r="H111" t="n">
        <v>-269</v>
      </c>
    </row>
    <row r="112">
      <c r="A112" t="inlineStr">
        <is>
          <t>FY2025-26</t>
        </is>
      </c>
      <c r="B112" s="2" t="n">
        <v>45880</v>
      </c>
      <c r="C112" t="inlineStr">
        <is>
          <t>BX(US09260D1072) Cash Dividend USD 1.03 per Share - US Tax</t>
        </is>
      </c>
      <c r="D112" t="inlineStr">
        <is>
          <t>USD</t>
        </is>
      </c>
      <c r="E112" t="n">
        <v>3.09</v>
      </c>
      <c r="F112" t="n">
        <v>3.09</v>
      </c>
      <c r="G112" t="n">
        <v>87.15000000000001</v>
      </c>
      <c r="H112" t="n">
        <v>269</v>
      </c>
    </row>
    <row r="113">
      <c r="A113" t="inlineStr">
        <is>
          <t>FY2025-26</t>
        </is>
      </c>
      <c r="B113" s="2" t="n">
        <v>45880</v>
      </c>
      <c r="C113" t="inlineStr">
        <is>
          <t>BX(US09260D1072) Cash Dividend USD 1.03 per Share - US Tax</t>
        </is>
      </c>
      <c r="D113" t="inlineStr">
        <is>
          <t>USD</t>
        </is>
      </c>
      <c r="E113" t="n">
        <v>-1.55</v>
      </c>
      <c r="F113" t="n">
        <v>-1.55</v>
      </c>
      <c r="G113" t="n">
        <v>87.15000000000001</v>
      </c>
      <c r="H113" t="n">
        <v>-135</v>
      </c>
    </row>
    <row r="114">
      <c r="A114" t="inlineStr">
        <is>
          <t>FY2025-26</t>
        </is>
      </c>
      <c r="B114" s="2" t="n">
        <v>45889</v>
      </c>
      <c r="C114" t="inlineStr">
        <is>
          <t>CAT(US1491231015) Cash Dividend USD 1.51 per Share - US Tax</t>
        </is>
      </c>
      <c r="D114" t="inlineStr">
        <is>
          <t>USD</t>
        </is>
      </c>
      <c r="E114" t="n">
        <v>-1.13</v>
      </c>
      <c r="F114" t="n">
        <v>-1.13</v>
      </c>
      <c r="G114" t="n">
        <v>87.15000000000001</v>
      </c>
      <c r="H114" t="n">
        <v>-98</v>
      </c>
    </row>
    <row r="115">
      <c r="A115" t="inlineStr">
        <is>
          <t>FY2025-26</t>
        </is>
      </c>
      <c r="B115" s="2" t="n">
        <v>45902</v>
      </c>
      <c r="C115" t="inlineStr">
        <is>
          <t>TGT(US87612E1064) Cash Dividend USD 1.14 per Share - US Tax</t>
        </is>
      </c>
      <c r="D115" t="inlineStr">
        <is>
          <t>USD</t>
        </is>
      </c>
      <c r="E115" t="n">
        <v>-2.57</v>
      </c>
      <c r="F115" t="n">
        <v>-2.57</v>
      </c>
      <c r="G115" t="n">
        <v>87.7</v>
      </c>
      <c r="H115" t="n">
        <v>-225</v>
      </c>
    </row>
    <row r="116">
      <c r="A116" t="inlineStr">
        <is>
          <t>FY2025-26</t>
        </is>
      </c>
      <c r="B116" s="2" t="n">
        <v>45904</v>
      </c>
      <c r="C116" t="inlineStr">
        <is>
          <t>RTX(US75513E1010) Cash Dividend USD 0.68 per Share - US Tax</t>
        </is>
      </c>
      <c r="D116" t="inlineStr">
        <is>
          <t>USD</t>
        </is>
      </c>
      <c r="E116" t="n">
        <v>-0.85</v>
      </c>
      <c r="F116" t="n">
        <v>-0.85</v>
      </c>
      <c r="G116" t="n">
        <v>87.7</v>
      </c>
      <c r="H116" t="n">
        <v>-75</v>
      </c>
    </row>
    <row r="117">
      <c r="A117" t="inlineStr">
        <is>
          <t>FY2025-26</t>
        </is>
      </c>
      <c r="B117" s="2" t="n">
        <v>45905</v>
      </c>
      <c r="C117" t="inlineStr">
        <is>
          <t>TIP(US4642871762) Cash Dividend USD 0.417238 per Share - US Tax</t>
        </is>
      </c>
      <c r="D117" t="inlineStr">
        <is>
          <t>USD</t>
        </is>
      </c>
      <c r="E117" t="n">
        <v>-1.25</v>
      </c>
      <c r="F117" t="n">
        <v>-1.25</v>
      </c>
      <c r="G117" t="n">
        <v>87.7</v>
      </c>
      <c r="H117" t="n">
        <v>-110</v>
      </c>
    </row>
    <row r="118">
      <c r="A118" t="inlineStr">
        <is>
          <t>FY2025-26</t>
        </is>
      </c>
      <c r="B118" s="2" t="n">
        <v>45905</v>
      </c>
      <c r="C118" t="inlineStr">
        <is>
          <t>TIP(US4642871762) Cash Dividend USD 0.417238 per Share - US Tax</t>
        </is>
      </c>
      <c r="D118" t="inlineStr">
        <is>
          <t>USD</t>
        </is>
      </c>
      <c r="E118" t="n">
        <v>1.25</v>
      </c>
      <c r="F118" t="n">
        <v>1.25</v>
      </c>
      <c r="G118" t="n">
        <v>87.7</v>
      </c>
      <c r="H118" t="n">
        <v>110</v>
      </c>
    </row>
    <row r="119">
      <c r="A119" t="inlineStr">
        <is>
          <t>FY2025-26</t>
        </is>
      </c>
      <c r="B119" s="2" t="n">
        <v>45910</v>
      </c>
      <c r="C119" t="inlineStr">
        <is>
          <t>LLY(US5324571083) Cash Dividend USD 1.50 per Share - US Tax</t>
        </is>
      </c>
      <c r="D119" t="inlineStr">
        <is>
          <t>USD</t>
        </is>
      </c>
      <c r="E119" t="n">
        <v>-0.65</v>
      </c>
      <c r="F119" t="n">
        <v>-0.65</v>
      </c>
      <c r="G119" t="n">
        <v>87.7</v>
      </c>
      <c r="H119" t="n">
        <v>-57</v>
      </c>
    </row>
    <row r="120">
      <c r="A120" t="inlineStr">
        <is>
          <t>FY2025-26</t>
        </is>
      </c>
      <c r="B120" s="2" t="n">
        <v>45911</v>
      </c>
      <c r="C120" t="inlineStr">
        <is>
          <t>MSFT(US5949181045) Cash Dividend USD 0.83 per Share - US Tax</t>
        </is>
      </c>
      <c r="D120" t="inlineStr">
        <is>
          <t>USD</t>
        </is>
      </c>
      <c r="E120" t="n">
        <v>-0.62</v>
      </c>
      <c r="F120" t="n">
        <v>-0.62</v>
      </c>
      <c r="G120" t="n">
        <v>87.7</v>
      </c>
      <c r="H120" t="n">
        <v>-54</v>
      </c>
    </row>
    <row r="121">
      <c r="A121" t="inlineStr">
        <is>
          <t>FY2025-26</t>
        </is>
      </c>
      <c r="B121" s="2" t="n">
        <v>45926</v>
      </c>
      <c r="C121" t="inlineStr">
        <is>
          <t>BAC(US0605051046) Cash Dividend USD 0.28 per Share - US Tax</t>
        </is>
      </c>
      <c r="D121" t="inlineStr">
        <is>
          <t>USD</t>
        </is>
      </c>
      <c r="E121" t="n">
        <v>-0.98</v>
      </c>
      <c r="F121" t="n">
        <v>-0.98</v>
      </c>
      <c r="G121" t="n">
        <v>87.7</v>
      </c>
      <c r="H121" t="n">
        <v>-86</v>
      </c>
    </row>
    <row r="122">
      <c r="A122" t="inlineStr">
        <is>
          <t>FY2025-26</t>
        </is>
      </c>
      <c r="B122" s="2" t="n">
        <v>45936</v>
      </c>
      <c r="C122" t="inlineStr">
        <is>
          <t>TIP(US4642871762) Cash Dividend USD 0.198069 per Share - US Tax</t>
        </is>
      </c>
      <c r="D122" t="inlineStr">
        <is>
          <t>USD</t>
        </is>
      </c>
      <c r="E122" t="n">
        <v>-0.6</v>
      </c>
      <c r="F122" t="n">
        <v>-0.6</v>
      </c>
      <c r="G122" t="n">
        <v>88.34999999999999</v>
      </c>
      <c r="H122" t="n">
        <v>-53</v>
      </c>
    </row>
    <row r="123">
      <c r="A123" t="inlineStr">
        <is>
          <t>FY2025-26</t>
        </is>
      </c>
      <c r="B123" s="2" t="n">
        <v>45936</v>
      </c>
      <c r="C123" t="inlineStr">
        <is>
          <t>TIP(US4642871762) Cash Dividend USD 0.198069 per Share - US Tax</t>
        </is>
      </c>
      <c r="D123" t="inlineStr">
        <is>
          <t>USD</t>
        </is>
      </c>
      <c r="E123" t="n">
        <v>0.6</v>
      </c>
      <c r="F123" t="n">
        <v>0.6</v>
      </c>
      <c r="G123" t="n">
        <v>88.34999999999999</v>
      </c>
      <c r="H123" t="n">
        <v>53</v>
      </c>
    </row>
    <row r="124">
      <c r="A124" t="inlineStr">
        <is>
          <t>FY2025-26</t>
        </is>
      </c>
      <c r="B124" s="2" t="n">
        <v>45939</v>
      </c>
      <c r="C124" t="inlineStr">
        <is>
          <t>TSM(US8740391003) Cash Dividend USD 0.821965 per Share - TW Tax</t>
        </is>
      </c>
      <c r="D124" t="inlineStr">
        <is>
          <t>USD</t>
        </is>
      </c>
      <c r="E124" t="n">
        <v>-0.52</v>
      </c>
      <c r="F124" t="n">
        <v>-0.52</v>
      </c>
      <c r="G124" t="n">
        <v>88.34999999999999</v>
      </c>
      <c r="H124" t="n">
        <v>-46</v>
      </c>
    </row>
    <row r="125">
      <c r="A125" t="inlineStr">
        <is>
          <t>FY2025-26</t>
        </is>
      </c>
      <c r="B125" s="2" t="n">
        <v>45957</v>
      </c>
      <c r="C125" t="inlineStr">
        <is>
          <t>GE(US3696043013) Cash Dividend USD 0.36 per Share - US Tax</t>
        </is>
      </c>
      <c r="D125" t="inlineStr">
        <is>
          <t>USD</t>
        </is>
      </c>
      <c r="E125" t="n">
        <v>-0.54</v>
      </c>
      <c r="F125" t="n">
        <v>-0.54</v>
      </c>
      <c r="G125" t="n">
        <v>88.34999999999999</v>
      </c>
      <c r="H125" t="n">
        <v>-48</v>
      </c>
    </row>
    <row r="126">
      <c r="A126" t="inlineStr">
        <is>
          <t>FY2025-26</t>
        </is>
      </c>
      <c r="B126" s="2" t="n">
        <v>45967</v>
      </c>
      <c r="C126" t="inlineStr">
        <is>
          <t>TIP(US4642871762) Cash Dividend USD 0.360933 per Share - US Tax</t>
        </is>
      </c>
      <c r="D126" t="inlineStr">
        <is>
          <t>USD</t>
        </is>
      </c>
      <c r="E126" t="n">
        <v>-1.08</v>
      </c>
      <c r="F126" t="n">
        <v>-1.08</v>
      </c>
      <c r="G126" t="n">
        <v>88.2</v>
      </c>
      <c r="H126" t="n">
        <v>-95</v>
      </c>
    </row>
    <row r="127">
      <c r="A127" t="inlineStr">
        <is>
          <t>FY2025-26</t>
        </is>
      </c>
      <c r="B127" s="2" t="n">
        <v>45967</v>
      </c>
      <c r="C127" t="inlineStr">
        <is>
          <t>TIP(US4642871762) Cash Dividend USD 0.360933 per Share - US Tax</t>
        </is>
      </c>
      <c r="D127" t="inlineStr">
        <is>
          <t>USD</t>
        </is>
      </c>
      <c r="E127" t="n">
        <v>1.08</v>
      </c>
      <c r="F127" t="n">
        <v>1.08</v>
      </c>
      <c r="G127" t="n">
        <v>88.2</v>
      </c>
      <c r="H127" t="n">
        <v>95</v>
      </c>
    </row>
    <row r="128">
      <c r="A128" t="inlineStr">
        <is>
          <t>FY2025-26</t>
        </is>
      </c>
      <c r="B128" s="2" t="n">
        <v>45971</v>
      </c>
      <c r="C128" t="inlineStr">
        <is>
          <t>AXP(US0258161092) Cash Dividend USD 0.82 per Share - US Tax</t>
        </is>
      </c>
      <c r="D128" t="inlineStr">
        <is>
          <t>USD</t>
        </is>
      </c>
      <c r="E128" t="n">
        <v>-0.82</v>
      </c>
      <c r="F128" t="n">
        <v>-0.82</v>
      </c>
      <c r="G128" t="n">
        <v>88.2</v>
      </c>
      <c r="H128" t="n">
        <v>-72</v>
      </c>
    </row>
    <row r="129">
      <c r="A129" t="inlineStr">
        <is>
          <t>FY2025-26</t>
        </is>
      </c>
      <c r="B129" s="2" t="n">
        <v>45971</v>
      </c>
      <c r="C129" t="inlineStr">
        <is>
          <t>BX(US09260D1072) Cash Dividend USD 1.29 per Share - US Tax</t>
        </is>
      </c>
      <c r="D129" t="inlineStr">
        <is>
          <t>USD</t>
        </is>
      </c>
      <c r="E129" t="n">
        <v>-3.87</v>
      </c>
      <c r="F129" t="n">
        <v>-3.87</v>
      </c>
      <c r="G129" t="n">
        <v>88.2</v>
      </c>
      <c r="H129" t="n">
        <v>-341</v>
      </c>
    </row>
    <row r="130">
      <c r="A130" t="inlineStr">
        <is>
          <t>FY2025-26</t>
        </is>
      </c>
      <c r="B130" s="2" t="n">
        <v>45971</v>
      </c>
      <c r="C130" t="inlineStr">
        <is>
          <t>BX(US09260D1072) Cash Dividend USD 1.29 per Share - US Tax</t>
        </is>
      </c>
      <c r="D130" t="inlineStr">
        <is>
          <t>USD</t>
        </is>
      </c>
      <c r="E130" t="n">
        <v>3.87</v>
      </c>
      <c r="F130" t="n">
        <v>3.87</v>
      </c>
      <c r="G130" t="n">
        <v>88.2</v>
      </c>
      <c r="H130" t="n">
        <v>341</v>
      </c>
    </row>
    <row r="131">
      <c r="A131" t="inlineStr">
        <is>
          <t>FY2025-26</t>
        </is>
      </c>
      <c r="B131" s="2" t="n">
        <v>45971</v>
      </c>
      <c r="C131" t="inlineStr">
        <is>
          <t>BX(US09260D1072) Cash Dividend USD 1.29 per Share - US Tax</t>
        </is>
      </c>
      <c r="D131" t="inlineStr">
        <is>
          <t>USD</t>
        </is>
      </c>
      <c r="E131" t="n">
        <v>-1.95</v>
      </c>
      <c r="F131" t="n">
        <v>-1.95</v>
      </c>
      <c r="G131" t="n">
        <v>88.2</v>
      </c>
      <c r="H131" t="n">
        <v>-172</v>
      </c>
    </row>
    <row r="132">
      <c r="A132" t="inlineStr">
        <is>
          <t>FY2025-26</t>
        </is>
      </c>
      <c r="B132" s="2" t="n">
        <v>45975</v>
      </c>
      <c r="C132" t="inlineStr">
        <is>
          <t>GD(US3695501086) Cash Dividend USD 1.50 per Share - US Tax</t>
        </is>
      </c>
      <c r="D132" t="inlineStr">
        <is>
          <t>USD</t>
        </is>
      </c>
      <c r="E132" t="n">
        <v>-0.75</v>
      </c>
      <c r="F132" t="n">
        <v>-0.75</v>
      </c>
      <c r="G132" t="n">
        <v>88.2</v>
      </c>
      <c r="H132" t="n">
        <v>-66</v>
      </c>
    </row>
    <row r="133">
      <c r="A133" t="inlineStr">
        <is>
          <t>FY2025-26</t>
        </is>
      </c>
      <c r="B133" s="2" t="n">
        <v>45981</v>
      </c>
      <c r="C133" t="inlineStr">
        <is>
          <t>CAT(US1491231015) Cash Dividend USD 1.51 per Share - US Tax</t>
        </is>
      </c>
      <c r="D133" t="inlineStr">
        <is>
          <t>USD</t>
        </is>
      </c>
      <c r="E133" t="n">
        <v>-1.13</v>
      </c>
      <c r="F133" t="n">
        <v>-1.13</v>
      </c>
      <c r="G133" t="n">
        <v>88.2</v>
      </c>
      <c r="H133" t="n">
        <v>-100</v>
      </c>
    </row>
    <row r="134">
      <c r="A134" t="inlineStr">
        <is>
          <t>FY2025-26</t>
        </is>
      </c>
      <c r="B134" s="2" t="n">
        <v>45992</v>
      </c>
      <c r="C134" t="inlineStr">
        <is>
          <t>TGT(US87612E1064) Cash Dividend USD 1.14 per Share - US Tax</t>
        </is>
      </c>
      <c r="D134" t="inlineStr">
        <is>
          <t>USD</t>
        </is>
      </c>
      <c r="E134" t="n">
        <v>-5.7</v>
      </c>
      <c r="F134" t="n">
        <v>-5.7</v>
      </c>
      <c r="G134" t="n">
        <v>88.95</v>
      </c>
      <c r="H134" t="n">
        <v>-507</v>
      </c>
    </row>
    <row r="135">
      <c r="A135" t="inlineStr">
        <is>
          <t>FY2025-26</t>
        </is>
      </c>
      <c r="B135" s="2" t="n">
        <v>45995</v>
      </c>
      <c r="C135" t="inlineStr">
        <is>
          <t>TIP(US4642871762) Cash Dividend USD 0.322417 per Share - US Tax</t>
        </is>
      </c>
      <c r="D135" t="inlineStr">
        <is>
          <t>USD</t>
        </is>
      </c>
      <c r="E135" t="n">
        <v>-0.97</v>
      </c>
      <c r="F135" t="n">
        <v>-0.97</v>
      </c>
      <c r="G135" t="n">
        <v>88.95</v>
      </c>
      <c r="H135" t="n">
        <v>-86</v>
      </c>
    </row>
    <row r="136">
      <c r="A136" t="inlineStr">
        <is>
          <t>FY2025-26</t>
        </is>
      </c>
      <c r="B136" s="2" t="n">
        <v>45995</v>
      </c>
      <c r="C136" t="inlineStr">
        <is>
          <t>TIP(US4642871762) Cash Dividend USD 0.322417 per Share - US Tax</t>
        </is>
      </c>
      <c r="D136" t="inlineStr">
        <is>
          <t>USD</t>
        </is>
      </c>
      <c r="E136" t="n">
        <v>0.97</v>
      </c>
      <c r="F136" t="n">
        <v>0.97</v>
      </c>
      <c r="G136" t="n">
        <v>88.95</v>
      </c>
      <c r="H136" t="n">
        <v>86</v>
      </c>
    </row>
    <row r="137">
      <c r="A137" t="inlineStr">
        <is>
          <t>FY2025-26</t>
        </is>
      </c>
      <c r="B137" s="2" t="n">
        <v>46001</v>
      </c>
      <c r="C137" t="inlineStr">
        <is>
          <t>LLY(US5324571083) Cash Dividend USD 1.50 per Share - US Tax</t>
        </is>
      </c>
      <c r="D137" t="inlineStr">
        <is>
          <t>USD</t>
        </is>
      </c>
      <c r="E137" t="n">
        <v>-0.65</v>
      </c>
      <c r="F137" t="n">
        <v>-0.65</v>
      </c>
      <c r="G137" t="n">
        <v>88.95</v>
      </c>
      <c r="H137" t="n">
        <v>-58</v>
      </c>
    </row>
    <row r="138">
      <c r="A138" t="inlineStr">
        <is>
          <t>FY2025-26</t>
        </is>
      </c>
      <c r="B138" s="2" t="n">
        <v>46002</v>
      </c>
      <c r="C138" t="inlineStr">
        <is>
          <t>MSFT(US5949181045) Cash Dividend USD 0.91 per Share - US Tax</t>
        </is>
      </c>
      <c r="D138" t="inlineStr">
        <is>
          <t>USD</t>
        </is>
      </c>
      <c r="E138" t="n">
        <v>-0.68</v>
      </c>
      <c r="F138" t="n">
        <v>-0.68</v>
      </c>
      <c r="G138" t="n">
        <v>88.95</v>
      </c>
      <c r="H138" t="n">
        <v>-60</v>
      </c>
    </row>
    <row r="139">
      <c r="A139" t="inlineStr">
        <is>
          <t>FY2025-26</t>
        </is>
      </c>
      <c r="B139" s="2" t="n">
        <v>46002</v>
      </c>
      <c r="C139" t="inlineStr">
        <is>
          <t>RTX(US75513E1010) Cash Dividend USD 0.68 per Share - US Tax</t>
        </is>
      </c>
      <c r="D139" t="inlineStr">
        <is>
          <t>USD</t>
        </is>
      </c>
      <c r="E139" t="n">
        <v>-0.85</v>
      </c>
      <c r="F139" t="n">
        <v>-0.85</v>
      </c>
      <c r="G139" t="n">
        <v>88.95</v>
      </c>
      <c r="H139" t="n">
        <v>-76</v>
      </c>
    </row>
    <row r="140">
      <c r="A140" t="inlineStr">
        <is>
          <t>FY2025-26</t>
        </is>
      </c>
      <c r="B140" s="2" t="n">
        <v>46010</v>
      </c>
      <c r="C140" t="inlineStr">
        <is>
          <t>MCHI(US46429B6719) Cash Dividend USD 0.735007 per Share - US Tax</t>
        </is>
      </c>
      <c r="D140" t="inlineStr">
        <is>
          <t>USD</t>
        </is>
      </c>
      <c r="E140" t="n">
        <v>-2.21</v>
      </c>
      <c r="F140" t="n">
        <v>-2.21</v>
      </c>
      <c r="G140" t="n">
        <v>88.95</v>
      </c>
      <c r="H140" t="n">
        <v>-197</v>
      </c>
    </row>
    <row r="141">
      <c r="A141" t="inlineStr">
        <is>
          <t>FY2025-26</t>
        </is>
      </c>
      <c r="B141" s="2" t="n">
        <v>46010</v>
      </c>
      <c r="C141" t="inlineStr">
        <is>
          <t>MCHI(US46429B6719) Cash Dividend USD 0.735007 per Share - US Tax</t>
        </is>
      </c>
      <c r="D141" t="inlineStr">
        <is>
          <t>USD</t>
        </is>
      </c>
      <c r="E141" t="n">
        <v>2.21</v>
      </c>
      <c r="F141" t="n">
        <v>2.21</v>
      </c>
      <c r="G141" t="n">
        <v>88.95</v>
      </c>
      <c r="H141" t="n">
        <v>197</v>
      </c>
    </row>
    <row r="142">
      <c r="A142" t="inlineStr">
        <is>
          <t>FY2025-26</t>
        </is>
      </c>
      <c r="B142" s="2" t="n">
        <v>46010</v>
      </c>
      <c r="C142" t="inlineStr">
        <is>
          <t>MCHI(US46429B6719) Cash Dividend USD 0.735007 per Share - US Tax</t>
        </is>
      </c>
      <c r="D142" t="inlineStr">
        <is>
          <t>USD</t>
        </is>
      </c>
      <c r="E142" t="n">
        <v>-2.2</v>
      </c>
      <c r="F142" t="n">
        <v>-2.2</v>
      </c>
      <c r="G142" t="n">
        <v>88.95</v>
      </c>
      <c r="H142" t="n">
        <v>-196</v>
      </c>
    </row>
    <row r="143">
      <c r="A143" t="inlineStr">
        <is>
          <t>FY2025-26</t>
        </is>
      </c>
      <c r="B143" s="2" t="n">
        <v>46014</v>
      </c>
      <c r="C143" t="inlineStr">
        <is>
          <t>META(US30303M1027) Cash Dividend USD 0.525 per Share - US Tax</t>
        </is>
      </c>
      <c r="D143" t="inlineStr">
        <is>
          <t>USD</t>
        </is>
      </c>
      <c r="E143" t="n">
        <v>-0.26</v>
      </c>
      <c r="F143" t="n">
        <v>-0.26</v>
      </c>
      <c r="G143" t="n">
        <v>88.95</v>
      </c>
      <c r="H143" t="n">
        <v>-23</v>
      </c>
    </row>
    <row r="144">
      <c r="A144" t="inlineStr">
        <is>
          <t>FY2025-26</t>
        </is>
      </c>
      <c r="B144" s="2" t="n">
        <v>46015</v>
      </c>
      <c r="C144" t="inlineStr">
        <is>
          <t>TIP(US4642871762) Cash Dividend USD 0.341961 per Share - US Tax</t>
        </is>
      </c>
      <c r="D144" t="inlineStr">
        <is>
          <t>USD</t>
        </is>
      </c>
      <c r="E144" t="n">
        <v>-1.03</v>
      </c>
      <c r="F144" t="n">
        <v>-1.03</v>
      </c>
      <c r="G144" t="n">
        <v>88.95</v>
      </c>
      <c r="H144" t="n">
        <v>-92</v>
      </c>
    </row>
    <row r="145">
      <c r="A145" t="inlineStr">
        <is>
          <t>FY2025-26</t>
        </is>
      </c>
      <c r="B145" s="2" t="n">
        <v>46015</v>
      </c>
      <c r="C145" t="inlineStr">
        <is>
          <t>TIP(US4642871762) Cash Dividend USD 0.341961 per Share - US Tax</t>
        </is>
      </c>
      <c r="D145" t="inlineStr">
        <is>
          <t>USD</t>
        </is>
      </c>
      <c r="E145" t="n">
        <v>1.03</v>
      </c>
      <c r="F145" t="n">
        <v>1.03</v>
      </c>
      <c r="G145" t="n">
        <v>88.95</v>
      </c>
      <c r="H145" t="n">
        <v>92</v>
      </c>
    </row>
    <row r="146">
      <c r="A146" t="inlineStr">
        <is>
          <t>FY2025-26</t>
        </is>
      </c>
      <c r="B146" s="2" t="n">
        <v>46017</v>
      </c>
      <c r="C146" t="inlineStr">
        <is>
          <t>BAC(US0605051046) Cash Dividend USD 0.28 per Share - US Tax</t>
        </is>
      </c>
      <c r="D146" t="inlineStr">
        <is>
          <t>USD</t>
        </is>
      </c>
      <c r="E146" t="n">
        <v>-0.98</v>
      </c>
      <c r="F146" t="n">
        <v>-0.98</v>
      </c>
      <c r="G146" t="n">
        <v>88.95</v>
      </c>
      <c r="H146" t="n">
        <v>-87</v>
      </c>
    </row>
    <row r="147">
      <c r="A147" t="inlineStr">
        <is>
          <t>FY2025-26</t>
        </is>
      </c>
      <c r="B147" s="2" t="n">
        <v>46029</v>
      </c>
      <c r="C147" t="inlineStr">
        <is>
          <t>COPX(US37954Y8306) Cash Dividend USD 1.672477 per Share - US Tax</t>
        </is>
      </c>
      <c r="D147" t="inlineStr">
        <is>
          <t>USD</t>
        </is>
      </c>
      <c r="E147" t="n">
        <v>-5.02</v>
      </c>
      <c r="F147" t="n">
        <v>-5.02</v>
      </c>
      <c r="G147" t="n">
        <v>89.47</v>
      </c>
      <c r="H147" t="n">
        <v>-449</v>
      </c>
    </row>
    <row r="148">
      <c r="A148" t="inlineStr">
        <is>
          <t>FY2025-26</t>
        </is>
      </c>
      <c r="B148" s="2" t="n">
        <v>46029</v>
      </c>
      <c r="C148" t="inlineStr">
        <is>
          <t>COPX(US37954Y8306) Cash Dividend USD 1.672477 per Share - US Tax</t>
        </is>
      </c>
      <c r="D148" t="inlineStr">
        <is>
          <t>USD</t>
        </is>
      </c>
      <c r="E148" t="n">
        <v>5.02</v>
      </c>
      <c r="F148" t="n">
        <v>5.02</v>
      </c>
      <c r="G148" t="n">
        <v>89.47</v>
      </c>
      <c r="H148" t="n">
        <v>449</v>
      </c>
    </row>
    <row r="149">
      <c r="A149" t="inlineStr">
        <is>
          <t>FY2025-26</t>
        </is>
      </c>
      <c r="B149" s="2" t="n">
        <v>46029</v>
      </c>
      <c r="C149" t="inlineStr">
        <is>
          <t>COPX(US37954Y8306) Cash Dividend USD 1.672477 per Share - US Tax</t>
        </is>
      </c>
      <c r="D149" t="inlineStr">
        <is>
          <t>USD</t>
        </is>
      </c>
      <c r="E149" t="n">
        <v>-5.01</v>
      </c>
      <c r="F149" t="n">
        <v>-5.01</v>
      </c>
      <c r="G149" t="n">
        <v>89.47</v>
      </c>
      <c r="H149" t="n">
        <v>-448</v>
      </c>
    </row>
    <row r="150">
      <c r="A150" t="inlineStr">
        <is>
          <t>FY2025-26</t>
        </is>
      </c>
      <c r="B150" s="2" t="n">
        <v>46029</v>
      </c>
      <c r="C150" t="inlineStr">
        <is>
          <t>URA(US37954Y8710) Cash Dividend USD 2.084331 per Share - US Tax</t>
        </is>
      </c>
      <c r="D150" t="inlineStr">
        <is>
          <t>USD</t>
        </is>
      </c>
      <c r="E150" t="n">
        <v>-15.63</v>
      </c>
      <c r="F150" t="n">
        <v>-15.63</v>
      </c>
      <c r="G150" t="n">
        <v>89.47</v>
      </c>
      <c r="H150" t="n">
        <v>-1398</v>
      </c>
    </row>
    <row r="151">
      <c r="A151" t="inlineStr">
        <is>
          <t>FY2025-26</t>
        </is>
      </c>
      <c r="B151" s="2" t="n">
        <v>46030</v>
      </c>
      <c r="C151" t="inlineStr">
        <is>
          <t>TSM(US8740391003) Cash Dividend USD 0.79542 per Share - TW Tax</t>
        </is>
      </c>
      <c r="D151" t="inlineStr">
        <is>
          <t>USD</t>
        </is>
      </c>
      <c r="E151" t="n">
        <v>-0.5</v>
      </c>
      <c r="F151" t="n">
        <v>-0.5</v>
      </c>
      <c r="G151" t="n">
        <v>89.47</v>
      </c>
      <c r="H151" t="n">
        <v>-45</v>
      </c>
    </row>
    <row r="152">
      <c r="A152" t="inlineStr">
        <is>
          <t>FY2025-26</t>
        </is>
      </c>
      <c r="B152" s="2" t="n">
        <v>46048</v>
      </c>
      <c r="C152" t="inlineStr">
        <is>
          <t>GE(US3696043013) Cash Dividend USD 0.36 per Share - US Tax</t>
        </is>
      </c>
      <c r="D152" t="inlineStr">
        <is>
          <t>USD</t>
        </is>
      </c>
      <c r="E152" t="n">
        <v>-0.54</v>
      </c>
      <c r="F152" t="n">
        <v>-0.54</v>
      </c>
      <c r="G152" t="n">
        <v>89.47</v>
      </c>
      <c r="H152" t="n">
        <v>-48</v>
      </c>
    </row>
    <row r="153">
      <c r="A153" t="inlineStr">
        <is>
          <t>FY2025-26</t>
        </is>
      </c>
      <c r="B153" s="2" t="n">
        <v>46059</v>
      </c>
      <c r="C153" t="inlineStr">
        <is>
          <t>GD(US3695501086) Cash Dividend USD 1.50 per Share - US Tax</t>
        </is>
      </c>
      <c r="D153" t="inlineStr">
        <is>
          <t>USD</t>
        </is>
      </c>
      <c r="E153" t="n">
        <v>-0.75</v>
      </c>
      <c r="F153" t="n">
        <v>-0.75</v>
      </c>
      <c r="G153" t="n">
        <v>91.34999999999999</v>
      </c>
      <c r="H153" t="n">
        <v>-69</v>
      </c>
    </row>
    <row r="154">
      <c r="A154" t="inlineStr">
        <is>
          <t>FY2025-26</t>
        </is>
      </c>
      <c r="B154" s="2" t="n">
        <v>46063</v>
      </c>
      <c r="C154" t="inlineStr">
        <is>
          <t>AXP(US0258161092) Cash Dividend USD 0.82 per Share - US Tax</t>
        </is>
      </c>
      <c r="D154" t="inlineStr">
        <is>
          <t>USD</t>
        </is>
      </c>
      <c r="E154" t="n">
        <v>-0.82</v>
      </c>
      <c r="F154" t="n">
        <v>-0.82</v>
      </c>
      <c r="G154" t="n">
        <v>91.34999999999999</v>
      </c>
      <c r="H154" t="n">
        <v>-75</v>
      </c>
    </row>
    <row r="155">
      <c r="A155" t="inlineStr">
        <is>
          <t>FY2025-26</t>
        </is>
      </c>
      <c r="B155" s="2" t="n">
        <v>46070</v>
      </c>
      <c r="C155" t="inlineStr">
        <is>
          <t>BX(US09260D1072) Cash Dividend USD 1.49 per Share - US Tax</t>
        </is>
      </c>
      <c r="D155" t="inlineStr">
        <is>
          <t>USD</t>
        </is>
      </c>
      <c r="E155" t="n">
        <v>-4.47</v>
      </c>
      <c r="F155" t="n">
        <v>-4.47</v>
      </c>
      <c r="G155" t="n">
        <v>91.34999999999999</v>
      </c>
      <c r="H155" t="n">
        <v>-408</v>
      </c>
    </row>
    <row r="156">
      <c r="A156" t="inlineStr">
        <is>
          <t>FY2025-26</t>
        </is>
      </c>
      <c r="B156" s="2" t="n">
        <v>46072</v>
      </c>
      <c r="C156" t="inlineStr">
        <is>
          <t>CAT(US1491231015) Cash Dividend USD 1.51 per Share - US Tax</t>
        </is>
      </c>
      <c r="D156" t="inlineStr">
        <is>
          <t>USD</t>
        </is>
      </c>
      <c r="E156" t="n">
        <v>-1.13</v>
      </c>
      <c r="F156" t="n">
        <v>-1.13</v>
      </c>
      <c r="G156" t="n">
        <v>91.34999999999999</v>
      </c>
      <c r="H156" t="n">
        <v>-103</v>
      </c>
    </row>
    <row r="157">
      <c r="A157" t="inlineStr">
        <is>
          <t>FY2025-26</t>
        </is>
      </c>
      <c r="B157" s="2" t="n">
        <v>46082</v>
      </c>
      <c r="C157" t="inlineStr">
        <is>
          <t>TGT(US87612E1064) Cash Dividend USD 1.14 per Share - US Tax</t>
        </is>
      </c>
      <c r="D157" t="inlineStr">
        <is>
          <t>USD</t>
        </is>
      </c>
      <c r="E157" t="n">
        <v>-5.7</v>
      </c>
      <c r="F157" t="n">
        <v>-5.7</v>
      </c>
      <c r="G157" t="n">
        <v>90.56</v>
      </c>
      <c r="H157" t="n">
        <v>-516</v>
      </c>
    </row>
    <row r="158">
      <c r="A158" t="inlineStr">
        <is>
          <t>FY2025-26</t>
        </is>
      </c>
      <c r="B158" s="2" t="n">
        <v>46083</v>
      </c>
      <c r="C158" t="inlineStr">
        <is>
          <t>V(US92826C8394) Cash Dividend USD 0.67 per Share - US Tax</t>
        </is>
      </c>
      <c r="D158" t="inlineStr">
        <is>
          <t>USD</t>
        </is>
      </c>
      <c r="E158" t="n">
        <v>-0.5</v>
      </c>
      <c r="F158" t="n">
        <v>-0.5</v>
      </c>
      <c r="G158" t="n">
        <v>90.56</v>
      </c>
      <c r="H158" t="n">
        <v>-45</v>
      </c>
    </row>
    <row r="159">
      <c r="A159" t="inlineStr">
        <is>
          <t>FY2025-26</t>
        </is>
      </c>
      <c r="B159" s="2" t="n">
        <v>46091</v>
      </c>
      <c r="C159" t="inlineStr">
        <is>
          <t>AEP(US0255371017) Cash Dividend USD 0.95 per Share - US Tax</t>
        </is>
      </c>
      <c r="D159" t="inlineStr">
        <is>
          <t>USD</t>
        </is>
      </c>
      <c r="E159" t="n">
        <v>-1.43</v>
      </c>
      <c r="F159" t="n">
        <v>-1.43</v>
      </c>
      <c r="G159" t="n">
        <v>90.56</v>
      </c>
      <c r="H159" t="n">
        <v>-130</v>
      </c>
    </row>
    <row r="160">
      <c r="A160" t="inlineStr">
        <is>
          <t>FY2025-26</t>
        </is>
      </c>
      <c r="B160" s="2" t="n">
        <v>46091</v>
      </c>
      <c r="C160" t="inlineStr">
        <is>
          <t>LLY(US5324571083) Cash Dividend USD 1.73 per Share - US Tax</t>
        </is>
      </c>
      <c r="D160" t="inlineStr">
        <is>
          <t>USD</t>
        </is>
      </c>
      <c r="E160" t="n">
        <v>-0.75</v>
      </c>
      <c r="F160" t="n">
        <v>-0.75</v>
      </c>
      <c r="G160" t="n">
        <v>90.56</v>
      </c>
      <c r="H160" t="n">
        <v>-68</v>
      </c>
    </row>
    <row r="161">
      <c r="A161" t="inlineStr">
        <is>
          <t>FY2025-26</t>
        </is>
      </c>
      <c r="B161" s="2" t="n">
        <v>46093</v>
      </c>
      <c r="C161" t="inlineStr">
        <is>
          <t>MSFT(US5949181045) Cash Dividend USD 0.91 per Share - US Tax</t>
        </is>
      </c>
      <c r="D161" t="inlineStr">
        <is>
          <t>USD</t>
        </is>
      </c>
      <c r="E161" t="n">
        <v>-0.68</v>
      </c>
      <c r="F161" t="n">
        <v>-0.68</v>
      </c>
      <c r="G161" t="n">
        <v>90.56</v>
      </c>
      <c r="H161" t="n">
        <v>-62</v>
      </c>
    </row>
    <row r="162">
      <c r="A162" t="inlineStr">
        <is>
          <t>FY2025-26</t>
        </is>
      </c>
      <c r="B162" s="2" t="n">
        <v>46100</v>
      </c>
      <c r="C162" t="inlineStr">
        <is>
          <t>RTX(US75513E1010) Cash Dividend USD 0.68 per Share - US Tax</t>
        </is>
      </c>
      <c r="D162" t="inlineStr">
        <is>
          <t>USD</t>
        </is>
      </c>
      <c r="E162" t="n">
        <v>-0.85</v>
      </c>
      <c r="F162" t="n">
        <v>-0.85</v>
      </c>
      <c r="G162" t="n">
        <v>90.56</v>
      </c>
      <c r="H162" t="n">
        <v>-77</v>
      </c>
    </row>
    <row r="163">
      <c r="A163" t="inlineStr">
        <is>
          <t>FY2025-26</t>
        </is>
      </c>
      <c r="B163" s="2" t="n">
        <v>46107</v>
      </c>
      <c r="C163" t="inlineStr">
        <is>
          <t>META(US30303M1027) Cash Dividend USD 0.525 per Share - US Tax</t>
        </is>
      </c>
      <c r="D163" t="inlineStr">
        <is>
          <t>USD</t>
        </is>
      </c>
      <c r="E163" t="n">
        <v>-0.26</v>
      </c>
      <c r="F163" t="n">
        <v>-0.26</v>
      </c>
      <c r="G163" t="n">
        <v>90.56</v>
      </c>
      <c r="H163" t="n">
        <v>-24</v>
      </c>
    </row>
    <row r="164">
      <c r="A164" t="inlineStr">
        <is>
          <t>FY2025-26</t>
        </is>
      </c>
      <c r="B164" s="2" t="n">
        <v>46108</v>
      </c>
      <c r="C164" t="inlineStr">
        <is>
          <t>BAC(US0605051046) Cash Dividend USD 0.28 per Share - US Tax</t>
        </is>
      </c>
      <c r="D164" t="inlineStr">
        <is>
          <t>USD</t>
        </is>
      </c>
      <c r="E164" t="n">
        <v>-0.98</v>
      </c>
      <c r="F164" t="n">
        <v>-0.98</v>
      </c>
      <c r="G164" t="n">
        <v>90.56</v>
      </c>
      <c r="H164" t="n">
        <v>-89</v>
      </c>
    </row>
    <row r="165">
      <c r="A165" t="inlineStr">
        <is>
          <t>FY2026-27 YTD</t>
        </is>
      </c>
      <c r="B165" s="2" t="n">
        <v>46135</v>
      </c>
      <c r="C165" t="inlineStr">
        <is>
          <t>AIR(NL0000235190) Cash Dividend EUR 3.20 per Share - NL Tax</t>
        </is>
      </c>
      <c r="D165" t="inlineStr">
        <is>
          <t>EUR</t>
        </is>
      </c>
      <c r="E165" t="n">
        <v>-5.76</v>
      </c>
      <c r="F165" t="n">
        <v>-6.7657</v>
      </c>
      <c r="G165" t="n">
        <v>93.15000000000001</v>
      </c>
      <c r="H165" t="n">
        <v>-630</v>
      </c>
    </row>
    <row r="166">
      <c r="A166" t="inlineStr">
        <is>
          <t>FY2026-27 YTD</t>
        </is>
      </c>
      <c r="B166" s="2" t="n">
        <v>46196</v>
      </c>
      <c r="C166" t="inlineStr">
        <is>
          <t>4568.T(JP3475350009) Cash Dividend JPY 39 per Share - JP Tax</t>
        </is>
      </c>
      <c r="D166" t="inlineStr">
        <is>
          <t>JPY</t>
        </is>
      </c>
      <c r="E166" t="n">
        <v>-597</v>
      </c>
      <c r="F166" t="n">
        <v>-3.8105</v>
      </c>
      <c r="G166" t="n">
        <v>94.59999999999999</v>
      </c>
      <c r="H166" t="n">
        <v>-360</v>
      </c>
    </row>
    <row r="167">
      <c r="A167" t="inlineStr">
        <is>
          <t>FY2026-27 YTD</t>
        </is>
      </c>
      <c r="B167" s="2" t="n">
        <v>46121</v>
      </c>
      <c r="C167" t="inlineStr">
        <is>
          <t>TSM(US8740391003) Cash Dividend USD 0.938972 per Share - TW Tax</t>
        </is>
      </c>
      <c r="D167" t="inlineStr">
        <is>
          <t>USD</t>
        </is>
      </c>
      <c r="E167" t="n">
        <v>-0.59</v>
      </c>
      <c r="F167" t="n">
        <v>-0.59</v>
      </c>
      <c r="G167" t="n">
        <v>93.15000000000001</v>
      </c>
      <c r="H167" t="n">
        <v>-55</v>
      </c>
    </row>
    <row r="168">
      <c r="A168" t="inlineStr">
        <is>
          <t>FY2026-27 YTD</t>
        </is>
      </c>
      <c r="B168" s="2" t="n">
        <v>46139</v>
      </c>
      <c r="C168" t="inlineStr">
        <is>
          <t>GE(US3696043013) Cash Dividend USD 0.47 per Share - US Tax</t>
        </is>
      </c>
      <c r="D168" t="inlineStr">
        <is>
          <t>USD</t>
        </is>
      </c>
      <c r="E168" t="n">
        <v>-0.71</v>
      </c>
      <c r="F168" t="n">
        <v>-0.71</v>
      </c>
      <c r="G168" t="n">
        <v>93.15000000000001</v>
      </c>
      <c r="H168" t="n">
        <v>-66</v>
      </c>
    </row>
    <row r="169">
      <c r="A169" t="inlineStr">
        <is>
          <t>FY2026-27 YTD</t>
        </is>
      </c>
      <c r="B169" s="2" t="n">
        <v>46148</v>
      </c>
      <c r="C169" t="inlineStr">
        <is>
          <t>TIP(US4642871762) Cash Dividend USD 0.560849 per Share - US Tax</t>
        </is>
      </c>
      <c r="D169" t="inlineStr">
        <is>
          <t>USD</t>
        </is>
      </c>
      <c r="E169" t="n">
        <v>-1.68</v>
      </c>
      <c r="F169" t="n">
        <v>-1.68</v>
      </c>
      <c r="G169" t="n">
        <v>94.8</v>
      </c>
      <c r="H169" t="n">
        <v>-159</v>
      </c>
    </row>
    <row r="170">
      <c r="A170" t="inlineStr">
        <is>
          <t>FY2026-27 YTD</t>
        </is>
      </c>
      <c r="B170" s="2" t="n">
        <v>46150</v>
      </c>
      <c r="C170" t="inlineStr">
        <is>
          <t>AXP(US0258161092) Cash Dividend USD 0.95 per Share - US Tax</t>
        </is>
      </c>
      <c r="D170" t="inlineStr">
        <is>
          <t>USD</t>
        </is>
      </c>
      <c r="E170" t="n">
        <v>-0.95</v>
      </c>
      <c r="F170" t="n">
        <v>-0.95</v>
      </c>
      <c r="G170" t="n">
        <v>94.8</v>
      </c>
      <c r="H170" t="n">
        <v>-90</v>
      </c>
    </row>
    <row r="171">
      <c r="A171" t="inlineStr">
        <is>
          <t>FY2026-27 YTD</t>
        </is>
      </c>
      <c r="B171" s="2" t="n">
        <v>46150</v>
      </c>
      <c r="C171" t="inlineStr">
        <is>
          <t>GD(US3695501086) Cash Dividend USD 1.59 per Share - US Tax</t>
        </is>
      </c>
      <c r="D171" t="inlineStr">
        <is>
          <t>USD</t>
        </is>
      </c>
      <c r="E171" t="n">
        <v>-0.8</v>
      </c>
      <c r="F171" t="n">
        <v>-0.8</v>
      </c>
      <c r="G171" t="n">
        <v>94.8</v>
      </c>
      <c r="H171" t="n">
        <v>-76</v>
      </c>
    </row>
    <row r="172">
      <c r="A172" t="inlineStr">
        <is>
          <t>FY2026-27 YTD</t>
        </is>
      </c>
      <c r="B172" s="2" t="n">
        <v>46153</v>
      </c>
      <c r="C172" t="inlineStr">
        <is>
          <t>BX(US09260D1072) Cash Dividend USD 1.16 per Share - US Tax</t>
        </is>
      </c>
      <c r="D172" t="inlineStr">
        <is>
          <t>USD</t>
        </is>
      </c>
      <c r="E172" t="n">
        <v>-3.48</v>
      </c>
      <c r="F172" t="n">
        <v>-3.48</v>
      </c>
      <c r="G172" t="n">
        <v>94.8</v>
      </c>
      <c r="H172" t="n">
        <v>-330</v>
      </c>
    </row>
    <row r="173">
      <c r="A173" t="inlineStr">
        <is>
          <t>FY2026-27 YTD</t>
        </is>
      </c>
      <c r="B173" s="2" t="n">
        <v>46161</v>
      </c>
      <c r="C173" t="inlineStr">
        <is>
          <t>CAT(US1491231015) Cash Dividend USD 1.51 per Share - US Tax</t>
        </is>
      </c>
      <c r="D173" t="inlineStr">
        <is>
          <t>USD</t>
        </is>
      </c>
      <c r="E173" t="n">
        <v>-1.13</v>
      </c>
      <c r="F173" t="n">
        <v>-1.13</v>
      </c>
      <c r="G173" t="n">
        <v>94.8</v>
      </c>
      <c r="H173" t="n">
        <v>-107</v>
      </c>
    </row>
    <row r="174">
      <c r="A174" t="inlineStr">
        <is>
          <t>FY2026-27 YTD</t>
        </is>
      </c>
      <c r="B174" s="2" t="n">
        <v>46174</v>
      </c>
      <c r="C174" t="inlineStr">
        <is>
          <t>TGT(US87612E1064) Cash Dividend USD 1.14 per Share - US Tax</t>
        </is>
      </c>
      <c r="D174" t="inlineStr">
        <is>
          <t>USD</t>
        </is>
      </c>
      <c r="E174" t="n">
        <v>-5.7</v>
      </c>
      <c r="F174" t="n">
        <v>-5.7</v>
      </c>
      <c r="G174" t="n">
        <v>94.59999999999999</v>
      </c>
      <c r="H174" t="n">
        <v>-539</v>
      </c>
    </row>
    <row r="175">
      <c r="A175" t="inlineStr">
        <is>
          <t>FY2026-27 YTD</t>
        </is>
      </c>
      <c r="B175" s="2" t="n">
        <v>46174</v>
      </c>
      <c r="C175" t="inlineStr">
        <is>
          <t>V(US92826C8394) Cash Dividend USD 0.67 per Share - US Tax</t>
        </is>
      </c>
      <c r="D175" t="inlineStr">
        <is>
          <t>USD</t>
        </is>
      </c>
      <c r="E175" t="n">
        <v>-0.5</v>
      </c>
      <c r="F175" t="n">
        <v>-0.5</v>
      </c>
      <c r="G175" t="n">
        <v>94.59999999999999</v>
      </c>
      <c r="H175" t="n">
        <v>-47</v>
      </c>
    </row>
    <row r="176">
      <c r="A176" t="inlineStr">
        <is>
          <t>FY2026-27 YTD</t>
        </is>
      </c>
      <c r="B176" s="2" t="n">
        <v>46177</v>
      </c>
      <c r="C176" t="inlineStr">
        <is>
          <t>TIP(US4642871762) Cash Dividend USD 1.277516 per Share - US Tax</t>
        </is>
      </c>
      <c r="D176" t="inlineStr">
        <is>
          <t>USD</t>
        </is>
      </c>
      <c r="E176" t="n">
        <v>-3.83</v>
      </c>
      <c r="F176" t="n">
        <v>-3.83</v>
      </c>
      <c r="G176" t="n">
        <v>94.59999999999999</v>
      </c>
      <c r="H176" t="n">
        <v>-362</v>
      </c>
    </row>
    <row r="177">
      <c r="A177" t="inlineStr">
        <is>
          <t>FY2026-27 YTD</t>
        </is>
      </c>
      <c r="B177" s="2" t="n">
        <v>46183</v>
      </c>
      <c r="C177" t="inlineStr">
        <is>
          <t>AEP(US0255371017) Cash Dividend USD 0.95 per Share - US Tax</t>
        </is>
      </c>
      <c r="D177" t="inlineStr">
        <is>
          <t>USD</t>
        </is>
      </c>
      <c r="E177" t="n">
        <v>-1.43</v>
      </c>
      <c r="F177" t="n">
        <v>-1.43</v>
      </c>
      <c r="G177" t="n">
        <v>94.59999999999999</v>
      </c>
      <c r="H177" t="n">
        <v>-135</v>
      </c>
    </row>
    <row r="178">
      <c r="A178" t="inlineStr">
        <is>
          <t>FY2026-27 YTD</t>
        </is>
      </c>
      <c r="B178" s="2" t="n">
        <v>46183</v>
      </c>
      <c r="C178" t="inlineStr">
        <is>
          <t>LLY(US5324571083) Cash Dividend USD 1.73 per Share - US Tax</t>
        </is>
      </c>
      <c r="D178" t="inlineStr">
        <is>
          <t>USD</t>
        </is>
      </c>
      <c r="E178" t="n">
        <v>-0.75</v>
      </c>
      <c r="F178" t="n">
        <v>-0.75</v>
      </c>
      <c r="G178" t="n">
        <v>94.59999999999999</v>
      </c>
      <c r="H178" t="n">
        <v>-71</v>
      </c>
    </row>
    <row r="179">
      <c r="A179" t="inlineStr">
        <is>
          <t>FY2026-27 YTD</t>
        </is>
      </c>
      <c r="B179" s="2" t="n">
        <v>46184</v>
      </c>
      <c r="C179" t="inlineStr">
        <is>
          <t>MSFT(US5949181045) Cash Dividend USD 0.91 per Share - US Tax</t>
        </is>
      </c>
      <c r="D179" t="inlineStr">
        <is>
          <t>USD</t>
        </is>
      </c>
      <c r="E179" t="n">
        <v>-0.68</v>
      </c>
      <c r="F179" t="n">
        <v>-0.68</v>
      </c>
      <c r="G179" t="n">
        <v>94.59999999999999</v>
      </c>
      <c r="H179" t="n">
        <v>-64</v>
      </c>
    </row>
    <row r="180">
      <c r="A180" t="inlineStr">
        <is>
          <t>FY2026-27 YTD</t>
        </is>
      </c>
      <c r="B180" s="2" t="n">
        <v>46184</v>
      </c>
      <c r="C180" t="inlineStr">
        <is>
          <t>RTX(US75513E1010) Cash Dividend USD 0.73 per Share - US Tax</t>
        </is>
      </c>
      <c r="D180" t="inlineStr">
        <is>
          <t>USD</t>
        </is>
      </c>
      <c r="E180" t="n">
        <v>-0.91</v>
      </c>
      <c r="F180" t="n">
        <v>-0.91</v>
      </c>
      <c r="G180" t="n">
        <v>94.59999999999999</v>
      </c>
      <c r="H180" t="n">
        <v>-86</v>
      </c>
    </row>
    <row r="181">
      <c r="A181" t="inlineStr">
        <is>
          <t>FY2026-27 YTD</t>
        </is>
      </c>
      <c r="B181" s="2" t="n">
        <v>46191</v>
      </c>
      <c r="C181" t="inlineStr">
        <is>
          <t>MCHI(US46429B6719) Cash Dividend USD 0.361295 per Share - US Tax</t>
        </is>
      </c>
      <c r="D181" t="inlineStr">
        <is>
          <t>USD</t>
        </is>
      </c>
      <c r="E181" t="n">
        <v>-1.09</v>
      </c>
      <c r="F181" t="n">
        <v>-1.09</v>
      </c>
      <c r="G181" t="n">
        <v>94.59999999999999</v>
      </c>
      <c r="H181" t="n">
        <v>-103</v>
      </c>
    </row>
    <row r="182">
      <c r="A182" t="inlineStr">
        <is>
          <t>FY2026-27 YTD</t>
        </is>
      </c>
      <c r="B182" s="2" t="n">
        <v>46198</v>
      </c>
      <c r="C182" t="inlineStr">
        <is>
          <t>META(US30303M1027) Cash Dividend USD 0.525 per Share - US Tax</t>
        </is>
      </c>
      <c r="D182" t="inlineStr">
        <is>
          <t>USD</t>
        </is>
      </c>
      <c r="E182" t="n">
        <v>-0.26</v>
      </c>
      <c r="F182" t="n">
        <v>-0.26</v>
      </c>
      <c r="G182" t="n">
        <v>94.59999999999999</v>
      </c>
      <c r="H182" t="n">
        <v>-25</v>
      </c>
    </row>
    <row r="183">
      <c r="A183" t="inlineStr">
        <is>
          <t>FY2026-27 YTD</t>
        </is>
      </c>
      <c r="B183" s="2" t="n">
        <v>46199</v>
      </c>
      <c r="C183" t="inlineStr">
        <is>
          <t>BAC(US0605051046) Cash Dividend USD 0.28 per Share - US Tax</t>
        </is>
      </c>
      <c r="D183" t="inlineStr">
        <is>
          <t>USD</t>
        </is>
      </c>
      <c r="E183" t="n">
        <v>-0.98</v>
      </c>
      <c r="F183" t="n">
        <v>-0.98</v>
      </c>
      <c r="G183" t="n">
        <v>94.59999999999999</v>
      </c>
      <c r="H183" t="n">
        <v>-93</v>
      </c>
    </row>
    <row r="184">
      <c r="A184" t="inlineStr">
        <is>
          <t>FY2026-27 YTD</t>
        </is>
      </c>
      <c r="B184" s="2" t="n">
        <v>46210</v>
      </c>
      <c r="C184" t="inlineStr">
        <is>
          <t>COPX(US37954Y8306) Cash Dividend USD 0.257976 per Share - US Tax</t>
        </is>
      </c>
      <c r="D184" t="inlineStr">
        <is>
          <t>USD</t>
        </is>
      </c>
      <c r="E184" t="n">
        <v>-0.78</v>
      </c>
      <c r="F184" t="n">
        <v>-0.78</v>
      </c>
      <c r="G184" t="n">
        <v>93.95</v>
      </c>
      <c r="H184" t="n">
        <v>-73</v>
      </c>
    </row>
    <row r="185">
      <c r="A185" t="inlineStr">
        <is>
          <t>FY2026-27 YTD</t>
        </is>
      </c>
      <c r="B185" s="2" t="n">
        <v>46210</v>
      </c>
      <c r="C185" t="inlineStr">
        <is>
          <t>TIP(US4642871762) Cash Dividend USD 1.058023 per Share - US Tax</t>
        </is>
      </c>
      <c r="D185" t="inlineStr">
        <is>
          <t>USD</t>
        </is>
      </c>
      <c r="E185" t="n">
        <v>-3.18</v>
      </c>
      <c r="F185" t="n">
        <v>-3.18</v>
      </c>
      <c r="G185" t="n">
        <v>93.95</v>
      </c>
      <c r="H185" t="n">
        <v>-299</v>
      </c>
    </row>
    <row r="186">
      <c r="A186" t="inlineStr">
        <is>
          <t>FY2026-27 YTD</t>
        </is>
      </c>
      <c r="B186" s="2" t="n">
        <v>46212</v>
      </c>
      <c r="C186" t="inlineStr">
        <is>
          <t>TSM(US8740391003) Cash Dividend USD 0.939325 per Share - TW Tax</t>
        </is>
      </c>
      <c r="D186" t="inlineStr">
        <is>
          <t>USD</t>
        </is>
      </c>
      <c r="E186" t="n">
        <v>-0.59</v>
      </c>
      <c r="F186" t="n">
        <v>-0.59</v>
      </c>
      <c r="G186" t="n">
        <v>93.95</v>
      </c>
      <c r="H186" t="n">
        <v>-55</v>
      </c>
    </row>
    <row r="187">
      <c r="A187" t="inlineStr">
        <is>
          <t>FY2026-27 YTD</t>
        </is>
      </c>
      <c r="B187" s="2" t="n">
        <v>46230</v>
      </c>
      <c r="C187" t="inlineStr">
        <is>
          <t>GE(US3696043013) Cash Dividend USD 0.47 per Share - US Tax</t>
        </is>
      </c>
      <c r="D187" t="inlineStr">
        <is>
          <t>USD</t>
        </is>
      </c>
      <c r="E187" t="n">
        <v>-0.71</v>
      </c>
      <c r="F187" t="n">
        <v>-0.71</v>
      </c>
      <c r="G187" t="n">
        <v>93.95</v>
      </c>
      <c r="H187" t="n">
        <v>-67</v>
      </c>
    </row>
    <row r="188">
      <c r="A188" t="inlineStr">
        <is>
          <t>FY2026-27 YTD</t>
        </is>
      </c>
      <c r="B188" s="2" t="n">
        <v>46240</v>
      </c>
      <c r="C188" t="inlineStr">
        <is>
          <t>TIP(US4642871762) Cash Dividend USD 0.784384 per Share - US Tax</t>
        </is>
      </c>
      <c r="D188" t="inlineStr">
        <is>
          <t>USD</t>
        </is>
      </c>
      <c r="E188" t="n">
        <v>-2.35</v>
      </c>
      <c r="F188" t="n">
        <v>-2.35</v>
      </c>
      <c r="G188" t="n">
        <v>95.2</v>
      </c>
      <c r="H188" t="n">
        <v>-224</v>
      </c>
    </row>
    <row r="189">
      <c r="A189" t="inlineStr">
        <is>
          <t>FY2026-27 YTD</t>
        </is>
      </c>
      <c r="B189" s="2" t="n">
        <v>46241</v>
      </c>
      <c r="C189" t="inlineStr">
        <is>
          <t>GD(US3695501086) Cash Dividend USD 1.59 per Share - US Tax</t>
        </is>
      </c>
      <c r="D189" t="inlineStr">
        <is>
          <t>USD</t>
        </is>
      </c>
      <c r="E189" t="n">
        <v>-0.8</v>
      </c>
      <c r="F189" t="n">
        <v>-0.8</v>
      </c>
      <c r="G189" t="n">
        <v>95.2</v>
      </c>
      <c r="H189" t="n">
        <v>-76</v>
      </c>
    </row>
    <row r="190">
      <c r="A190" t="inlineStr">
        <is>
          <t>FY2026-27 YTD</t>
        </is>
      </c>
      <c r="B190" s="2" t="n">
        <v>46244</v>
      </c>
      <c r="C190" t="inlineStr">
        <is>
          <t>AXP(US0258161092) Cash Dividend USD 0.95 per Share - US Tax</t>
        </is>
      </c>
      <c r="D190" t="inlineStr">
        <is>
          <t>USD</t>
        </is>
      </c>
      <c r="E190" t="n">
        <v>-0.95</v>
      </c>
      <c r="F190" t="n">
        <v>-0.95</v>
      </c>
      <c r="G190" t="n">
        <v>95.2</v>
      </c>
      <c r="H190" t="n">
        <v>-90</v>
      </c>
    </row>
    <row r="191">
      <c r="A191" t="inlineStr">
        <is>
          <t>FY2026-27 YTD</t>
        </is>
      </c>
      <c r="B191" s="2" t="n">
        <v>46244</v>
      </c>
      <c r="C191" t="inlineStr">
        <is>
          <t>BX(US09260D1072) Cash Dividend USD 1.29 per Share - US Tax</t>
        </is>
      </c>
      <c r="D191" t="inlineStr">
        <is>
          <t>USD</t>
        </is>
      </c>
      <c r="E191" t="n">
        <v>-3.87</v>
      </c>
      <c r="F191" t="n">
        <v>-3.87</v>
      </c>
      <c r="G191" t="n">
        <v>95.2</v>
      </c>
      <c r="H191" t="n">
        <v>-368</v>
      </c>
    </row>
    <row r="192">
      <c r="A192" t="inlineStr">
        <is>
          <t>FY2026-27 YTD</t>
        </is>
      </c>
      <c r="B192" s="2" t="n">
        <v>46253</v>
      </c>
      <c r="C192" t="inlineStr">
        <is>
          <t>CAT(US1491231015) Cash Dividend USD 1.63 per Share - US Tax</t>
        </is>
      </c>
      <c r="D192" t="inlineStr">
        <is>
          <t>USD</t>
        </is>
      </c>
      <c r="E192" t="n">
        <v>-1.22</v>
      </c>
      <c r="F192" t="n">
        <v>-1.22</v>
      </c>
      <c r="G192" t="n">
        <v>95.2</v>
      </c>
      <c r="H192" t="n">
        <v>-116</v>
      </c>
    </row>
    <row r="193">
      <c r="A193" t="inlineStr">
        <is>
          <t>FY2026-27 YTD</t>
        </is>
      </c>
      <c r="B193" s="2" t="n">
        <v>46266</v>
      </c>
      <c r="C193" t="inlineStr">
        <is>
          <t>TGT(US87612E1064) Cash Dividend USD 1.16 per Share - US Tax</t>
        </is>
      </c>
      <c r="D193" t="inlineStr">
        <is>
          <t>USD</t>
        </is>
      </c>
      <c r="E193" t="n">
        <v>-5.8</v>
      </c>
      <c r="F193" t="n">
        <v>-5.8</v>
      </c>
      <c r="G193" t="n">
        <v>95</v>
      </c>
      <c r="H193" t="n">
        <v>-551</v>
      </c>
    </row>
    <row r="194">
      <c r="A194" t="inlineStr">
        <is>
          <t>FY2026-27 YTD</t>
        </is>
      </c>
      <c r="B194" s="2" t="n">
        <v>46266</v>
      </c>
      <c r="C194" t="inlineStr">
        <is>
          <t>V(US92826C8394) Cash Dividend USD 0.67 per Share - US Tax</t>
        </is>
      </c>
      <c r="D194" t="inlineStr">
        <is>
          <t>USD</t>
        </is>
      </c>
      <c r="E194" t="n">
        <v>-0.5</v>
      </c>
      <c r="F194" t="n">
        <v>-0.5</v>
      </c>
      <c r="G194" t="n">
        <v>95</v>
      </c>
      <c r="H194" t="n">
        <v>-48</v>
      </c>
    </row>
    <row r="195">
      <c r="A195" t="inlineStr">
        <is>
          <t>FY2026-27 YTD</t>
        </is>
      </c>
      <c r="B195" s="2" t="n">
        <v>46268</v>
      </c>
      <c r="C195" t="inlineStr">
        <is>
          <t>RTX(US75513E1010) Cash Dividend USD 0.73 per Share - US Tax</t>
        </is>
      </c>
      <c r="D195" t="inlineStr">
        <is>
          <t>USD</t>
        </is>
      </c>
      <c r="E195" t="n">
        <v>-0.91</v>
      </c>
      <c r="F195" t="n">
        <v>-0.91</v>
      </c>
      <c r="G195" t="n">
        <v>95</v>
      </c>
      <c r="H195" t="n">
        <v>-86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2025-26 (AY 2026-27). FIFO. Yellow cells editable. Formulas compute USD, INR and Gain/(Loss).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6">
      <c r="G6" s="4" t="n"/>
      <c r="T6" s="4" t="n"/>
    </row>
    <row r="7">
      <c r="G7" s="4" t="n"/>
      <c r="T7" s="4" t="n"/>
    </row>
    <row r="8">
      <c r="G8" s="4" t="n"/>
      <c r="T8" s="4" t="n"/>
    </row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1" customWidth="1" min="5" max="5"/>
    <col width="14" customWidth="1" min="6" max="6"/>
    <col width="10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17" customWidth="1" min="20" max="20"/>
    <col width="10" customWidth="1" min="21" max="21"/>
  </cols>
  <sheetData>
    <row r="1">
      <c r="A1" t="inlineStr">
        <is>
          <t>Capital gains — FY 2024-25 (AY 2025-26). FIFO from inception. Yellow cells editable.</t>
        </is>
      </c>
    </row>
    <row r="2">
      <c r="A2" t="inlineStr">
        <is>
          <t>RECONCILIATION SHEET (formula-driven). Edit yellow cells — P&amp;L recalculates. Gain/(Loss) INR = Sale INR − Comm INR − Cost INR. Holding days &gt;730 → LTCG else STCG. Click any calculated cell to see the formula. FX Lookup has the full SBI TT rate table.</t>
        </is>
      </c>
    </row>
    <row r="3">
      <c r="A3" t="inlineStr">
        <is>
          <t>F=E-D | G=IF(F&gt;730,"LTCG","STCG") | L=H*K | M=I*K | Q=L*N (Sale INR) | R=J*P (Comm INR) | S=M*O (Cost INR) | T=Q-R-S (Gain)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6">
      <c r="G6" s="4" t="n"/>
      <c r="T6" s="4" t="n"/>
    </row>
    <row r="7">
      <c r="G7" s="4" t="n"/>
      <c r="T7" s="4" t="n"/>
    </row>
    <row r="8">
      <c r="G8" s="4" t="n"/>
      <c r="T8" s="4" t="n"/>
    </row>
    <row r="10">
      <c r="A10" t="inlineStr">
        <is>
          <t>How to reconcile before filing:</t>
        </is>
      </c>
    </row>
    <row r="11">
      <c r="A11" t="inlineStr">
        <is>
          <t>1. Check Sale Proceeds (FCY) / Cost Basis (FCY) vs IBKR trade Proceeds &amp; Basis.</t>
        </is>
      </c>
    </row>
    <row r="12">
      <c r="A12" t="inlineStr">
        <is>
          <t>2. Edit yellow FX cells (N Sale FX, O Cost FX, P Comm USD/INR) to exact SBI TT Buy card rates.</t>
        </is>
      </c>
    </row>
    <row r="13">
      <c r="A13" t="inlineStr">
        <is>
          <t>3. For HKD/JPY, edit FCY→USD (K) if using trade-date FX instead of 31-Dec-2025 IBKR close.</t>
        </is>
      </c>
    </row>
    <row r="14">
      <c r="A14" t="inlineStr">
        <is>
          <t>4. Gain/(Loss) cell formula: =Q-R-S i.e. Sale INR − Comm INR − Cost INR.</t>
        </is>
      </c>
    </row>
    <row r="15">
      <c r="A15" t="inlineStr">
        <is>
          <t>5. Bottom totals are SUMIF formulas on Type (STCG/LTCG).</t>
        </is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4" customWidth="1" min="5" max="5"/>
    <col width="10" customWidth="1" min="6" max="6"/>
    <col width="10" customWidth="1" min="7" max="7"/>
  </cols>
  <sheetData>
    <row r="1">
      <c r="A1" t="inlineStr">
        <is>
          <t>FIFO lot register rebuilt from inception statement (actual acquisition dates &amp; IBKR cost basis)</t>
        </is>
      </c>
    </row>
    <row r="2">
      <c r="A2" s="1" t="inlineStr">
        <is>
          <t>As-of</t>
        </is>
      </c>
      <c r="B2" s="1" t="inlineStr">
        <is>
          <t>Symbol</t>
        </is>
      </c>
      <c r="C2" s="1" t="inlineStr">
        <is>
          <t>Qty</t>
        </is>
      </c>
      <c r="D2" s="1" t="inlineStr">
        <is>
          <t>Acquisition Date</t>
        </is>
      </c>
      <c r="E2" s="1" t="inlineStr">
        <is>
          <t>Cost (local)</t>
        </is>
      </c>
      <c r="F2" s="1" t="inlineStr">
        <is>
          <t>Currency</t>
        </is>
      </c>
      <c r="G2" s="1" t="inlineStr">
        <is>
          <t>Source</t>
        </is>
      </c>
    </row>
    <row r="3">
      <c r="A3" t="inlineStr">
        <is>
          <t>31-Mar-2025 (FY2025-26 open)</t>
        </is>
      </c>
      <c r="B3" t="inlineStr">
        <is>
          <t>4568.T</t>
        </is>
      </c>
      <c r="C3" t="n">
        <v>100</v>
      </c>
      <c r="D3" s="2" t="n">
        <v>45746</v>
      </c>
      <c r="E3" t="n">
        <v>353782.8</v>
      </c>
      <c r="F3" t="inlineStr">
        <is>
          <t>JPY</t>
        </is>
      </c>
      <c r="G3" t="inlineStr">
        <is>
          <t>buy</t>
        </is>
      </c>
    </row>
    <row r="4">
      <c r="A4" t="inlineStr">
        <is>
          <t>31-Mar-2025 (FY2025-26 open)</t>
        </is>
      </c>
      <c r="B4" t="inlineStr">
        <is>
          <t>AIRd</t>
        </is>
      </c>
      <c r="C4" t="n">
        <v>6</v>
      </c>
      <c r="D4" s="2" t="n">
        <v>45678</v>
      </c>
      <c r="E4" t="n">
        <v>978.6</v>
      </c>
      <c r="F4" t="inlineStr">
        <is>
          <t>EUR</t>
        </is>
      </c>
      <c r="G4" t="inlineStr">
        <is>
          <t>buy</t>
        </is>
      </c>
    </row>
    <row r="5">
      <c r="A5" t="inlineStr">
        <is>
          <t>31-Mar-2025 (FY2025-26 open)</t>
        </is>
      </c>
      <c r="B5" t="inlineStr">
        <is>
          <t>AMZN</t>
        </is>
      </c>
      <c r="C5" t="n">
        <v>5.5</v>
      </c>
      <c r="D5" s="2" t="n">
        <v>45678</v>
      </c>
      <c r="E5" t="n">
        <v>1256.9528</v>
      </c>
      <c r="F5" t="inlineStr">
        <is>
          <t>USD</t>
        </is>
      </c>
      <c r="G5" t="inlineStr">
        <is>
          <t>buy</t>
        </is>
      </c>
    </row>
    <row r="6">
      <c r="A6" t="inlineStr">
        <is>
          <t>31-Mar-2025 (FY2025-26 open)</t>
        </is>
      </c>
      <c r="B6" t="inlineStr">
        <is>
          <t>AXP</t>
        </is>
      </c>
      <c r="C6" t="n">
        <v>2</v>
      </c>
      <c r="D6" s="2" t="n">
        <v>45678</v>
      </c>
      <c r="E6" t="n">
        <v>635.8001</v>
      </c>
      <c r="F6" t="inlineStr">
        <is>
          <t>USD</t>
        </is>
      </c>
      <c r="G6" t="inlineStr">
        <is>
          <t>buy</t>
        </is>
      </c>
    </row>
    <row r="7">
      <c r="A7" t="inlineStr">
        <is>
          <t>31-Mar-2025 (FY2025-26 open)</t>
        </is>
      </c>
      <c r="B7" t="inlineStr">
        <is>
          <t>BAC</t>
        </is>
      </c>
      <c r="C7" t="n">
        <v>14</v>
      </c>
      <c r="D7" s="2" t="n">
        <v>45678</v>
      </c>
      <c r="E7" t="n">
        <v>660.1906</v>
      </c>
      <c r="F7" t="inlineStr">
        <is>
          <t>USD</t>
        </is>
      </c>
      <c r="G7" t="inlineStr">
        <is>
          <t>buy</t>
        </is>
      </c>
    </row>
    <row r="8">
      <c r="A8" t="inlineStr">
        <is>
          <t>31-Mar-2025 (FY2025-26 open)</t>
        </is>
      </c>
      <c r="B8" t="inlineStr">
        <is>
          <t>BLBD</t>
        </is>
      </c>
      <c r="C8" t="n">
        <v>15</v>
      </c>
      <c r="D8" s="2" t="n">
        <v>45678</v>
      </c>
      <c r="E8" t="n">
        <v>613.0005</v>
      </c>
      <c r="F8" t="inlineStr">
        <is>
          <t>USD</t>
        </is>
      </c>
      <c r="G8" t="inlineStr">
        <is>
          <t>buy</t>
        </is>
      </c>
    </row>
    <row r="9">
      <c r="A9" t="inlineStr">
        <is>
          <t>31-Mar-2025 (FY2025-26 open)</t>
        </is>
      </c>
      <c r="B9" t="inlineStr">
        <is>
          <t>BX</t>
        </is>
      </c>
      <c r="C9" t="n">
        <v>6</v>
      </c>
      <c r="D9" s="2" t="n">
        <v>45678</v>
      </c>
      <c r="E9" t="n">
        <v>1086.5503</v>
      </c>
      <c r="F9" t="inlineStr">
        <is>
          <t>USD</t>
        </is>
      </c>
      <c r="G9" t="inlineStr">
        <is>
          <t>buy</t>
        </is>
      </c>
    </row>
    <row r="10">
      <c r="A10" t="inlineStr">
        <is>
          <t>31-Mar-2025 (FY2025-26 open)</t>
        </is>
      </c>
      <c r="B10" t="inlineStr">
        <is>
          <t>CAT</t>
        </is>
      </c>
      <c r="C10" t="n">
        <v>3</v>
      </c>
      <c r="D10" s="2" t="n">
        <v>45678</v>
      </c>
      <c r="E10" t="n">
        <v>1177.7151</v>
      </c>
      <c r="F10" t="inlineStr">
        <is>
          <t>USD</t>
        </is>
      </c>
      <c r="G10" t="inlineStr">
        <is>
          <t>buy</t>
        </is>
      </c>
    </row>
    <row r="11">
      <c r="A11" t="inlineStr">
        <is>
          <t>31-Mar-2025 (FY2025-26 open)</t>
        </is>
      </c>
      <c r="B11" t="inlineStr">
        <is>
          <t>GD</t>
        </is>
      </c>
      <c r="C11" t="n">
        <v>2</v>
      </c>
      <c r="D11" s="2" t="n">
        <v>45678</v>
      </c>
      <c r="E11" t="n">
        <v>546.4301</v>
      </c>
      <c r="F11" t="inlineStr">
        <is>
          <t>USD</t>
        </is>
      </c>
      <c r="G11" t="inlineStr">
        <is>
          <t>buy</t>
        </is>
      </c>
    </row>
    <row r="12">
      <c r="A12" t="inlineStr">
        <is>
          <t>31-Mar-2025 (FY2025-26 open)</t>
        </is>
      </c>
      <c r="B12" t="inlineStr">
        <is>
          <t>GE</t>
        </is>
      </c>
      <c r="C12" t="n">
        <v>6</v>
      </c>
      <c r="D12" s="2" t="n">
        <v>45678</v>
      </c>
      <c r="E12" t="n">
        <v>1115.4373</v>
      </c>
      <c r="F12" t="inlineStr">
        <is>
          <t>USD</t>
        </is>
      </c>
      <c r="G12" t="inlineStr">
        <is>
          <t>buy</t>
        </is>
      </c>
    </row>
    <row r="13">
      <c r="A13" t="inlineStr">
        <is>
          <t>31-Mar-2025 (FY2025-26 open)</t>
        </is>
      </c>
      <c r="B13" t="inlineStr">
        <is>
          <t>LLY</t>
        </is>
      </c>
      <c r="C13" t="n">
        <v>1.72</v>
      </c>
      <c r="D13" s="2" t="n">
        <v>45678</v>
      </c>
      <c r="E13" t="n">
        <v>1258.1653</v>
      </c>
      <c r="F13" t="inlineStr">
        <is>
          <t>USD</t>
        </is>
      </c>
      <c r="G13" t="inlineStr">
        <is>
          <t>buy</t>
        </is>
      </c>
    </row>
    <row r="14">
      <c r="A14" t="inlineStr">
        <is>
          <t>31-Mar-2025 (FY2025-26 open)</t>
        </is>
      </c>
      <c r="B14" t="inlineStr">
        <is>
          <t>MCHI</t>
        </is>
      </c>
      <c r="C14" t="n">
        <v>12</v>
      </c>
      <c r="D14" s="2" t="n">
        <v>45678</v>
      </c>
      <c r="E14" t="n">
        <v>556.3546</v>
      </c>
      <c r="F14" t="inlineStr">
        <is>
          <t>USD</t>
        </is>
      </c>
      <c r="G14" t="inlineStr">
        <is>
          <t>buy</t>
        </is>
      </c>
    </row>
    <row r="15">
      <c r="A15" t="inlineStr">
        <is>
          <t>31-Mar-2025 (FY2025-26 open)</t>
        </is>
      </c>
      <c r="B15" t="inlineStr">
        <is>
          <t>MSFT</t>
        </is>
      </c>
      <c r="C15" t="n">
        <v>3</v>
      </c>
      <c r="D15" s="2" t="n">
        <v>45678</v>
      </c>
      <c r="E15" t="n">
        <v>1282.6896</v>
      </c>
      <c r="F15" t="inlineStr">
        <is>
          <t>USD</t>
        </is>
      </c>
      <c r="G15" t="inlineStr">
        <is>
          <t>buy</t>
        </is>
      </c>
    </row>
    <row r="16">
      <c r="A16" t="inlineStr">
        <is>
          <t>31-Mar-2025 (FY2025-26 open)</t>
        </is>
      </c>
      <c r="B16" t="inlineStr">
        <is>
          <t>NFLX</t>
        </is>
      </c>
      <c r="C16" t="n">
        <v>1.11</v>
      </c>
      <c r="D16" s="2" t="n">
        <v>45678</v>
      </c>
      <c r="E16" t="n">
        <v>960.972</v>
      </c>
      <c r="F16" t="inlineStr">
        <is>
          <t>USD</t>
        </is>
      </c>
      <c r="G16" t="inlineStr">
        <is>
          <t>buy</t>
        </is>
      </c>
    </row>
    <row r="17">
      <c r="A17" t="inlineStr">
        <is>
          <t>31-Mar-2025 (FY2025-26 open)</t>
        </is>
      </c>
      <c r="B17" t="inlineStr">
        <is>
          <t>R6C0d</t>
        </is>
      </c>
      <c r="C17" t="n">
        <v>19</v>
      </c>
      <c r="D17" s="2" t="n">
        <v>45678</v>
      </c>
      <c r="E17" t="n">
        <v>613.47</v>
      </c>
      <c r="F17" t="inlineStr">
        <is>
          <t>EUR</t>
        </is>
      </c>
      <c r="G17" t="inlineStr">
        <is>
          <t>buy</t>
        </is>
      </c>
    </row>
    <row r="18">
      <c r="A18" t="inlineStr">
        <is>
          <t>31-Mar-2025 (FY2025-26 open)</t>
        </is>
      </c>
      <c r="B18" t="inlineStr">
        <is>
          <t>RTX</t>
        </is>
      </c>
      <c r="C18" t="n">
        <v>5</v>
      </c>
      <c r="D18" s="2" t="n">
        <v>45678</v>
      </c>
      <c r="E18" t="n">
        <v>621.3252</v>
      </c>
      <c r="F18" t="inlineStr">
        <is>
          <t>USD</t>
        </is>
      </c>
      <c r="G18" t="inlineStr">
        <is>
          <t>buy</t>
        </is>
      </c>
    </row>
    <row r="19">
      <c r="A19" t="inlineStr">
        <is>
          <t>31-Mar-2025 (FY2025-26 open)</t>
        </is>
      </c>
      <c r="B19" t="inlineStr">
        <is>
          <t>SIEd</t>
        </is>
      </c>
      <c r="C19" t="n">
        <v>3</v>
      </c>
      <c r="D19" s="2" t="n">
        <v>45678</v>
      </c>
      <c r="E19" t="n">
        <v>614.1</v>
      </c>
      <c r="F19" t="inlineStr">
        <is>
          <t>EUR</t>
        </is>
      </c>
      <c r="G19" t="inlineStr">
        <is>
          <t>buy</t>
        </is>
      </c>
    </row>
    <row r="20">
      <c r="A20" t="inlineStr">
        <is>
          <t>31-Mar-2025 (FY2025-26 open)</t>
        </is>
      </c>
      <c r="B20" t="inlineStr">
        <is>
          <t>SLV</t>
        </is>
      </c>
      <c r="C20" t="n">
        <v>45</v>
      </c>
      <c r="D20" s="2" t="n">
        <v>45678</v>
      </c>
      <c r="E20" t="n">
        <v>1257.1771</v>
      </c>
      <c r="F20" t="inlineStr">
        <is>
          <t>USD</t>
        </is>
      </c>
      <c r="G20" t="inlineStr">
        <is>
          <t>buy</t>
        </is>
      </c>
    </row>
    <row r="21">
      <c r="A21" t="inlineStr">
        <is>
          <t>31-Mar-2025 (FY2025-26 open)</t>
        </is>
      </c>
      <c r="B21" t="inlineStr">
        <is>
          <t>TGT</t>
        </is>
      </c>
      <c r="C21" t="n">
        <v>9</v>
      </c>
      <c r="D21" s="2" t="n">
        <v>45678</v>
      </c>
      <c r="E21" t="n">
        <v>1222.5704</v>
      </c>
      <c r="F21" t="inlineStr">
        <is>
          <t>USD</t>
        </is>
      </c>
      <c r="G21" t="inlineStr">
        <is>
          <t>buy</t>
        </is>
      </c>
    </row>
    <row r="22">
      <c r="A22" t="inlineStr">
        <is>
          <t>31-Mar-2025 (FY2025-26 open)</t>
        </is>
      </c>
      <c r="B22" t="inlineStr">
        <is>
          <t>TIP</t>
        </is>
      </c>
      <c r="C22" t="n">
        <v>12</v>
      </c>
      <c r="D22" s="2" t="n">
        <v>45678</v>
      </c>
      <c r="E22" t="n">
        <v>1288.4746</v>
      </c>
      <c r="F22" t="inlineStr">
        <is>
          <t>USD</t>
        </is>
      </c>
      <c r="G22" t="inlineStr">
        <is>
          <t>buy</t>
        </is>
      </c>
    </row>
    <row r="23">
      <c r="A23" t="inlineStr">
        <is>
          <t>31-Mar-2025 (FY2025-26 open)</t>
        </is>
      </c>
      <c r="B23" t="inlineStr">
        <is>
          <t>TSM</t>
        </is>
      </c>
      <c r="C23" t="n">
        <v>3</v>
      </c>
      <c r="D23" s="2" t="n">
        <v>45678</v>
      </c>
      <c r="E23" t="n">
        <v>641.4401</v>
      </c>
      <c r="F23" t="inlineStr">
        <is>
          <t>USD</t>
        </is>
      </c>
      <c r="G23" t="inlineStr">
        <is>
          <t>buy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23" customWidth="1" min="4" max="4"/>
    <col width="19" customWidth="1" min="5" max="5"/>
    <col width="10" customWidth="1" min="6" max="6"/>
  </cols>
  <sheetData>
    <row r="1">
      <c r="A1" s="1" t="inlineStr">
        <is>
          <t>Symbol</t>
        </is>
      </c>
      <c r="B1" s="1" t="inlineStr">
        <is>
          <t>STCG INR</t>
        </is>
      </c>
      <c r="C1" s="1" t="inlineStr">
        <is>
          <t>LTCG INR</t>
        </is>
      </c>
      <c r="D1" s="1" t="inlineStr">
        <is>
          <t>Total Gain/(Loss) INR</t>
        </is>
      </c>
      <c r="E1" s="1" t="inlineStr">
        <is>
          <t>Sale Proceeds USD</t>
        </is>
      </c>
      <c r="F1" s="1" t="inlineStr">
        <is>
          <t>Cost USD</t>
        </is>
      </c>
    </row>
    <row r="3">
      <c r="A3" t="inlineStr">
        <is>
          <t>Note</t>
        </is>
      </c>
      <c r="B3" t="inlineStr">
        <is>
          <t>Detail P&amp;L with editable FX is on 'Capital Gains FY2025-26' (formula-driven). This summary is a static cross-check.</t>
        </is>
      </c>
    </row>
    <row r="5">
      <c r="A5" t="inlineStr">
        <is>
          <t>— FY 2026-27 YTD (to 07-Sep-2026) —</t>
        </is>
      </c>
    </row>
    <row r="6">
      <c r="A6" t="inlineStr">
        <is>
          <t>Symbol</t>
        </is>
      </c>
      <c r="B6" t="inlineStr">
        <is>
          <t>STCG INR</t>
        </is>
      </c>
      <c r="C6" t="inlineStr">
        <is>
          <t>LTCG INR</t>
        </is>
      </c>
      <c r="D6" t="inlineStr">
        <is>
          <t>Total Gain/(Loss) INR</t>
        </is>
      </c>
      <c r="E6" t="inlineStr">
        <is>
          <t>Sale Proceeds USD</t>
        </is>
      </c>
      <c r="F6" t="inlineStr">
        <is>
          <t>Cost USD</t>
        </is>
      </c>
    </row>
    <row r="7">
      <c r="A7" t="inlineStr">
        <is>
          <t>3110</t>
        </is>
      </c>
      <c r="B7" t="n">
        <v>19349</v>
      </c>
      <c r="C7" t="n">
        <v>0</v>
      </c>
      <c r="D7" t="n">
        <v>19349</v>
      </c>
      <c r="E7" t="n">
        <v>1224.25</v>
      </c>
      <c r="F7" t="n">
        <v>1121.75</v>
      </c>
    </row>
    <row r="8">
      <c r="A8" t="inlineStr">
        <is>
          <t>3188</t>
        </is>
      </c>
      <c r="B8" t="n">
        <v>41114</v>
      </c>
      <c r="C8" t="n">
        <v>0</v>
      </c>
      <c r="D8" t="n">
        <v>41114</v>
      </c>
      <c r="E8" t="n">
        <v>1400.54</v>
      </c>
      <c r="F8" t="n">
        <v>1063.16</v>
      </c>
    </row>
    <row r="9">
      <c r="A9" t="inlineStr">
        <is>
          <t>3416</t>
        </is>
      </c>
      <c r="B9" t="n">
        <v>-14319</v>
      </c>
      <c r="C9" t="n">
        <v>0</v>
      </c>
      <c r="D9" t="n">
        <v>-14319</v>
      </c>
      <c r="E9" t="n">
        <v>1090.88</v>
      </c>
      <c r="F9" t="n">
        <v>1368.2</v>
      </c>
    </row>
    <row r="10">
      <c r="A10" t="inlineStr">
        <is>
          <t>4568.T</t>
        </is>
      </c>
      <c r="B10" t="n">
        <v>-43250</v>
      </c>
      <c r="C10" t="n">
        <v>0</v>
      </c>
      <c r="D10" t="n">
        <v>-43250</v>
      </c>
      <c r="E10" t="n">
        <v>1838.54</v>
      </c>
      <c r="F10" t="n">
        <v>2258.09</v>
      </c>
    </row>
    <row r="11">
      <c r="A11" t="inlineStr">
        <is>
          <t>AEP</t>
        </is>
      </c>
      <c r="B11" t="n">
        <v>8076</v>
      </c>
      <c r="C11" t="n">
        <v>0</v>
      </c>
      <c r="D11" t="n">
        <v>8076</v>
      </c>
      <c r="E11" t="n">
        <v>731.88</v>
      </c>
      <c r="F11" t="n">
        <v>691.42</v>
      </c>
    </row>
    <row r="12">
      <c r="A12" t="inlineStr">
        <is>
          <t>AMZN</t>
        </is>
      </c>
      <c r="B12" t="n">
        <v>1847</v>
      </c>
      <c r="C12" t="n">
        <v>0</v>
      </c>
      <c r="D12" t="n">
        <v>1847</v>
      </c>
      <c r="E12" t="n">
        <v>123.44</v>
      </c>
      <c r="F12" t="n">
        <v>114.28</v>
      </c>
    </row>
    <row r="13">
      <c r="A13" t="inlineStr">
        <is>
          <t>AXP</t>
        </is>
      </c>
      <c r="B13" t="n">
        <v>26491</v>
      </c>
      <c r="C13" t="n">
        <v>0</v>
      </c>
      <c r="D13" t="n">
        <v>26491</v>
      </c>
      <c r="E13" t="n">
        <v>1352.64</v>
      </c>
      <c r="F13" t="n">
        <v>1206.04</v>
      </c>
    </row>
    <row r="14">
      <c r="A14" t="inlineStr">
        <is>
          <t>BLBD</t>
        </is>
      </c>
      <c r="B14" t="n">
        <v>33127</v>
      </c>
      <c r="C14" t="n">
        <v>0</v>
      </c>
      <c r="D14" t="n">
        <v>33127</v>
      </c>
      <c r="E14" t="n">
        <v>897.6</v>
      </c>
      <c r="F14" t="n">
        <v>613</v>
      </c>
    </row>
    <row r="15">
      <c r="A15" t="inlineStr">
        <is>
          <t>BNO</t>
        </is>
      </c>
      <c r="B15" t="n">
        <v>12342</v>
      </c>
      <c r="C15" t="n">
        <v>0</v>
      </c>
      <c r="D15" t="n">
        <v>12342</v>
      </c>
      <c r="E15" t="n">
        <v>2136.4</v>
      </c>
      <c r="F15" t="n">
        <v>2079</v>
      </c>
    </row>
    <row r="16">
      <c r="A16" t="inlineStr">
        <is>
          <t>BX</t>
        </is>
      </c>
      <c r="B16" t="n">
        <v>4250</v>
      </c>
      <c r="C16" t="n">
        <v>0</v>
      </c>
      <c r="D16" t="n">
        <v>4250</v>
      </c>
      <c r="E16" t="n">
        <v>1721.16</v>
      </c>
      <c r="F16" t="n">
        <v>1882.62</v>
      </c>
    </row>
    <row r="17">
      <c r="A17" t="inlineStr">
        <is>
          <t>GD</t>
        </is>
      </c>
      <c r="B17" t="n">
        <v>26461</v>
      </c>
      <c r="C17" t="n">
        <v>0</v>
      </c>
      <c r="D17" t="n">
        <v>26461</v>
      </c>
      <c r="E17" t="n">
        <v>768</v>
      </c>
      <c r="F17" t="n">
        <v>546.4299999999999</v>
      </c>
    </row>
    <row r="18">
      <c r="A18" t="inlineStr">
        <is>
          <t>LLY</t>
        </is>
      </c>
      <c r="B18" t="n">
        <v>34201</v>
      </c>
      <c r="C18" t="n">
        <v>0</v>
      </c>
      <c r="D18" t="n">
        <v>34201</v>
      </c>
      <c r="E18" t="n">
        <v>837.42</v>
      </c>
      <c r="F18" t="n">
        <v>527.26</v>
      </c>
    </row>
    <row r="19">
      <c r="A19" t="inlineStr">
        <is>
          <t>MCHI</t>
        </is>
      </c>
      <c r="B19" t="n">
        <v>15140</v>
      </c>
      <c r="C19" t="n">
        <v>0</v>
      </c>
      <c r="D19" t="n">
        <v>15140</v>
      </c>
      <c r="E19" t="n">
        <v>657.96</v>
      </c>
      <c r="F19" t="n">
        <v>556.35</v>
      </c>
    </row>
    <row r="20">
      <c r="A20" t="inlineStr">
        <is>
          <t>NFLX</t>
        </is>
      </c>
      <c r="B20" t="n">
        <v>-6103</v>
      </c>
      <c r="C20" t="n">
        <v>0</v>
      </c>
      <c r="D20" t="n">
        <v>-6103</v>
      </c>
      <c r="E20" t="n">
        <v>1590.2</v>
      </c>
      <c r="F20" t="n">
        <v>1811.82</v>
      </c>
    </row>
    <row r="21">
      <c r="A21" t="inlineStr">
        <is>
          <t>RTX</t>
        </is>
      </c>
      <c r="B21" t="n">
        <v>47097</v>
      </c>
      <c r="C21" t="n">
        <v>0</v>
      </c>
      <c r="D21" t="n">
        <v>47097</v>
      </c>
      <c r="E21" t="n">
        <v>1051.8</v>
      </c>
      <c r="F21" t="n">
        <v>621.33</v>
      </c>
    </row>
    <row r="22">
      <c r="A22" t="inlineStr">
        <is>
          <t>TGT</t>
        </is>
      </c>
      <c r="B22" t="n">
        <v>121531</v>
      </c>
      <c r="C22" t="n">
        <v>0</v>
      </c>
      <c r="D22" t="n">
        <v>121531</v>
      </c>
      <c r="E22" t="n">
        <v>3322</v>
      </c>
      <c r="F22" t="n">
        <v>2248</v>
      </c>
    </row>
    <row r="23">
      <c r="A23" t="inlineStr">
        <is>
          <t>TIP</t>
        </is>
      </c>
      <c r="B23" t="n">
        <v>12863</v>
      </c>
      <c r="C23" t="n">
        <v>0</v>
      </c>
      <c r="D23" t="n">
        <v>12863</v>
      </c>
      <c r="E23" t="n">
        <v>1289.28</v>
      </c>
      <c r="F23" t="n">
        <v>1288.47</v>
      </c>
    </row>
    <row r="24">
      <c r="A24" t="inlineStr">
        <is>
          <t>URA</t>
        </is>
      </c>
      <c r="B24" t="n">
        <v>1854</v>
      </c>
      <c r="C24" t="n">
        <v>0</v>
      </c>
      <c r="D24" t="n">
        <v>1854</v>
      </c>
      <c r="E24" t="n">
        <v>1398.3</v>
      </c>
      <c r="F24" t="n">
        <v>1474.6</v>
      </c>
    </row>
    <row r="25">
      <c r="A25" t="inlineStr">
        <is>
          <t>V</t>
        </is>
      </c>
      <c r="B25" t="n">
        <v>15621</v>
      </c>
      <c r="C25" t="n">
        <v>0</v>
      </c>
      <c r="D25" t="n">
        <v>15621</v>
      </c>
      <c r="E25" t="n">
        <v>1141.5</v>
      </c>
      <c r="F25" t="n">
        <v>1045</v>
      </c>
    </row>
    <row r="26">
      <c r="A26" t="inlineStr">
        <is>
          <t>ZEALc</t>
        </is>
      </c>
      <c r="B26" t="n">
        <v>-18133</v>
      </c>
      <c r="C26" t="n">
        <v>0</v>
      </c>
      <c r="D26" t="n">
        <v>-18133</v>
      </c>
      <c r="E26" t="n">
        <v>306.09</v>
      </c>
      <c r="F26" t="n">
        <v>479.01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</cols>
  <sheetData>
    <row r="1">
      <c r="A1" t="inlineStr">
        <is>
          <t>Preparation notes — Schedule FA / CG / Dividends for Vinodkrishna Poyyale</t>
        </is>
      </c>
    </row>
    <row r="2">
      <c r="A2" t="inlineStr">
        <is>
          <t>Assessee</t>
        </is>
      </c>
      <c r="B2" t="inlineStr">
        <is>
          <t>Vinodkrishna Poyyale — IBKR U15388294 — Advisor: MATCAP WEALTH ADVISORS PRIVATE LIMITED</t>
        </is>
      </c>
    </row>
    <row r="3">
      <c r="A3" t="inlineStr">
        <is>
          <t>Account opening</t>
        </is>
      </c>
      <c r="B3" t="inlineStr">
        <is>
          <t>First funding via CHF Electronic Fund Transfer on 27-Aug-2024; statement period from 10-Sep-2024. First equity purchases on 21-Jan-2025.</t>
        </is>
      </c>
    </row>
    <row r="4">
      <c r="A4" t="inlineStr">
        <is>
          <t>Annual CY2025 statement</t>
        </is>
      </c>
      <c r="B4" t="inlineStr">
        <is>
          <t>Not furnished. CY2025 synthesized from FY statements. YE2025 closing prices proxied from 31-Mar-2025 marks (if still held) else cost — prefer IBKR Annual / PortfolioAnalyst for filing-quality peak &amp; YE values.</t>
        </is>
      </c>
    </row>
    <row r="5">
      <c r="A5" t="inlineStr">
        <is>
          <t>FY 2026-27 (partial)</t>
        </is>
      </c>
      <c r="B5" t="inlineStr">
        <is>
          <t>Sheets 'Capital Gains FY2026-27' and 'Schedule OS - FY2026-27' cover 01-Apr-2026 to 07-Sep-2026 (statement end). Full-year FY2026-27 requires Activity Statement through 31-Mar-2027.</t>
        </is>
      </c>
    </row>
    <row r="6">
      <c r="A6" t="inlineStr">
        <is>
          <t>Capital gains</t>
        </is>
      </c>
      <c r="B6" t="inlineStr">
        <is>
          <t>Nil realized stock disposals in FY2024-25 and FY2025-26 (buys / holdings only). FY2026-27 YTD: multiple equity/ETF disposals (see Capital Gains FY2026-27).</t>
        </is>
      </c>
    </row>
    <row r="7">
      <c r="A7" t="inlineStr">
        <is>
          <t>NFLX split</t>
        </is>
      </c>
      <c r="B7" t="inlineStr">
        <is>
          <t>10-for-1 split on 14/17-Nov-2025 applied in FIFO</t>
        </is>
      </c>
    </row>
    <row r="8">
      <c r="A8" t="inlineStr">
        <is>
          <t>Aliases</t>
        </is>
      </c>
      <c r="B8" t="inlineStr">
        <is>
          <t>AIR↔AIRd, SIE↔SIEd, SHELL↔R6C0d, ZEAL↔ZEALc normalized for FIFO</t>
        </is>
      </c>
    </row>
    <row r="9">
      <c r="A9" t="inlineStr">
        <is>
          <t>Multi-ccy</t>
        </is>
      </c>
      <c r="B9" t="inlineStr">
        <is>
          <t>EUR / JPY / HKD / DKK / CHF converted via IBKR YE FX then Rule 115 USD/INR (editable on CG)</t>
        </is>
      </c>
    </row>
    <row r="10">
      <c r="A10" t="inlineStr">
        <is>
          <t>Assessee</t>
        </is>
      </c>
      <c r="B10" t="inlineStr">
        <is>
          <t>Vinodkrishna Poyyale</t>
        </is>
      </c>
    </row>
    <row r="11">
      <c r="A11" t="inlineStr">
        <is>
          <t>Account</t>
        </is>
      </c>
      <c r="B11" t="inlineStr">
        <is>
          <t>U15388294 — Interactive Brokers LLC (Advisor Client; Advisor: MATCAP WEALTH ADVISORS PRIVATE LIMITED)</t>
        </is>
      </c>
    </row>
    <row r="12">
      <c r="A12" t="inlineStr">
        <is>
          <t>Customer type</t>
        </is>
      </c>
      <c r="B12" t="inlineStr">
        <is>
          <t>Individual</t>
        </is>
      </c>
    </row>
    <row r="13">
      <c r="A13" t="inlineStr">
        <is>
          <t>Base currency</t>
        </is>
      </c>
      <c r="B13" t="inlineStr">
        <is>
          <t>USD</t>
        </is>
      </c>
    </row>
    <row r="14">
      <c r="A14" t="inlineStr">
        <is>
          <t>Account funded</t>
        </is>
      </c>
      <c r="B14" t="inlineStr">
        <is>
          <t>First deposit 2024-08-27 (inception statement)</t>
        </is>
      </c>
    </row>
    <row r="15">
      <c r="A15" t="inlineStr">
        <is>
          <t>Schedule FA period</t>
        </is>
      </c>
      <c r="B15" t="inlineStr">
        <is>
          <t>Calendar Year 2025 (01-Jan-2025 to 31-Dec-2025) — for ITR AY 2026-27</t>
        </is>
      </c>
    </row>
    <row r="16">
      <c r="A16" t="inlineStr">
        <is>
          <t>Income / CG period</t>
        </is>
      </c>
      <c r="B16" t="inlineStr">
        <is>
          <t>FY 2025-26 (01-Apr-2025 to 31-Mar-2026); also FY 2024-25 sheet for prior year</t>
        </is>
      </c>
    </row>
    <row r="17">
      <c r="A17" t="inlineStr">
        <is>
          <t>Source data</t>
        </is>
      </c>
      <c r="B17" t="inlineStr">
        <is>
          <t>IBKR Activity Statements: Inception FY2024-25 + Annual CY2025 + Fiscal FY2025-26</t>
        </is>
      </c>
    </row>
    <row r="18">
      <c r="A18" t="inlineStr">
        <is>
          <t>FIFO method</t>
        </is>
      </c>
      <c r="B18" t="inlineStr">
        <is>
          <t>Actual buy dates &amp; IBKR Basis from inception replay; splits (LRCX 10:1, NFLX 10:1) applied</t>
        </is>
      </c>
    </row>
    <row r="19">
      <c r="A19" t="inlineStr">
        <is>
          <t>CG reconciliation</t>
        </is>
      </c>
      <c r="B19" t="inlineStr">
        <is>
          <t>Sheets 'Capital Gains FY2025-26' / 'FY2024-25' are formula-driven — yellow cells editable; Gain = Sale INR − Comm INR − Cost INR</t>
        </is>
      </c>
    </row>
    <row r="20">
      <c r="A20" t="inlineStr">
        <is>
          <t>FX Lookup</t>
        </is>
      </c>
      <c r="B20" t="inlineStr">
        <is>
          <t>Editable SBI TT USD/INR &amp; EUR/INR month-end rates + FCY→USD cross rates</t>
        </is>
      </c>
    </row>
    <row r="21">
      <c r="A21" t="inlineStr">
        <is>
          <t>Starting NAV CY2025</t>
        </is>
      </c>
      <c r="B21" t="inlineStr">
        <is>
          <t>USD 0.00</t>
        </is>
      </c>
    </row>
    <row r="22">
      <c r="A22" t="inlineStr">
        <is>
          <t>Ending NAV CY2025</t>
        </is>
      </c>
      <c r="B22" t="inlineStr">
        <is>
          <t>USD 52,108.61</t>
        </is>
      </c>
    </row>
    <row r="23">
      <c r="A23" t="inlineStr">
        <is>
          <t>Deposits CY2025</t>
        </is>
      </c>
      <c r="B23" t="inlineStr">
        <is>
          <t>USD 39,418.37</t>
        </is>
      </c>
    </row>
    <row r="24">
      <c r="A24" t="inlineStr">
        <is>
          <t>Deposits since inception (to 31-Mar-2025)</t>
        </is>
      </c>
      <c r="B24" t="inlineStr">
        <is>
          <t>USD 32,601.55</t>
        </is>
      </c>
    </row>
    <row r="25">
      <c r="A25" t="inlineStr">
        <is>
          <t>Dividends CY2025</t>
        </is>
      </c>
      <c r="B25" t="inlineStr">
        <is>
          <t>USD 526.33 / INR 45,926 (Rule 115)</t>
        </is>
      </c>
    </row>
    <row r="26">
      <c r="A26" t="inlineStr">
        <is>
          <t>Interest CY2025</t>
        </is>
      </c>
      <c r="B26" t="inlineStr">
        <is>
          <t>USD -0.09 / INR -8 (Rule 115)</t>
        </is>
      </c>
    </row>
    <row r="27">
      <c r="A27" t="inlineStr">
        <is>
          <t>Dividends FY2025-26</t>
        </is>
      </c>
      <c r="B27" t="inlineStr">
        <is>
          <t>USD 728.46 / INR 64,392</t>
        </is>
      </c>
    </row>
    <row r="28">
      <c r="A28" t="inlineStr">
        <is>
          <t>Interest FY2025-26</t>
        </is>
      </c>
      <c r="B28" t="inlineStr">
        <is>
          <t>USD -0.13 / INR -12</t>
        </is>
      </c>
    </row>
    <row r="29">
      <c r="A29" t="inlineStr">
        <is>
          <t>STCG FY2025-26 (INR)</t>
        </is>
      </c>
      <c r="B29" t="inlineStr">
        <is>
          <t>0</t>
        </is>
      </c>
    </row>
    <row r="30">
      <c r="A30" t="inlineStr">
        <is>
          <t>LTCG FY2025-26 (INR)</t>
        </is>
      </c>
      <c r="B30" t="inlineStr">
        <is>
          <t>0</t>
        </is>
      </c>
    </row>
    <row r="31">
      <c r="A31" t="inlineStr">
        <is>
          <t>STCG FY2024-25 (INR)</t>
        </is>
      </c>
      <c r="B31" t="inlineStr">
        <is>
          <t>0</t>
        </is>
      </c>
    </row>
    <row r="32">
      <c r="A32" t="inlineStr">
        <is>
          <t>LTCG FY2024-25 (INR)</t>
        </is>
      </c>
      <c r="B32" t="inlineStr">
        <is>
          <t>0</t>
        </is>
      </c>
    </row>
    <row r="33">
      <c r="A33" t="inlineStr">
        <is>
          <t>A1 Foreign Bank/Depository</t>
        </is>
      </c>
      <c r="B33" t="inlineStr">
        <is>
          <t>Generally N/A separately — multi-currency cash sits inside IBKR custodial account (A2)</t>
        </is>
      </c>
    </row>
    <row r="34">
      <c r="A34" t="inlineStr">
        <is>
          <t>A2 Custodial Account</t>
        </is>
      </c>
      <c r="B34" t="inlineStr">
        <is>
          <t>Applicable — see sheet; opening: 2024-08-27 (first CHF EFT funding)</t>
        </is>
      </c>
    </row>
    <row r="35">
      <c r="A35" t="inlineStr">
        <is>
          <t>A3 Equity &amp; Debt Interest</t>
        </is>
      </c>
      <c r="B35" t="inlineStr">
        <is>
          <t>Applicable — 37 FIFO lot lines (one row per acquisition lot; sold lots match Capital Gains)</t>
        </is>
      </c>
    </row>
    <row r="36">
      <c r="A36" t="inlineStr">
        <is>
          <t>A3 Col C (Name of entity)</t>
        </is>
      </c>
      <c r="B36" t="inlineStr">
        <is>
          <t>Symbol only (e.g. NOVd, AAPL). Legal name / address remain in Address &amp; Nature columns.</t>
        </is>
      </c>
    </row>
    <row r="37">
      <c r="A37" t="inlineStr">
        <is>
          <t>A3 vs CG</t>
        </is>
      </c>
      <c r="B37" t="inlineStr">
        <is>
          <t>Sold lots: A3 Initial = CG Cost (INR), A3 Sale = CG Sale (INR), same Rule 115/EUR FX. Multiple buys (e.g. NOVd 21-Mar &amp; 21-Aug) appear as separate A3 rows.</t>
        </is>
      </c>
    </row>
    <row r="38">
      <c r="A38" t="inlineStr">
        <is>
          <t>ADR country practice</t>
        </is>
      </c>
      <c r="B38" t="inlineStr">
        <is>
          <t>Underlying issuer country used for ADRs/GDRs (ASML NL, BTI UK, TSM TW, BYDDY CN, HYU KR, RIO UK)</t>
        </is>
      </c>
    </row>
    <row r="39">
      <c r="A39" t="inlineStr">
        <is>
          <t>CPNG</t>
        </is>
      </c>
      <c r="B39" t="inlineStr">
        <is>
          <t>USA (Delaware corporation, NYSE) despite Korea operations</t>
        </is>
      </c>
    </row>
    <row r="40">
      <c r="A40" t="inlineStr">
        <is>
          <t>NFLX split</t>
        </is>
      </c>
      <c r="B40" t="inlineStr">
        <is>
          <t>10-for-1 split on 14/17-Nov-2025 reflected in FIFO</t>
        </is>
      </c>
    </row>
    <row r="41">
      <c r="A41" t="inlineStr">
        <is>
          <t>LRCX split</t>
        </is>
      </c>
      <c r="B41" t="inlineStr">
        <is>
          <t>10-for-1 split on 02/03-Oct-2024 reflected in FIFO (bought 1 pre-split → 10)</t>
        </is>
      </c>
    </row>
    <row r="42">
      <c r="A42" t="inlineStr">
        <is>
          <t>HYU</t>
        </is>
      </c>
      <c r="B42" t="inlineStr">
        <is>
          <t>Cash merger acquisition Jul-2025 — sale proceeds USD 1,339.02 reported as redemption proceeds</t>
        </is>
      </c>
    </row>
    <row r="43">
      <c r="A43" t="inlineStr">
        <is>
          <t>Action required</t>
        </is>
      </c>
      <c r="B43" t="inlineStr">
        <is>
          <t>1) Confirm exact SBI TT Buy card rates; 2) Obtain PortfolioAnalyst for true peak NAV; 3) Map withholding to Schedule FSI/TR under DTAA.</t>
        </is>
      </c>
    </row>
    <row r="45">
      <c r="A45" t="inlineStr">
        <is>
          <t>FY 2026-27 YTD (01-Apr-2026 to 07-Sep-2026) — partial statement</t>
        </is>
      </c>
    </row>
    <row r="46">
      <c r="A46" t="inlineStr">
        <is>
          <t>Dividends FY2026-27 YTD</t>
        </is>
      </c>
      <c r="B46" t="inlineStr">
        <is>
          <t>USD 384.55 / INR 36,297</t>
        </is>
      </c>
    </row>
    <row r="47">
      <c r="A47" t="inlineStr">
        <is>
          <t>Interest FY2026-27 YTD</t>
        </is>
      </c>
      <c r="B47" t="inlineStr">
        <is>
          <t>USD 2.13 / INR 202</t>
        </is>
      </c>
    </row>
    <row r="48">
      <c r="A48" t="inlineStr">
        <is>
          <t>STCG FY2026-27 YTD (INR)</t>
        </is>
      </c>
      <c r="B48" t="inlineStr">
        <is>
          <t>339,559</t>
        </is>
      </c>
    </row>
    <row r="49">
      <c r="A49" t="inlineStr">
        <is>
          <t>LTCG FY2026-27 YTD (INR)</t>
        </is>
      </c>
      <c r="B49" t="inlineStr">
        <is>
          <t>0</t>
        </is>
      </c>
    </row>
    <row r="50">
      <c r="A50" t="inlineStr">
        <is>
          <t>FY2026-27 coverage</t>
        </is>
      </c>
      <c r="B50" t="inlineStr">
        <is>
          <t>Activity Statement ends 07-Sep-2026 — not full FY. Obtain statement to 31-Mar-2027 for complete year.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0" customWidth="1" min="3" max="3"/>
    <col width="18" customWidth="1" min="4" max="4"/>
    <col width="12" customWidth="1" min="5" max="5"/>
    <col width="14" customWidth="1" min="6" max="6"/>
    <col width="28" customWidth="1" min="7" max="7"/>
    <col width="21" customWidth="1" min="8" max="8"/>
    <col width="18" customWidth="1" min="9" max="9"/>
    <col width="12" customWidth="1" min="10" max="10"/>
    <col width="14" customWidth="1" min="11" max="11"/>
    <col width="21" customWidth="1" min="12" max="12"/>
    <col width="12" customWidth="1" min="13" max="13"/>
    <col width="14" customWidth="1" min="14" max="14"/>
    <col width="14" customWidth="1" min="15" max="15"/>
    <col width="19" customWidth="1" min="16" max="16"/>
    <col width="12" customWidth="1" min="17" max="17"/>
    <col width="12" customWidth="1" min="18" max="18"/>
    <col width="12" customWidth="1" min="19" max="19"/>
    <col width="30" customWidth="1" min="20" max="20"/>
    <col width="10" customWidth="1" min="21" max="21"/>
  </cols>
  <sheetData>
    <row r="1">
      <c r="A1" t="inlineStr">
        <is>
          <t>Capital gains — FY 2026-27 YTD (01-Apr-2026 to 07-Sep-2026). Partial year — statement ends 07-Sep-2026. FIFO. Yellow cells editable.</t>
        </is>
      </c>
    </row>
    <row r="2">
      <c r="A2" t="inlineStr">
        <is>
          <t>RECONCILIATION SHEET (formula-driven). Gain/(Loss) INR = Sale INR − Comm INR − Cost INR. Holding &gt;730 → LTCG.</t>
        </is>
      </c>
    </row>
    <row r="3">
      <c r="A3" t="inlineStr">
        <is>
          <t>F=E-D | G=IF(F&gt;730,"LTCG","STCG") | L=H*K | M=I*K | Q=L*N | R=J*P | S=M*O | T=Q-R-S</t>
        </is>
      </c>
    </row>
    <row r="4">
      <c r="A4" s="1" t="inlineStr">
        <is>
          <t>Symbol</t>
        </is>
      </c>
      <c r="B4" s="1" t="inlineStr">
        <is>
          <t>CCY</t>
        </is>
      </c>
      <c r="C4" s="1" t="inlineStr">
        <is>
          <t>Qty</t>
        </is>
      </c>
      <c r="D4" s="1" t="inlineStr">
        <is>
          <t>Acquisition Date</t>
        </is>
      </c>
      <c r="E4" s="1" t="inlineStr">
        <is>
          <t>Sale Date</t>
        </is>
      </c>
      <c r="F4" s="1" t="inlineStr">
        <is>
          <t>Holding Days</t>
        </is>
      </c>
      <c r="G4" s="1" t="inlineStr">
        <is>
          <t>Type</t>
        </is>
      </c>
      <c r="H4" s="1" t="inlineStr">
        <is>
          <t>Sale Proceeds (FCY)</t>
        </is>
      </c>
      <c r="I4" s="1" t="inlineStr">
        <is>
          <t>Cost Basis (FCY)</t>
        </is>
      </c>
      <c r="J4" s="1" t="inlineStr">
        <is>
          <t>Comm (USD)</t>
        </is>
      </c>
      <c r="K4" s="1" t="inlineStr">
        <is>
          <t>FCY→USD Rate</t>
        </is>
      </c>
      <c r="L4" s="1" t="inlineStr">
        <is>
          <t>Sale Proceeds (USD)</t>
        </is>
      </c>
      <c r="M4" s="1" t="inlineStr">
        <is>
          <t>Cost (USD)</t>
        </is>
      </c>
      <c r="N4" s="1" t="inlineStr">
        <is>
          <t>Sale FX Rate</t>
        </is>
      </c>
      <c r="O4" s="1" t="inlineStr">
        <is>
          <t>Cost FX Rate</t>
        </is>
      </c>
      <c r="P4" s="1" t="inlineStr">
        <is>
          <t>Comm USD/INR Rate</t>
        </is>
      </c>
      <c r="Q4" s="1" t="inlineStr">
        <is>
          <t>Sale (INR)</t>
        </is>
      </c>
      <c r="R4" s="1" t="inlineStr">
        <is>
          <t>Comm (INR)</t>
        </is>
      </c>
      <c r="S4" s="1" t="inlineStr">
        <is>
          <t>Cost (INR)</t>
        </is>
      </c>
      <c r="T4" s="1" t="inlineStr">
        <is>
          <t>Gain/(Loss) INR</t>
        </is>
      </c>
      <c r="U4" s="1" t="inlineStr">
        <is>
          <t>Notes</t>
        </is>
      </c>
    </row>
    <row r="5">
      <c r="A5" t="inlineStr">
        <is>
          <t>AMZN</t>
        </is>
      </c>
      <c r="B5" t="inlineStr">
        <is>
          <t>USD</t>
        </is>
      </c>
      <c r="C5" t="n">
        <v>0.5</v>
      </c>
      <c r="D5" s="2" t="n">
        <v>45678</v>
      </c>
      <c r="E5" s="2" t="n">
        <v>46181</v>
      </c>
      <c r="F5">
        <f>E5-D5</f>
        <v/>
      </c>
      <c r="G5">
        <f>IF(F5&gt;730,"LTCG","STCG")</f>
        <v/>
      </c>
      <c r="H5" s="3" t="n">
        <v>123.44</v>
      </c>
      <c r="I5" s="3" t="n">
        <v>114.28</v>
      </c>
      <c r="J5" s="3" t="n">
        <v>1</v>
      </c>
      <c r="K5" s="3" t="n">
        <v>1</v>
      </c>
      <c r="L5">
        <f>H5*K5</f>
        <v/>
      </c>
      <c r="M5">
        <f>I5*K5</f>
        <v/>
      </c>
      <c r="N5" s="3" t="n">
        <v>94.59999999999999</v>
      </c>
      <c r="O5" s="3" t="n">
        <v>85.2</v>
      </c>
      <c r="P5" s="3" t="n">
        <v>94.59999999999999</v>
      </c>
      <c r="Q5">
        <f>L5*N5</f>
        <v/>
      </c>
      <c r="R5">
        <f>J5*P5</f>
        <v/>
      </c>
      <c r="S5">
        <f>M5*O5</f>
        <v/>
      </c>
      <c r="T5">
        <f>Q5-R5-S5</f>
        <v/>
      </c>
      <c r="U5" t="inlineStr"/>
    </row>
    <row r="6">
      <c r="A6" t="inlineStr">
        <is>
          <t>LLY</t>
        </is>
      </c>
      <c r="B6" t="inlineStr">
        <is>
          <t>USD</t>
        </is>
      </c>
      <c r="C6" t="n">
        <v>0.72</v>
      </c>
      <c r="D6" s="2" t="n">
        <v>45678</v>
      </c>
      <c r="E6" s="2" t="n">
        <v>46181</v>
      </c>
      <c r="F6">
        <f>E6-D6</f>
        <v/>
      </c>
      <c r="G6">
        <f>IF(F6&gt;730,"LTCG","STCG")</f>
        <v/>
      </c>
      <c r="H6" s="3" t="n">
        <v>837.42</v>
      </c>
      <c r="I6" s="3" t="n">
        <v>527.26</v>
      </c>
      <c r="J6" s="3" t="n">
        <v>1.02</v>
      </c>
      <c r="K6" s="3" t="n">
        <v>1</v>
      </c>
      <c r="L6">
        <f>H6*K6</f>
        <v/>
      </c>
      <c r="M6">
        <f>I6*K6</f>
        <v/>
      </c>
      <c r="N6" s="3" t="n">
        <v>94.59999999999999</v>
      </c>
      <c r="O6" s="3" t="n">
        <v>85.2</v>
      </c>
      <c r="P6" s="3" t="n">
        <v>94.59999999999999</v>
      </c>
      <c r="Q6">
        <f>L6*N6</f>
        <v/>
      </c>
      <c r="R6">
        <f>J6*P6</f>
        <v/>
      </c>
      <c r="S6">
        <f>M6*O6</f>
        <v/>
      </c>
      <c r="T6">
        <f>Q6-R6-S6</f>
        <v/>
      </c>
      <c r="U6" t="inlineStr"/>
    </row>
    <row r="7">
      <c r="A7" t="inlineStr">
        <is>
          <t>BNO</t>
        </is>
      </c>
      <c r="B7" t="inlineStr">
        <is>
          <t>USD</t>
        </is>
      </c>
      <c r="C7" t="n">
        <v>40</v>
      </c>
      <c r="D7" s="2" t="n">
        <v>46101</v>
      </c>
      <c r="E7" s="2" t="n">
        <v>46226</v>
      </c>
      <c r="F7">
        <f>E7-D7</f>
        <v/>
      </c>
      <c r="G7">
        <f>IF(F7&gt;730,"LTCG","STCG")</f>
        <v/>
      </c>
      <c r="H7" s="3" t="n">
        <v>2136.4</v>
      </c>
      <c r="I7" s="3" t="n">
        <v>2079</v>
      </c>
      <c r="J7" s="3" t="n">
        <v>1.05</v>
      </c>
      <c r="K7" s="3" t="n">
        <v>1</v>
      </c>
      <c r="L7">
        <f>H7*K7</f>
        <v/>
      </c>
      <c r="M7">
        <f>I7*K7</f>
        <v/>
      </c>
      <c r="N7" s="3" t="n">
        <v>93.95</v>
      </c>
      <c r="O7" s="3" t="n">
        <v>90.56</v>
      </c>
      <c r="P7" s="3" t="n">
        <v>93.95</v>
      </c>
      <c r="Q7">
        <f>L7*N7</f>
        <v/>
      </c>
      <c r="R7">
        <f>J7*P7</f>
        <v/>
      </c>
      <c r="S7">
        <f>M7*O7</f>
        <v/>
      </c>
      <c r="T7">
        <f>Q7-R7-S7</f>
        <v/>
      </c>
      <c r="U7" t="inlineStr"/>
    </row>
    <row r="8">
      <c r="A8" t="inlineStr">
        <is>
          <t>ZEALc</t>
        </is>
      </c>
      <c r="B8" t="inlineStr">
        <is>
          <t>DKK</t>
        </is>
      </c>
      <c r="C8" t="n">
        <v>6</v>
      </c>
      <c r="D8" s="2" t="n">
        <v>46003</v>
      </c>
      <c r="E8" s="2" t="n">
        <v>46259</v>
      </c>
      <c r="F8">
        <f>E8-D8</f>
        <v/>
      </c>
      <c r="G8">
        <f>IF(F8&gt;730,"LTCG","STCG")</f>
        <v/>
      </c>
      <c r="H8" s="3" t="n">
        <v>1946.4</v>
      </c>
      <c r="I8" s="3" t="n">
        <v>3046</v>
      </c>
      <c r="J8" s="3" t="n">
        <v>49</v>
      </c>
      <c r="K8" s="3" t="n">
        <v>0.15726</v>
      </c>
      <c r="L8">
        <f>H8*K8</f>
        <v/>
      </c>
      <c r="M8">
        <f>I8*K8</f>
        <v/>
      </c>
      <c r="N8" s="3" t="n">
        <v>95.2</v>
      </c>
      <c r="O8" s="3" t="n">
        <v>88.95</v>
      </c>
      <c r="P8" s="3" t="n">
        <v>95.2</v>
      </c>
      <c r="Q8">
        <f>L8*N8</f>
        <v/>
      </c>
      <c r="R8">
        <f>J8*P8</f>
        <v/>
      </c>
      <c r="S8">
        <f>M8*O8</f>
        <v/>
      </c>
      <c r="T8">
        <f>Q8-R8-S8</f>
        <v/>
      </c>
      <c r="U8" t="inlineStr"/>
    </row>
    <row r="9">
      <c r="A9" t="inlineStr">
        <is>
          <t>AXP</t>
        </is>
      </c>
      <c r="B9" t="inlineStr">
        <is>
          <t>USD</t>
        </is>
      </c>
      <c r="C9" t="n">
        <v>2</v>
      </c>
      <c r="D9" s="2" t="n">
        <v>45678</v>
      </c>
      <c r="E9" s="2" t="n">
        <v>46259</v>
      </c>
      <c r="F9">
        <f>E9-D9</f>
        <v/>
      </c>
      <c r="G9">
        <f>IF(F9&gt;730,"LTCG","STCG")</f>
        <v/>
      </c>
      <c r="H9" s="3" t="n">
        <v>676.3200000000001</v>
      </c>
      <c r="I9" s="3" t="n">
        <v>603.02</v>
      </c>
      <c r="J9" s="3" t="n">
        <v>0.51</v>
      </c>
      <c r="K9" s="3" t="n">
        <v>1</v>
      </c>
      <c r="L9">
        <f>H9*K9</f>
        <v/>
      </c>
      <c r="M9">
        <f>I9*K9</f>
        <v/>
      </c>
      <c r="N9" s="3" t="n">
        <v>95.2</v>
      </c>
      <c r="O9" s="3" t="n">
        <v>85.2</v>
      </c>
      <c r="P9" s="3" t="n">
        <v>95.2</v>
      </c>
      <c r="Q9">
        <f>L9*N9</f>
        <v/>
      </c>
      <c r="R9">
        <f>J9*P9</f>
        <v/>
      </c>
      <c r="S9">
        <f>M9*O9</f>
        <v/>
      </c>
      <c r="T9">
        <f>Q9-R9-S9</f>
        <v/>
      </c>
      <c r="U9" t="inlineStr"/>
    </row>
    <row r="10">
      <c r="A10" t="inlineStr">
        <is>
          <t>AXP</t>
        </is>
      </c>
      <c r="B10" t="inlineStr">
        <is>
          <t>USD</t>
        </is>
      </c>
      <c r="C10" t="n">
        <v>2</v>
      </c>
      <c r="D10" s="2" t="n">
        <v>45800</v>
      </c>
      <c r="E10" s="2" t="n">
        <v>46259</v>
      </c>
      <c r="F10">
        <f>E10-D10</f>
        <v/>
      </c>
      <c r="G10">
        <f>IF(F10&gt;730,"LTCG","STCG")</f>
        <v/>
      </c>
      <c r="H10" s="3" t="n">
        <v>676.3200000000001</v>
      </c>
      <c r="I10" s="3" t="n">
        <v>603.02</v>
      </c>
      <c r="J10" s="3" t="n">
        <v>0.51</v>
      </c>
      <c r="K10" s="3" t="n">
        <v>1</v>
      </c>
      <c r="L10">
        <f>H10*K10</f>
        <v/>
      </c>
      <c r="M10">
        <f>I10*K10</f>
        <v/>
      </c>
      <c r="N10" s="3" t="n">
        <v>95.2</v>
      </c>
      <c r="O10" s="3" t="n">
        <v>84.25</v>
      </c>
      <c r="P10" s="3" t="n">
        <v>95.2</v>
      </c>
      <c r="Q10">
        <f>L10*N10</f>
        <v/>
      </c>
      <c r="R10">
        <f>J10*P10</f>
        <v/>
      </c>
      <c r="S10">
        <f>M10*O10</f>
        <v/>
      </c>
      <c r="T10">
        <f>Q10-R10-S10</f>
        <v/>
      </c>
      <c r="U10" t="inlineStr"/>
    </row>
    <row r="11">
      <c r="A11" t="inlineStr">
        <is>
          <t>BLBD</t>
        </is>
      </c>
      <c r="B11" t="inlineStr">
        <is>
          <t>USD</t>
        </is>
      </c>
      <c r="C11" t="n">
        <v>15</v>
      </c>
      <c r="D11" s="2" t="n">
        <v>45678</v>
      </c>
      <c r="E11" s="2" t="n">
        <v>46259</v>
      </c>
      <c r="F11">
        <f>E11-D11</f>
        <v/>
      </c>
      <c r="G11">
        <f>IF(F11&gt;730,"LTCG","STCG")</f>
        <v/>
      </c>
      <c r="H11" s="3" t="n">
        <v>897.6</v>
      </c>
      <c r="I11" s="3" t="n">
        <v>613</v>
      </c>
      <c r="J11" s="3" t="n">
        <v>1.02</v>
      </c>
      <c r="K11" s="3" t="n">
        <v>1</v>
      </c>
      <c r="L11">
        <f>H11*K11</f>
        <v/>
      </c>
      <c r="M11">
        <f>I11*K11</f>
        <v/>
      </c>
      <c r="N11" s="3" t="n">
        <v>95.2</v>
      </c>
      <c r="O11" s="3" t="n">
        <v>85.2</v>
      </c>
      <c r="P11" s="3" t="n">
        <v>95.2</v>
      </c>
      <c r="Q11">
        <f>L11*N11</f>
        <v/>
      </c>
      <c r="R11">
        <f>J11*P11</f>
        <v/>
      </c>
      <c r="S11">
        <f>M11*O11</f>
        <v/>
      </c>
      <c r="T11">
        <f>Q11-R11-S11</f>
        <v/>
      </c>
      <c r="U11" t="inlineStr"/>
    </row>
    <row r="12">
      <c r="A12" t="inlineStr">
        <is>
          <t>BX</t>
        </is>
      </c>
      <c r="B12" t="inlineStr">
        <is>
          <t>USD</t>
        </is>
      </c>
      <c r="C12" t="n">
        <v>6</v>
      </c>
      <c r="D12" s="2" t="n">
        <v>45678</v>
      </c>
      <c r="E12" s="2" t="n">
        <v>46259</v>
      </c>
      <c r="F12">
        <f>E12-D12</f>
        <v/>
      </c>
      <c r="G12">
        <f>IF(F12&gt;730,"LTCG","STCG")</f>
        <v/>
      </c>
      <c r="H12" s="3" t="n">
        <v>860.58</v>
      </c>
      <c r="I12" s="3" t="n">
        <v>941.3099999999999</v>
      </c>
      <c r="J12" s="3" t="n">
        <v>0.52</v>
      </c>
      <c r="K12" s="3" t="n">
        <v>1</v>
      </c>
      <c r="L12">
        <f>H12*K12</f>
        <v/>
      </c>
      <c r="M12">
        <f>I12*K12</f>
        <v/>
      </c>
      <c r="N12" s="3" t="n">
        <v>95.2</v>
      </c>
      <c r="O12" s="3" t="n">
        <v>85.2</v>
      </c>
      <c r="P12" s="3" t="n">
        <v>95.2</v>
      </c>
      <c r="Q12">
        <f>L12*N12</f>
        <v/>
      </c>
      <c r="R12">
        <f>J12*P12</f>
        <v/>
      </c>
      <c r="S12">
        <f>M12*O12</f>
        <v/>
      </c>
      <c r="T12">
        <f>Q12-R12-S12</f>
        <v/>
      </c>
      <c r="U12" t="inlineStr"/>
    </row>
    <row r="13">
      <c r="A13" t="inlineStr">
        <is>
          <t>BX</t>
        </is>
      </c>
      <c r="B13" t="inlineStr">
        <is>
          <t>USD</t>
        </is>
      </c>
      <c r="C13" t="n">
        <v>6</v>
      </c>
      <c r="D13" s="2" t="n">
        <v>45800</v>
      </c>
      <c r="E13" s="2" t="n">
        <v>46259</v>
      </c>
      <c r="F13">
        <f>E13-D13</f>
        <v/>
      </c>
      <c r="G13">
        <f>IF(F13&gt;730,"LTCG","STCG")</f>
        <v/>
      </c>
      <c r="H13" s="3" t="n">
        <v>860.58</v>
      </c>
      <c r="I13" s="3" t="n">
        <v>941.3099999999999</v>
      </c>
      <c r="J13" s="3" t="n">
        <v>0.52</v>
      </c>
      <c r="K13" s="3" t="n">
        <v>1</v>
      </c>
      <c r="L13">
        <f>H13*K13</f>
        <v/>
      </c>
      <c r="M13">
        <f>I13*K13</f>
        <v/>
      </c>
      <c r="N13" s="3" t="n">
        <v>95.2</v>
      </c>
      <c r="O13" s="3" t="n">
        <v>84.25</v>
      </c>
      <c r="P13" s="3" t="n">
        <v>95.2</v>
      </c>
      <c r="Q13">
        <f>L13*N13</f>
        <v/>
      </c>
      <c r="R13">
        <f>J13*P13</f>
        <v/>
      </c>
      <c r="S13">
        <f>M13*O13</f>
        <v/>
      </c>
      <c r="T13">
        <f>Q13-R13-S13</f>
        <v/>
      </c>
      <c r="U13" t="inlineStr"/>
    </row>
    <row r="14">
      <c r="A14" t="inlineStr">
        <is>
          <t>NFLX</t>
        </is>
      </c>
      <c r="B14" t="inlineStr">
        <is>
          <t>USD</t>
        </is>
      </c>
      <c r="C14" t="n">
        <v>11.1</v>
      </c>
      <c r="D14" s="2" t="n">
        <v>45678</v>
      </c>
      <c r="E14" s="2" t="n">
        <v>46259</v>
      </c>
      <c r="F14">
        <f>E14-D14</f>
        <v/>
      </c>
      <c r="G14">
        <f>IF(F14&gt;730,"LTCG","STCG")</f>
        <v/>
      </c>
      <c r="H14" s="3" t="n">
        <v>882.5599999999999</v>
      </c>
      <c r="I14" s="3" t="n">
        <v>1005.56</v>
      </c>
      <c r="J14" s="3" t="n">
        <v>0.58</v>
      </c>
      <c r="K14" s="3" t="n">
        <v>1</v>
      </c>
      <c r="L14">
        <f>H14*K14</f>
        <v/>
      </c>
      <c r="M14">
        <f>I14*K14</f>
        <v/>
      </c>
      <c r="N14" s="3" t="n">
        <v>95.2</v>
      </c>
      <c r="O14" s="3" t="n">
        <v>85.2</v>
      </c>
      <c r="P14" s="3" t="n">
        <v>95.2</v>
      </c>
      <c r="Q14">
        <f>L14*N14</f>
        <v/>
      </c>
      <c r="R14">
        <f>J14*P14</f>
        <v/>
      </c>
      <c r="S14">
        <f>M14*O14</f>
        <v/>
      </c>
      <c r="T14">
        <f>Q14-R14-S14</f>
        <v/>
      </c>
      <c r="U14" t="inlineStr"/>
    </row>
    <row r="15">
      <c r="A15" t="inlineStr">
        <is>
          <t>NFLX</t>
        </is>
      </c>
      <c r="B15" t="inlineStr">
        <is>
          <t>USD</t>
        </is>
      </c>
      <c r="C15" t="n">
        <v>8.9</v>
      </c>
      <c r="D15" s="2" t="n">
        <v>46003</v>
      </c>
      <c r="E15" s="2" t="n">
        <v>46259</v>
      </c>
      <c r="F15">
        <f>E15-D15</f>
        <v/>
      </c>
      <c r="G15">
        <f>IF(F15&gt;730,"LTCG","STCG")</f>
        <v/>
      </c>
      <c r="H15" s="3" t="n">
        <v>707.64</v>
      </c>
      <c r="I15" s="3" t="n">
        <v>806.26</v>
      </c>
      <c r="J15" s="3" t="n">
        <v>0.46</v>
      </c>
      <c r="K15" s="3" t="n">
        <v>1</v>
      </c>
      <c r="L15">
        <f>H15*K15</f>
        <v/>
      </c>
      <c r="M15">
        <f>I15*K15</f>
        <v/>
      </c>
      <c r="N15" s="3" t="n">
        <v>95.2</v>
      </c>
      <c r="O15" s="3" t="n">
        <v>88.95</v>
      </c>
      <c r="P15" s="3" t="n">
        <v>95.2</v>
      </c>
      <c r="Q15">
        <f>L15*N15</f>
        <v/>
      </c>
      <c r="R15">
        <f>J15*P15</f>
        <v/>
      </c>
      <c r="S15">
        <f>M15*O15</f>
        <v/>
      </c>
      <c r="T15">
        <f>Q15-R15-S15</f>
        <v/>
      </c>
      <c r="U15" t="inlineStr"/>
    </row>
    <row r="16">
      <c r="A16" t="inlineStr">
        <is>
          <t>TIP</t>
        </is>
      </c>
      <c r="B16" t="inlineStr">
        <is>
          <t>USD</t>
        </is>
      </c>
      <c r="C16" t="n">
        <v>12</v>
      </c>
      <c r="D16" s="2" t="n">
        <v>45678</v>
      </c>
      <c r="E16" s="2" t="n">
        <v>46259</v>
      </c>
      <c r="F16">
        <f>E16-D16</f>
        <v/>
      </c>
      <c r="G16">
        <f>IF(F16&gt;730,"LTCG","STCG")</f>
        <v/>
      </c>
      <c r="H16" s="3" t="n">
        <v>1289.28</v>
      </c>
      <c r="I16" s="3" t="n">
        <v>1288.47</v>
      </c>
      <c r="J16" s="3" t="n">
        <v>1.03</v>
      </c>
      <c r="K16" s="3" t="n">
        <v>1</v>
      </c>
      <c r="L16">
        <f>H16*K16</f>
        <v/>
      </c>
      <c r="M16">
        <f>I16*K16</f>
        <v/>
      </c>
      <c r="N16" s="3" t="n">
        <v>95.2</v>
      </c>
      <c r="O16" s="3" t="n">
        <v>85.2</v>
      </c>
      <c r="P16" s="3" t="n">
        <v>95.2</v>
      </c>
      <c r="Q16">
        <f>L16*N16</f>
        <v/>
      </c>
      <c r="R16">
        <f>J16*P16</f>
        <v/>
      </c>
      <c r="S16">
        <f>M16*O16</f>
        <v/>
      </c>
      <c r="T16">
        <f>Q16-R16-S16</f>
        <v/>
      </c>
      <c r="U16" t="inlineStr"/>
    </row>
    <row r="17">
      <c r="A17" t="inlineStr">
        <is>
          <t>URA</t>
        </is>
      </c>
      <c r="B17" t="inlineStr">
        <is>
          <t>USD</t>
        </is>
      </c>
      <c r="C17" t="n">
        <v>30</v>
      </c>
      <c r="D17" s="2" t="n">
        <v>46003</v>
      </c>
      <c r="E17" s="2" t="n">
        <v>46259</v>
      </c>
      <c r="F17">
        <f>E17-D17</f>
        <v/>
      </c>
      <c r="G17">
        <f>IF(F17&gt;730,"LTCG","STCG")</f>
        <v/>
      </c>
      <c r="H17" s="3" t="n">
        <v>1398.3</v>
      </c>
      <c r="I17" s="3" t="n">
        <v>1474.6</v>
      </c>
      <c r="J17" s="3" t="n">
        <v>1.03</v>
      </c>
      <c r="K17" s="3" t="n">
        <v>1</v>
      </c>
      <c r="L17">
        <f>H17*K17</f>
        <v/>
      </c>
      <c r="M17">
        <f>I17*K17</f>
        <v/>
      </c>
      <c r="N17" s="3" t="n">
        <v>95.2</v>
      </c>
      <c r="O17" s="3" t="n">
        <v>88.95</v>
      </c>
      <c r="P17" s="3" t="n">
        <v>95.2</v>
      </c>
      <c r="Q17">
        <f>L17*N17</f>
        <v/>
      </c>
      <c r="R17">
        <f>J17*P17</f>
        <v/>
      </c>
      <c r="S17">
        <f>M17*O17</f>
        <v/>
      </c>
      <c r="T17">
        <f>Q17-R17-S17</f>
        <v/>
      </c>
      <c r="U17" t="inlineStr"/>
    </row>
    <row r="18">
      <c r="A18" t="inlineStr">
        <is>
          <t>AEP</t>
        </is>
      </c>
      <c r="B18" t="inlineStr">
        <is>
          <t>USD</t>
        </is>
      </c>
      <c r="C18" t="n">
        <v>6</v>
      </c>
      <c r="D18" s="2" t="n">
        <v>46003</v>
      </c>
      <c r="E18" s="2" t="n">
        <v>46259</v>
      </c>
      <c r="F18">
        <f>E18-D18</f>
        <v/>
      </c>
      <c r="G18">
        <f>IF(F18&gt;730,"LTCG","STCG")</f>
        <v/>
      </c>
      <c r="H18" s="3" t="n">
        <v>731.88</v>
      </c>
      <c r="I18" s="3" t="n">
        <v>691.42</v>
      </c>
      <c r="J18" s="3" t="n">
        <v>1.02</v>
      </c>
      <c r="K18" s="3" t="n">
        <v>1</v>
      </c>
      <c r="L18">
        <f>H18*K18</f>
        <v/>
      </c>
      <c r="M18">
        <f>I18*K18</f>
        <v/>
      </c>
      <c r="N18" s="3" t="n">
        <v>95.2</v>
      </c>
      <c r="O18" s="3" t="n">
        <v>88.95</v>
      </c>
      <c r="P18" s="3" t="n">
        <v>95.2</v>
      </c>
      <c r="Q18">
        <f>L18*N18</f>
        <v/>
      </c>
      <c r="R18">
        <f>J18*P18</f>
        <v/>
      </c>
      <c r="S18">
        <f>M18*O18</f>
        <v/>
      </c>
      <c r="T18">
        <f>Q18-R18-S18</f>
        <v/>
      </c>
      <c r="U18" t="inlineStr"/>
    </row>
    <row r="19">
      <c r="A19" t="inlineStr">
        <is>
          <t>GD</t>
        </is>
      </c>
      <c r="B19" t="inlineStr">
        <is>
          <t>USD</t>
        </is>
      </c>
      <c r="C19" t="n">
        <v>2</v>
      </c>
      <c r="D19" s="2" t="n">
        <v>45678</v>
      </c>
      <c r="E19" s="2" t="n">
        <v>46259</v>
      </c>
      <c r="F19">
        <f>E19-D19</f>
        <v/>
      </c>
      <c r="G19">
        <f>IF(F19&gt;730,"LTCG","STCG")</f>
        <v/>
      </c>
      <c r="H19" s="3" t="n">
        <v>768</v>
      </c>
      <c r="I19" s="3" t="n">
        <v>546.4299999999999</v>
      </c>
      <c r="J19" s="3" t="n">
        <v>1.02</v>
      </c>
      <c r="K19" s="3" t="n">
        <v>1</v>
      </c>
      <c r="L19">
        <f>H19*K19</f>
        <v/>
      </c>
      <c r="M19">
        <f>I19*K19</f>
        <v/>
      </c>
      <c r="N19" s="3" t="n">
        <v>95.2</v>
      </c>
      <c r="O19" s="3" t="n">
        <v>85.2</v>
      </c>
      <c r="P19" s="3" t="n">
        <v>95.2</v>
      </c>
      <c r="Q19">
        <f>L19*N19</f>
        <v/>
      </c>
      <c r="R19">
        <f>J19*P19</f>
        <v/>
      </c>
      <c r="S19">
        <f>M19*O19</f>
        <v/>
      </c>
      <c r="T19">
        <f>Q19-R19-S19</f>
        <v/>
      </c>
      <c r="U19" t="inlineStr"/>
    </row>
    <row r="20">
      <c r="A20" t="inlineStr">
        <is>
          <t>MCHI</t>
        </is>
      </c>
      <c r="B20" t="inlineStr">
        <is>
          <t>USD</t>
        </is>
      </c>
      <c r="C20" t="n">
        <v>12</v>
      </c>
      <c r="D20" s="2" t="n">
        <v>45678</v>
      </c>
      <c r="E20" s="2" t="n">
        <v>46259</v>
      </c>
      <c r="F20">
        <f>E20-D20</f>
        <v/>
      </c>
      <c r="G20">
        <f>IF(F20&gt;730,"LTCG","STCG")</f>
        <v/>
      </c>
      <c r="H20" s="3" t="n">
        <v>657.96</v>
      </c>
      <c r="I20" s="3" t="n">
        <v>556.35</v>
      </c>
      <c r="J20" s="3" t="n">
        <v>1.02</v>
      </c>
      <c r="K20" s="3" t="n">
        <v>1</v>
      </c>
      <c r="L20">
        <f>H20*K20</f>
        <v/>
      </c>
      <c r="M20">
        <f>I20*K20</f>
        <v/>
      </c>
      <c r="N20" s="3" t="n">
        <v>95.2</v>
      </c>
      <c r="O20" s="3" t="n">
        <v>85.2</v>
      </c>
      <c r="P20" s="3" t="n">
        <v>95.2</v>
      </c>
      <c r="Q20">
        <f>L20*N20</f>
        <v/>
      </c>
      <c r="R20">
        <f>J20*P20</f>
        <v/>
      </c>
      <c r="S20">
        <f>M20*O20</f>
        <v/>
      </c>
      <c r="T20">
        <f>Q20-R20-S20</f>
        <v/>
      </c>
      <c r="U20" t="inlineStr"/>
    </row>
    <row r="21">
      <c r="A21" t="inlineStr">
        <is>
          <t>RTX</t>
        </is>
      </c>
      <c r="B21" t="inlineStr">
        <is>
          <t>USD</t>
        </is>
      </c>
      <c r="C21" t="n">
        <v>5</v>
      </c>
      <c r="D21" s="2" t="n">
        <v>45678</v>
      </c>
      <c r="E21" s="2" t="n">
        <v>46259</v>
      </c>
      <c r="F21">
        <f>E21-D21</f>
        <v/>
      </c>
      <c r="G21">
        <f>IF(F21&gt;730,"LTCG","STCG")</f>
        <v/>
      </c>
      <c r="H21" s="3" t="n">
        <v>1051.8</v>
      </c>
      <c r="I21" s="3" t="n">
        <v>621.33</v>
      </c>
      <c r="J21" s="3" t="n">
        <v>1.02</v>
      </c>
      <c r="K21" s="3" t="n">
        <v>1</v>
      </c>
      <c r="L21">
        <f>H21*K21</f>
        <v/>
      </c>
      <c r="M21">
        <f>I21*K21</f>
        <v/>
      </c>
      <c r="N21" s="3" t="n">
        <v>95.2</v>
      </c>
      <c r="O21" s="3" t="n">
        <v>85.2</v>
      </c>
      <c r="P21" s="3" t="n">
        <v>95.2</v>
      </c>
      <c r="Q21">
        <f>L21*N21</f>
        <v/>
      </c>
      <c r="R21">
        <f>J21*P21</f>
        <v/>
      </c>
      <c r="S21">
        <f>M21*O21</f>
        <v/>
      </c>
      <c r="T21">
        <f>Q21-R21-S21</f>
        <v/>
      </c>
      <c r="U21" t="inlineStr"/>
    </row>
    <row r="22">
      <c r="A22" t="inlineStr">
        <is>
          <t>TGT</t>
        </is>
      </c>
      <c r="B22" t="inlineStr">
        <is>
          <t>USD</t>
        </is>
      </c>
      <c r="C22" t="n">
        <v>9</v>
      </c>
      <c r="D22" s="2" t="n">
        <v>45678</v>
      </c>
      <c r="E22" s="2" t="n">
        <v>46259</v>
      </c>
      <c r="F22">
        <f>E22-D22</f>
        <v/>
      </c>
      <c r="G22">
        <f>IF(F22&gt;730,"LTCG","STCG")</f>
        <v/>
      </c>
      <c r="H22" s="3" t="n">
        <v>1494.9</v>
      </c>
      <c r="I22" s="3" t="n">
        <v>1011.6</v>
      </c>
      <c r="J22" s="3" t="n">
        <v>0.48</v>
      </c>
      <c r="K22" s="3" t="n">
        <v>1</v>
      </c>
      <c r="L22">
        <f>H22*K22</f>
        <v/>
      </c>
      <c r="M22">
        <f>I22*K22</f>
        <v/>
      </c>
      <c r="N22" s="3" t="n">
        <v>95.2</v>
      </c>
      <c r="O22" s="3" t="n">
        <v>85.2</v>
      </c>
      <c r="P22" s="3" t="n">
        <v>95.2</v>
      </c>
      <c r="Q22">
        <f>L22*N22</f>
        <v/>
      </c>
      <c r="R22">
        <f>J22*P22</f>
        <v/>
      </c>
      <c r="S22">
        <f>M22*O22</f>
        <v/>
      </c>
      <c r="T22">
        <f>Q22-R22-S22</f>
        <v/>
      </c>
      <c r="U22" t="inlineStr"/>
    </row>
    <row r="23">
      <c r="A23" t="inlineStr">
        <is>
          <t>TGT</t>
        </is>
      </c>
      <c r="B23" t="inlineStr">
        <is>
          <t>USD</t>
        </is>
      </c>
      <c r="C23" t="n">
        <v>11</v>
      </c>
      <c r="D23" s="2" t="n">
        <v>45902</v>
      </c>
      <c r="E23" s="2" t="n">
        <v>46259</v>
      </c>
      <c r="F23">
        <f>E23-D23</f>
        <v/>
      </c>
      <c r="G23">
        <f>IF(F23&gt;730,"LTCG","STCG")</f>
        <v/>
      </c>
      <c r="H23" s="3" t="n">
        <v>1827.1</v>
      </c>
      <c r="I23" s="3" t="n">
        <v>1236.4</v>
      </c>
      <c r="J23" s="3" t="n">
        <v>0.59</v>
      </c>
      <c r="K23" s="3" t="n">
        <v>1</v>
      </c>
      <c r="L23">
        <f>H23*K23</f>
        <v/>
      </c>
      <c r="M23">
        <f>I23*K23</f>
        <v/>
      </c>
      <c r="N23" s="3" t="n">
        <v>95.2</v>
      </c>
      <c r="O23" s="3" t="n">
        <v>87.7</v>
      </c>
      <c r="P23" s="3" t="n">
        <v>95.2</v>
      </c>
      <c r="Q23">
        <f>L23*N23</f>
        <v/>
      </c>
      <c r="R23">
        <f>J23*P23</f>
        <v/>
      </c>
      <c r="S23">
        <f>M23*O23</f>
        <v/>
      </c>
      <c r="T23">
        <f>Q23-R23-S23</f>
        <v/>
      </c>
      <c r="U23" t="inlineStr"/>
    </row>
    <row r="24">
      <c r="A24" t="inlineStr">
        <is>
          <t>V</t>
        </is>
      </c>
      <c r="B24" t="inlineStr">
        <is>
          <t>USD</t>
        </is>
      </c>
      <c r="C24" t="n">
        <v>3</v>
      </c>
      <c r="D24" s="2" t="n">
        <v>46003</v>
      </c>
      <c r="E24" s="2" t="n">
        <v>46259</v>
      </c>
      <c r="F24">
        <f>E24-D24</f>
        <v/>
      </c>
      <c r="G24">
        <f>IF(F24&gt;730,"LTCG","STCG")</f>
        <v/>
      </c>
      <c r="H24" s="3" t="n">
        <v>1141.5</v>
      </c>
      <c r="I24" s="3" t="n">
        <v>1045</v>
      </c>
      <c r="J24" s="3" t="n">
        <v>1.02</v>
      </c>
      <c r="K24" s="3" t="n">
        <v>1</v>
      </c>
      <c r="L24">
        <f>H24*K24</f>
        <v/>
      </c>
      <c r="M24">
        <f>I24*K24</f>
        <v/>
      </c>
      <c r="N24" s="3" t="n">
        <v>95.2</v>
      </c>
      <c r="O24" s="3" t="n">
        <v>88.95</v>
      </c>
      <c r="P24" s="3" t="n">
        <v>95.2</v>
      </c>
      <c r="Q24">
        <f>L24*N24</f>
        <v/>
      </c>
      <c r="R24">
        <f>J24*P24</f>
        <v/>
      </c>
      <c r="S24">
        <f>M24*O24</f>
        <v/>
      </c>
      <c r="T24">
        <f>Q24-R24-S24</f>
        <v/>
      </c>
      <c r="U24" t="inlineStr"/>
    </row>
    <row r="25">
      <c r="A25" t="inlineStr">
        <is>
          <t>4568.T</t>
        </is>
      </c>
      <c r="B25" t="inlineStr">
        <is>
          <t>JPY</t>
        </is>
      </c>
      <c r="C25" t="n">
        <v>100</v>
      </c>
      <c r="D25" s="2" t="n">
        <v>45746</v>
      </c>
      <c r="E25" s="2" t="n">
        <v>46259</v>
      </c>
      <c r="F25">
        <f>E25-D25</f>
        <v/>
      </c>
      <c r="G25">
        <f>IF(F25&gt;730,"LTCG","STCG")</f>
        <v/>
      </c>
      <c r="H25" s="3" t="n">
        <v>288050</v>
      </c>
      <c r="I25" s="3" t="n">
        <v>353782.8</v>
      </c>
      <c r="J25" s="3" t="n">
        <v>230.44</v>
      </c>
      <c r="K25" s="3" t="n">
        <v>0.0063827</v>
      </c>
      <c r="L25">
        <f>H25*K25</f>
        <v/>
      </c>
      <c r="M25">
        <f>I25*K25</f>
        <v/>
      </c>
      <c r="N25" s="3" t="n">
        <v>95.2</v>
      </c>
      <c r="O25" s="3" t="n">
        <v>86.95</v>
      </c>
      <c r="P25" s="3" t="n">
        <v>95.2</v>
      </c>
      <c r="Q25">
        <f>L25*N25</f>
        <v/>
      </c>
      <c r="R25">
        <f>J25*P25</f>
        <v/>
      </c>
      <c r="S25">
        <f>M25*O25</f>
        <v/>
      </c>
      <c r="T25">
        <f>Q25-R25-S25</f>
        <v/>
      </c>
      <c r="U25" t="inlineStr"/>
    </row>
    <row r="26">
      <c r="A26" t="inlineStr">
        <is>
          <t>3110</t>
        </is>
      </c>
      <c r="B26" t="inlineStr">
        <is>
          <t>HKD</t>
        </is>
      </c>
      <c r="C26" t="n">
        <v>300</v>
      </c>
      <c r="D26" s="2" t="n">
        <v>45853</v>
      </c>
      <c r="E26" s="2" t="n">
        <v>46259</v>
      </c>
      <c r="F26">
        <f>E26-D26</f>
        <v/>
      </c>
      <c r="G26">
        <f>IF(F26&gt;730,"LTCG","STCG")</f>
        <v/>
      </c>
      <c r="H26" s="3" t="n">
        <v>9528</v>
      </c>
      <c r="I26" s="3" t="n">
        <v>8730.25</v>
      </c>
      <c r="J26" s="3" t="n">
        <v>18.27</v>
      </c>
      <c r="K26" s="3" t="n">
        <v>0.12849</v>
      </c>
      <c r="L26">
        <f>H26*K26</f>
        <v/>
      </c>
      <c r="M26">
        <f>I26*K26</f>
        <v/>
      </c>
      <c r="N26" s="3" t="n">
        <v>95.2</v>
      </c>
      <c r="O26" s="3" t="n">
        <v>85.09999999999999</v>
      </c>
      <c r="P26" s="3" t="n">
        <v>95.2</v>
      </c>
      <c r="Q26">
        <f>L26*N26</f>
        <v/>
      </c>
      <c r="R26">
        <f>J26*P26</f>
        <v/>
      </c>
      <c r="S26">
        <f>M26*O26</f>
        <v/>
      </c>
      <c r="T26">
        <f>Q26-R26-S26</f>
        <v/>
      </c>
      <c r="U26" t="inlineStr"/>
    </row>
    <row r="27">
      <c r="A27" t="inlineStr">
        <is>
          <t>3188</t>
        </is>
      </c>
      <c r="B27" t="inlineStr">
        <is>
          <t>HKD</t>
        </is>
      </c>
      <c r="C27" t="n">
        <v>200</v>
      </c>
      <c r="D27" s="2" t="n">
        <v>45760</v>
      </c>
      <c r="E27" s="2" t="n">
        <v>46259</v>
      </c>
      <c r="F27">
        <f>E27-D27</f>
        <v/>
      </c>
      <c r="G27">
        <f>IF(F27&gt;730,"LTCG","STCG")</f>
        <v/>
      </c>
      <c r="H27" s="3" t="n">
        <v>10900</v>
      </c>
      <c r="I27" s="3" t="n">
        <v>8274.24</v>
      </c>
      <c r="J27" s="3" t="n">
        <v>18.31</v>
      </c>
      <c r="K27" s="3" t="n">
        <v>0.12849</v>
      </c>
      <c r="L27">
        <f>H27*K27</f>
        <v/>
      </c>
      <c r="M27">
        <f>I27*K27</f>
        <v/>
      </c>
      <c r="N27" s="3" t="n">
        <v>95.2</v>
      </c>
      <c r="O27" s="3" t="n">
        <v>85.09999999999999</v>
      </c>
      <c r="P27" s="3" t="n">
        <v>95.2</v>
      </c>
      <c r="Q27">
        <f>L27*N27</f>
        <v/>
      </c>
      <c r="R27">
        <f>J27*P27</f>
        <v/>
      </c>
      <c r="S27">
        <f>M27*O27</f>
        <v/>
      </c>
      <c r="T27">
        <f>Q27-R27-S27</f>
        <v/>
      </c>
      <c r="U27" t="inlineStr"/>
    </row>
    <row r="28">
      <c r="A28" t="inlineStr">
        <is>
          <t>3416</t>
        </is>
      </c>
      <c r="B28" t="inlineStr">
        <is>
          <t>HKD</t>
        </is>
      </c>
      <c r="C28" t="n">
        <v>1000</v>
      </c>
      <c r="D28" s="2" t="n">
        <v>45853</v>
      </c>
      <c r="E28" s="2" t="n">
        <v>46259</v>
      </c>
      <c r="F28">
        <f>E28-D28</f>
        <v/>
      </c>
      <c r="G28">
        <f>IF(F28&gt;730,"LTCG","STCG")</f>
        <v/>
      </c>
      <c r="H28" s="3" t="n">
        <v>8490</v>
      </c>
      <c r="I28" s="3" t="n">
        <v>10648.3</v>
      </c>
      <c r="J28" s="3" t="n">
        <v>18.24</v>
      </c>
      <c r="K28" s="3" t="n">
        <v>0.12849</v>
      </c>
      <c r="L28">
        <f>H28*K28</f>
        <v/>
      </c>
      <c r="M28">
        <f>I28*K28</f>
        <v/>
      </c>
      <c r="N28" s="3" t="n">
        <v>95.2</v>
      </c>
      <c r="O28" s="3" t="n">
        <v>85.09999999999999</v>
      </c>
      <c r="P28" s="3" t="n">
        <v>95.2</v>
      </c>
      <c r="Q28">
        <f>L28*N28</f>
        <v/>
      </c>
      <c r="R28">
        <f>J28*P28</f>
        <v/>
      </c>
      <c r="S28">
        <f>M28*O28</f>
        <v/>
      </c>
      <c r="T28">
        <f>Q28-R28-S28</f>
        <v/>
      </c>
      <c r="U28" t="inlineStr"/>
    </row>
    <row r="29"/>
    <row r="30">
      <c r="G30" s="4" t="inlineStr">
        <is>
          <t>TOTAL STCG (INR)</t>
        </is>
      </c>
      <c r="T30" s="4">
        <f>SUMIF(G5:G28,"STCG",T5:T28)</f>
        <v/>
      </c>
    </row>
    <row r="31">
      <c r="G31" s="4" t="inlineStr">
        <is>
          <t>TOTAL LTCG (INR)</t>
        </is>
      </c>
      <c r="T31" s="4">
        <f>SUMIF(G5:G28,"LTCG",T5:T28)</f>
        <v/>
      </c>
    </row>
    <row r="32">
      <c r="G32" s="4" t="inlineStr">
        <is>
          <t>TOTAL CG (INR)</t>
        </is>
      </c>
      <c r="T32" s="4">
        <f>T30+T31</f>
        <v/>
      </c>
    </row>
  </sheetData>
  <mergeCells count="3">
    <mergeCell ref="A1:U1"/>
    <mergeCell ref="A3:U3"/>
    <mergeCell ref="A2:U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14" customWidth="1" min="4" max="4"/>
    <col width="14" customWidth="1" min="5" max="5"/>
    <col width="20" customWidth="1" min="6" max="6"/>
    <col width="14" customWidth="1" min="7" max="7"/>
  </cols>
  <sheetData>
    <row r="1">
      <c r="A1" t="inlineStr">
        <is>
          <t>Interest &amp; Dividend income — FY 2026-27 YTD (01-Apr-2026 to 07-Sep-2026). Partial — full year needs statement through 31-Mar-2027.</t>
        </is>
      </c>
    </row>
    <row r="2">
      <c r="A2" s="1" t="inlineStr">
        <is>
          <t>Date</t>
        </is>
      </c>
      <c r="B2" s="1" t="inlineStr">
        <is>
          <t>Description</t>
        </is>
      </c>
      <c r="C2" s="1" t="inlineStr">
        <is>
          <t>Currency</t>
        </is>
      </c>
      <c r="D2" s="1" t="inlineStr">
        <is>
          <t>Amount (FCY)</t>
        </is>
      </c>
      <c r="E2" s="1" t="inlineStr">
        <is>
          <t>Amount (USD)</t>
        </is>
      </c>
      <c r="F2" s="1" t="inlineStr">
        <is>
          <t>USD/INR (Rule 115)</t>
        </is>
      </c>
      <c r="G2" s="1" t="inlineStr">
        <is>
          <t>Amount (INR)</t>
        </is>
      </c>
    </row>
    <row r="3">
      <c r="A3" t="inlineStr">
        <is>
          <t>— INTEREST —</t>
        </is>
      </c>
    </row>
    <row r="4">
      <c r="A4" s="2" t="n">
        <v>46147</v>
      </c>
      <c r="B4" t="inlineStr">
        <is>
          <t>USD Debit Interest for Apr-2026</t>
        </is>
      </c>
      <c r="C4" t="inlineStr">
        <is>
          <t>USD</t>
        </is>
      </c>
      <c r="D4" t="n">
        <v>-0.01</v>
      </c>
      <c r="E4" t="n">
        <v>-0.01</v>
      </c>
      <c r="F4" t="n">
        <v>94.8</v>
      </c>
      <c r="G4" t="n">
        <v>-1</v>
      </c>
    </row>
    <row r="5">
      <c r="A5" s="2" t="n">
        <v>46176</v>
      </c>
      <c r="B5" t="inlineStr">
        <is>
          <t>USD Debit Interest for May-2026</t>
        </is>
      </c>
      <c r="C5" t="inlineStr">
        <is>
          <t>USD</t>
        </is>
      </c>
      <c r="D5" t="n">
        <v>-0.03</v>
      </c>
      <c r="E5" t="n">
        <v>-0.03</v>
      </c>
      <c r="F5" t="n">
        <v>94.59999999999999</v>
      </c>
      <c r="G5" t="n">
        <v>-3</v>
      </c>
    </row>
    <row r="6">
      <c r="A6" s="2" t="n">
        <v>46268</v>
      </c>
      <c r="B6" t="inlineStr">
        <is>
          <t>USD Credit Interest for Aug-2026</t>
        </is>
      </c>
      <c r="C6" t="inlineStr">
        <is>
          <t>USD</t>
        </is>
      </c>
      <c r="D6" t="n">
        <v>2.17</v>
      </c>
      <c r="E6" t="n">
        <v>2.17</v>
      </c>
      <c r="F6" t="n">
        <v>95</v>
      </c>
      <c r="G6" t="n">
        <v>206</v>
      </c>
    </row>
    <row r="7">
      <c r="B7" t="inlineStr">
        <is>
          <t>TOTAL INTEREST</t>
        </is>
      </c>
      <c r="E7" t="n">
        <v>2.13</v>
      </c>
      <c r="G7" t="n">
        <v>202</v>
      </c>
    </row>
    <row r="8"/>
    <row r="9">
      <c r="A9" t="inlineStr">
        <is>
          <t>— DIVIDENDS —</t>
        </is>
      </c>
    </row>
    <row r="10">
      <c r="A10" s="2" t="n">
        <v>46234</v>
      </c>
      <c r="B10" t="inlineStr">
        <is>
          <t>3188(HK0000123577) Cash Dividend CNH 0.55 per Share (Ordinary Dividend)</t>
        </is>
      </c>
      <c r="C10" t="inlineStr">
        <is>
          <t>CNH</t>
        </is>
      </c>
      <c r="D10" t="n">
        <v>110</v>
      </c>
      <c r="E10" t="n">
        <v>16.291</v>
      </c>
      <c r="F10" t="n">
        <v>93.95</v>
      </c>
      <c r="G10" t="n">
        <v>1531</v>
      </c>
    </row>
    <row r="11">
      <c r="A11" s="2" t="n">
        <v>46135</v>
      </c>
      <c r="B11" t="inlineStr">
        <is>
          <t>AIR(NL0000235190) Cash Dividend EUR 3.20 per Share (Ordinary Dividend)</t>
        </is>
      </c>
      <c r="C11" t="inlineStr">
        <is>
          <t>EUR</t>
        </is>
      </c>
      <c r="D11" t="n">
        <v>38.4</v>
      </c>
      <c r="E11" t="n">
        <v>45.1046</v>
      </c>
      <c r="F11" t="n">
        <v>93.15000000000001</v>
      </c>
      <c r="G11" t="n">
        <v>4201</v>
      </c>
    </row>
    <row r="12">
      <c r="A12" s="2" t="n">
        <v>46202</v>
      </c>
      <c r="B12" t="inlineStr">
        <is>
          <t>SHELL.DvR(NL00150743A0) Expire Dividend Right (Ordinary Dividend)</t>
        </is>
      </c>
      <c r="C12" t="inlineStr">
        <is>
          <t>EUR</t>
        </is>
      </c>
      <c r="D12" t="n">
        <v>12.85</v>
      </c>
      <c r="E12" t="n">
        <v>15.0936</v>
      </c>
      <c r="F12" t="n">
        <v>94.59999999999999</v>
      </c>
      <c r="G12" t="n">
        <v>1428</v>
      </c>
    </row>
    <row r="13">
      <c r="A13" s="2" t="n">
        <v>46121</v>
      </c>
      <c r="B13" t="inlineStr">
        <is>
          <t>3416(HK0000978954) Cash Dividend HKD 0.14 per Share (Ordinary Dividend)</t>
        </is>
      </c>
      <c r="C13" t="inlineStr">
        <is>
          <t>HKD</t>
        </is>
      </c>
      <c r="D13" t="n">
        <v>140</v>
      </c>
      <c r="E13" t="n">
        <v>17.9886</v>
      </c>
      <c r="F13" t="n">
        <v>93.15000000000001</v>
      </c>
      <c r="G13" t="n">
        <v>1676</v>
      </c>
    </row>
    <row r="14">
      <c r="A14" s="2" t="n">
        <v>46149</v>
      </c>
      <c r="B14" t="inlineStr">
        <is>
          <t>3416(HK0000978954) Cash Dividend HKD 0.14 per Share (Ordinary Dividend)</t>
        </is>
      </c>
      <c r="C14" t="inlineStr">
        <is>
          <t>HKD</t>
        </is>
      </c>
      <c r="D14" t="n">
        <v>140</v>
      </c>
      <c r="E14" t="n">
        <v>17.9886</v>
      </c>
      <c r="F14" t="n">
        <v>94.8</v>
      </c>
      <c r="G14" t="n">
        <v>1705</v>
      </c>
    </row>
    <row r="15">
      <c r="A15" s="2" t="n">
        <v>46177</v>
      </c>
      <c r="B15" t="inlineStr">
        <is>
          <t>3416(HK0000978954) Cash Dividend HKD 0.15 per Share (Ordinary Dividend)</t>
        </is>
      </c>
      <c r="C15" t="inlineStr">
        <is>
          <t>HKD</t>
        </is>
      </c>
      <c r="D15" t="n">
        <v>150</v>
      </c>
      <c r="E15" t="n">
        <v>19.2735</v>
      </c>
      <c r="F15" t="n">
        <v>94.59999999999999</v>
      </c>
      <c r="G15" t="n">
        <v>1823</v>
      </c>
    </row>
    <row r="16">
      <c r="A16" s="2" t="n">
        <v>46210</v>
      </c>
      <c r="B16" t="inlineStr">
        <is>
          <t>3416(HK0000978954) Cash Dividend HKD 0.15 per Share (Ordinary Dividend)</t>
        </is>
      </c>
      <c r="C16" t="inlineStr">
        <is>
          <t>HKD</t>
        </is>
      </c>
      <c r="D16" t="n">
        <v>150</v>
      </c>
      <c r="E16" t="n">
        <v>19.2735</v>
      </c>
      <c r="F16" t="n">
        <v>93.95</v>
      </c>
      <c r="G16" t="n">
        <v>1811</v>
      </c>
    </row>
    <row r="17">
      <c r="A17" s="2" t="n">
        <v>46240</v>
      </c>
      <c r="B17" t="inlineStr">
        <is>
          <t>3416(HK0000978954) Cash Dividend HKD 0.15 per Share (Ordinary Dividend)</t>
        </is>
      </c>
      <c r="C17" t="inlineStr">
        <is>
          <t>HKD</t>
        </is>
      </c>
      <c r="D17" t="n">
        <v>150</v>
      </c>
      <c r="E17" t="n">
        <v>19.2735</v>
      </c>
      <c r="F17" t="n">
        <v>95.2</v>
      </c>
      <c r="G17" t="n">
        <v>1835</v>
      </c>
    </row>
    <row r="18">
      <c r="A18" s="2" t="n">
        <v>46196</v>
      </c>
      <c r="B18" t="inlineStr">
        <is>
          <t>4568.T(JP3475350009) Cash Dividend JPY 39 per Share (Ordinary Dividend)</t>
        </is>
      </c>
      <c r="C18" t="inlineStr">
        <is>
          <t>JPY</t>
        </is>
      </c>
      <c r="D18" t="n">
        <v>3900</v>
      </c>
      <c r="E18" t="n">
        <v>24.8925</v>
      </c>
      <c r="F18" t="n">
        <v>94.59999999999999</v>
      </c>
      <c r="G18" t="n">
        <v>2355</v>
      </c>
    </row>
    <row r="19">
      <c r="A19" s="2" t="n">
        <v>46121</v>
      </c>
      <c r="B19" t="inlineStr">
        <is>
          <t>TSM(US8740391003) Cash Dividend USD 0.938972 per Share (Ordinary Div - NRA Withholding Exempt)</t>
        </is>
      </c>
      <c r="C19" t="inlineStr">
        <is>
          <t>USD</t>
        </is>
      </c>
      <c r="D19" t="n">
        <v>2.82</v>
      </c>
      <c r="E19" t="n">
        <v>2.82</v>
      </c>
      <c r="F19" t="n">
        <v>93.15000000000001</v>
      </c>
      <c r="G19" t="n">
        <v>263</v>
      </c>
    </row>
    <row r="20">
      <c r="A20" s="2" t="n">
        <v>46139</v>
      </c>
      <c r="B20" t="inlineStr">
        <is>
          <t>GE(US3696043013) Cash Dividend USD 0.47 per Share (Ordinary Dividend)</t>
        </is>
      </c>
      <c r="C20" t="inlineStr">
        <is>
          <t>USD</t>
        </is>
      </c>
      <c r="D20" t="n">
        <v>2.82</v>
      </c>
      <c r="E20" t="n">
        <v>2.82</v>
      </c>
      <c r="F20" t="n">
        <v>93.15000000000001</v>
      </c>
      <c r="G20" t="n">
        <v>263</v>
      </c>
    </row>
    <row r="21">
      <c r="A21" s="2" t="n">
        <v>46148</v>
      </c>
      <c r="B21" t="inlineStr">
        <is>
          <t>TIP(US4642871762) Cash Dividend USD 0.560849 per Share (Ordinary Dividend)</t>
        </is>
      </c>
      <c r="C21" t="inlineStr">
        <is>
          <t>USD</t>
        </is>
      </c>
      <c r="D21" t="n">
        <v>6.73</v>
      </c>
      <c r="E21" t="n">
        <v>6.73</v>
      </c>
      <c r="F21" t="n">
        <v>94.8</v>
      </c>
      <c r="G21" t="n">
        <v>638</v>
      </c>
    </row>
    <row r="22">
      <c r="A22" s="2" t="n">
        <v>46150</v>
      </c>
      <c r="B22" t="inlineStr">
        <is>
          <t>AXP(US0258161092) Cash Dividend USD 0.95 per Share (Ordinary Dividend)</t>
        </is>
      </c>
      <c r="C22" t="inlineStr">
        <is>
          <t>USD</t>
        </is>
      </c>
      <c r="D22" t="n">
        <v>3.8</v>
      </c>
      <c r="E22" t="n">
        <v>3.8</v>
      </c>
      <c r="F22" t="n">
        <v>94.8</v>
      </c>
      <c r="G22" t="n">
        <v>360</v>
      </c>
    </row>
    <row r="23">
      <c r="A23" s="2" t="n">
        <v>46150</v>
      </c>
      <c r="B23" t="inlineStr">
        <is>
          <t>GD(US3695501086) Cash Dividend USD 1.59 per Share (Ordinary Dividend)</t>
        </is>
      </c>
      <c r="C23" t="inlineStr">
        <is>
          <t>USD</t>
        </is>
      </c>
      <c r="D23" t="n">
        <v>3.18</v>
      </c>
      <c r="E23" t="n">
        <v>3.18</v>
      </c>
      <c r="F23" t="n">
        <v>94.8</v>
      </c>
      <c r="G23" t="n">
        <v>301</v>
      </c>
    </row>
    <row r="24">
      <c r="A24" s="2" t="n">
        <v>46153</v>
      </c>
      <c r="B24" t="inlineStr">
        <is>
          <t>BX(US09260D1072) Cash Dividend USD 1.16 per Share (Ordinary Dividend)</t>
        </is>
      </c>
      <c r="C24" t="inlineStr">
        <is>
          <t>USD</t>
        </is>
      </c>
      <c r="D24" t="n">
        <v>13.92</v>
      </c>
      <c r="E24" t="n">
        <v>13.92</v>
      </c>
      <c r="F24" t="n">
        <v>94.8</v>
      </c>
      <c r="G24" t="n">
        <v>1320</v>
      </c>
    </row>
    <row r="25">
      <c r="A25" s="2" t="n">
        <v>46161</v>
      </c>
      <c r="B25" t="inlineStr">
        <is>
          <t>CAT(US1491231015) Cash Dividend USD 1.51 per Share (Ordinary Dividend)</t>
        </is>
      </c>
      <c r="C25" t="inlineStr">
        <is>
          <t>USD</t>
        </is>
      </c>
      <c r="D25" t="n">
        <v>4.53</v>
      </c>
      <c r="E25" t="n">
        <v>4.53</v>
      </c>
      <c r="F25" t="n">
        <v>94.8</v>
      </c>
      <c r="G25" t="n">
        <v>429</v>
      </c>
    </row>
    <row r="26">
      <c r="A26" s="2" t="n">
        <v>46174</v>
      </c>
      <c r="B26" t="inlineStr">
        <is>
          <t>TGT(US87612E1064) Cash Dividend USD 1.14 per Share (Ordinary Dividend)</t>
        </is>
      </c>
      <c r="C26" t="inlineStr">
        <is>
          <t>USD</t>
        </is>
      </c>
      <c r="D26" t="n">
        <v>22.8</v>
      </c>
      <c r="E26" t="n">
        <v>22.8</v>
      </c>
      <c r="F26" t="n">
        <v>94.59999999999999</v>
      </c>
      <c r="G26" t="n">
        <v>2157</v>
      </c>
    </row>
    <row r="27">
      <c r="A27" s="2" t="n">
        <v>46174</v>
      </c>
      <c r="B27" t="inlineStr">
        <is>
          <t>V(US92826C8394) Cash Dividend USD 0.67 per Share (Ordinary Dividend)</t>
        </is>
      </c>
      <c r="C27" t="inlineStr">
        <is>
          <t>USD</t>
        </is>
      </c>
      <c r="D27" t="n">
        <v>2.01</v>
      </c>
      <c r="E27" t="n">
        <v>2.01</v>
      </c>
      <c r="F27" t="n">
        <v>94.59999999999999</v>
      </c>
      <c r="G27" t="n">
        <v>190</v>
      </c>
    </row>
    <row r="28">
      <c r="A28" s="2" t="n">
        <v>46177</v>
      </c>
      <c r="B28" t="inlineStr">
        <is>
          <t>TIP(US4642871762) Cash Dividend USD 1.277516 per Share (Ordinary Dividend)</t>
        </is>
      </c>
      <c r="C28" t="inlineStr">
        <is>
          <t>USD</t>
        </is>
      </c>
      <c r="D28" t="n">
        <v>15.33</v>
      </c>
      <c r="E28" t="n">
        <v>15.33</v>
      </c>
      <c r="F28" t="n">
        <v>94.59999999999999</v>
      </c>
      <c r="G28" t="n">
        <v>1450</v>
      </c>
    </row>
    <row r="29">
      <c r="A29" s="2" t="n">
        <v>46183</v>
      </c>
      <c r="B29" t="inlineStr">
        <is>
          <t>AEP(US0255371017) Cash Dividend USD 0.95 per Share (Ordinary Dividend)</t>
        </is>
      </c>
      <c r="C29" t="inlineStr">
        <is>
          <t>USD</t>
        </is>
      </c>
      <c r="D29" t="n">
        <v>5.7</v>
      </c>
      <c r="E29" t="n">
        <v>5.7</v>
      </c>
      <c r="F29" t="n">
        <v>94.59999999999999</v>
      </c>
      <c r="G29" t="n">
        <v>539</v>
      </c>
    </row>
    <row r="30">
      <c r="A30" s="2" t="n">
        <v>46183</v>
      </c>
      <c r="B30" t="inlineStr">
        <is>
          <t>LLY(US5324571083) Cash Dividend USD 1.73 per Share (Ordinary Dividend)</t>
        </is>
      </c>
      <c r="C30" t="inlineStr">
        <is>
          <t>USD</t>
        </is>
      </c>
      <c r="D30" t="n">
        <v>2.98</v>
      </c>
      <c r="E30" t="n">
        <v>2.98</v>
      </c>
      <c r="F30" t="n">
        <v>94.59999999999999</v>
      </c>
      <c r="G30" t="n">
        <v>282</v>
      </c>
    </row>
    <row r="31">
      <c r="A31" s="2" t="n">
        <v>46184</v>
      </c>
      <c r="B31" t="inlineStr">
        <is>
          <t>MSFT(US5949181045) Cash Dividend USD 0.91 per Share (Ordinary Dividend)</t>
        </is>
      </c>
      <c r="C31" t="inlineStr">
        <is>
          <t>USD</t>
        </is>
      </c>
      <c r="D31" t="n">
        <v>2.73</v>
      </c>
      <c r="E31" t="n">
        <v>2.73</v>
      </c>
      <c r="F31" t="n">
        <v>94.59999999999999</v>
      </c>
      <c r="G31" t="n">
        <v>258</v>
      </c>
    </row>
    <row r="32">
      <c r="A32" s="2" t="n">
        <v>46184</v>
      </c>
      <c r="B32" t="inlineStr">
        <is>
          <t>RTX(US75513E1010) Cash Dividend USD 0.73 per Share (Ordinary Dividend)</t>
        </is>
      </c>
      <c r="C32" t="inlineStr">
        <is>
          <t>USD</t>
        </is>
      </c>
      <c r="D32" t="n">
        <v>3.65</v>
      </c>
      <c r="E32" t="n">
        <v>3.65</v>
      </c>
      <c r="F32" t="n">
        <v>94.59999999999999</v>
      </c>
      <c r="G32" t="n">
        <v>345</v>
      </c>
    </row>
    <row r="33">
      <c r="A33" s="2" t="n">
        <v>46191</v>
      </c>
      <c r="B33" t="inlineStr">
        <is>
          <t>MCHI(US46429B6719) Cash Dividend USD 0.361295 per Share (Ordinary Dividend)</t>
        </is>
      </c>
      <c r="C33" t="inlineStr">
        <is>
          <t>USD</t>
        </is>
      </c>
      <c r="D33" t="n">
        <v>4.34</v>
      </c>
      <c r="E33" t="n">
        <v>4.34</v>
      </c>
      <c r="F33" t="n">
        <v>94.59999999999999</v>
      </c>
      <c r="G33" t="n">
        <v>411</v>
      </c>
    </row>
    <row r="34">
      <c r="A34" s="2" t="n">
        <v>46198</v>
      </c>
      <c r="B34" t="inlineStr">
        <is>
          <t>META(US30303M1027) Cash Dividend USD 0.525 per Share (Ordinary Dividend)</t>
        </is>
      </c>
      <c r="C34" t="inlineStr">
        <is>
          <t>USD</t>
        </is>
      </c>
      <c r="D34" t="n">
        <v>1.05</v>
      </c>
      <c r="E34" t="n">
        <v>1.05</v>
      </c>
      <c r="F34" t="n">
        <v>94.59999999999999</v>
      </c>
      <c r="G34" t="n">
        <v>99</v>
      </c>
    </row>
    <row r="35">
      <c r="A35" s="2" t="n">
        <v>46199</v>
      </c>
      <c r="B35" t="inlineStr">
        <is>
          <t>BAC(US0605051046) Cash Dividend USD 0.28 per Share (Ordinary Dividend)</t>
        </is>
      </c>
      <c r="C35" t="inlineStr">
        <is>
          <t>USD</t>
        </is>
      </c>
      <c r="D35" t="n">
        <v>3.92</v>
      </c>
      <c r="E35" t="n">
        <v>3.92</v>
      </c>
      <c r="F35" t="n">
        <v>94.59999999999999</v>
      </c>
      <c r="G35" t="n">
        <v>371</v>
      </c>
    </row>
    <row r="36">
      <c r="A36" s="2" t="n">
        <v>46210</v>
      </c>
      <c r="B36" t="inlineStr">
        <is>
          <t>COPX(US37954Y8306) Cash Dividend USD 0.257976 per Share (Ordinary Dividend)</t>
        </is>
      </c>
      <c r="C36" t="inlineStr">
        <is>
          <t>USD</t>
        </is>
      </c>
      <c r="D36" t="n">
        <v>3.1</v>
      </c>
      <c r="E36" t="n">
        <v>3.1</v>
      </c>
      <c r="F36" t="n">
        <v>93.95</v>
      </c>
      <c r="G36" t="n">
        <v>291</v>
      </c>
    </row>
    <row r="37">
      <c r="A37" s="2" t="n">
        <v>46210</v>
      </c>
      <c r="B37" t="inlineStr">
        <is>
          <t>TIP(US4642871762) Cash Dividend USD 1.058023 per Share (Ordinary Dividend)</t>
        </is>
      </c>
      <c r="C37" t="inlineStr">
        <is>
          <t>USD</t>
        </is>
      </c>
      <c r="D37" t="n">
        <v>12.7</v>
      </c>
      <c r="E37" t="n">
        <v>12.7</v>
      </c>
      <c r="F37" t="n">
        <v>93.95</v>
      </c>
      <c r="G37" t="n">
        <v>1193</v>
      </c>
    </row>
    <row r="38">
      <c r="A38" s="2" t="n">
        <v>46212</v>
      </c>
      <c r="B38" t="inlineStr">
        <is>
          <t>TSM(US8740391003) Cash Dividend USD 0.939325 per Share (Ordinary Div - NRA Withholding Exempt)</t>
        </is>
      </c>
      <c r="C38" t="inlineStr">
        <is>
          <t>USD</t>
        </is>
      </c>
      <c r="D38" t="n">
        <v>2.82</v>
      </c>
      <c r="E38" t="n">
        <v>2.82</v>
      </c>
      <c r="F38" t="n">
        <v>93.95</v>
      </c>
      <c r="G38" t="n">
        <v>265</v>
      </c>
    </row>
    <row r="39">
      <c r="A39" s="2" t="n">
        <v>46230</v>
      </c>
      <c r="B39" t="inlineStr">
        <is>
          <t>GE(US3696043013) Cash Dividend USD 0.47 per Share (Ordinary Dividend)</t>
        </is>
      </c>
      <c r="C39" t="inlineStr">
        <is>
          <t>USD</t>
        </is>
      </c>
      <c r="D39" t="n">
        <v>2.82</v>
      </c>
      <c r="E39" t="n">
        <v>2.82</v>
      </c>
      <c r="F39" t="n">
        <v>93.95</v>
      </c>
      <c r="G39" t="n">
        <v>265</v>
      </c>
    </row>
    <row r="40">
      <c r="A40" s="2" t="n">
        <v>46240</v>
      </c>
      <c r="B40" t="inlineStr">
        <is>
          <t>TIP(US4642871762) Cash Dividend USD 0.784384 per Share (Ordinary Dividend)</t>
        </is>
      </c>
      <c r="C40" t="inlineStr">
        <is>
          <t>USD</t>
        </is>
      </c>
      <c r="D40" t="n">
        <v>9.41</v>
      </c>
      <c r="E40" t="n">
        <v>9.41</v>
      </c>
      <c r="F40" t="n">
        <v>95.2</v>
      </c>
      <c r="G40" t="n">
        <v>896</v>
      </c>
    </row>
    <row r="41">
      <c r="A41" s="2" t="n">
        <v>46241</v>
      </c>
      <c r="B41" t="inlineStr">
        <is>
          <t>GD(US3695501086) Cash Dividend USD 1.59 per Share (Ordinary Dividend)</t>
        </is>
      </c>
      <c r="C41" t="inlineStr">
        <is>
          <t>USD</t>
        </is>
      </c>
      <c r="D41" t="n">
        <v>3.18</v>
      </c>
      <c r="E41" t="n">
        <v>3.18</v>
      </c>
      <c r="F41" t="n">
        <v>95.2</v>
      </c>
      <c r="G41" t="n">
        <v>303</v>
      </c>
    </row>
    <row r="42">
      <c r="A42" s="2" t="n">
        <v>46244</v>
      </c>
      <c r="B42" t="inlineStr">
        <is>
          <t>AXP(US0258161092) Cash Dividend USD 0.95 per Share (Ordinary Dividend)</t>
        </is>
      </c>
      <c r="C42" t="inlineStr">
        <is>
          <t>USD</t>
        </is>
      </c>
      <c r="D42" t="n">
        <v>3.8</v>
      </c>
      <c r="E42" t="n">
        <v>3.8</v>
      </c>
      <c r="F42" t="n">
        <v>95.2</v>
      </c>
      <c r="G42" t="n">
        <v>362</v>
      </c>
    </row>
    <row r="43">
      <c r="A43" s="2" t="n">
        <v>46244</v>
      </c>
      <c r="B43" t="inlineStr">
        <is>
          <t>BX(US09260D1072) Cash Dividend USD 1.29 per Share (Ordinary Dividend)</t>
        </is>
      </c>
      <c r="C43" t="inlineStr">
        <is>
          <t>USD</t>
        </is>
      </c>
      <c r="D43" t="n">
        <v>15.48</v>
      </c>
      <c r="E43" t="n">
        <v>15.48</v>
      </c>
      <c r="F43" t="n">
        <v>95.2</v>
      </c>
      <c r="G43" t="n">
        <v>1474</v>
      </c>
    </row>
    <row r="44">
      <c r="A44" s="2" t="n">
        <v>46253</v>
      </c>
      <c r="B44" t="inlineStr">
        <is>
          <t>CAT(US1491231015) Cash Dividend USD 1.63 per Share (Ordinary Dividend)</t>
        </is>
      </c>
      <c r="C44" t="inlineStr">
        <is>
          <t>USD</t>
        </is>
      </c>
      <c r="D44" t="n">
        <v>4.89</v>
      </c>
      <c r="E44" t="n">
        <v>4.89</v>
      </c>
      <c r="F44" t="n">
        <v>95.2</v>
      </c>
      <c r="G44" t="n">
        <v>466</v>
      </c>
    </row>
    <row r="45">
      <c r="A45" s="2" t="n">
        <v>46266</v>
      </c>
      <c r="B45" t="inlineStr">
        <is>
          <t>TGT(US87612E1064) Cash Dividend USD 1.16 per Share (Ordinary Dividend)</t>
        </is>
      </c>
      <c r="C45" t="inlineStr">
        <is>
          <t>USD</t>
        </is>
      </c>
      <c r="D45" t="n">
        <v>23.2</v>
      </c>
      <c r="E45" t="n">
        <v>23.2</v>
      </c>
      <c r="F45" t="n">
        <v>95</v>
      </c>
      <c r="G45" t="n">
        <v>2204</v>
      </c>
    </row>
    <row r="46">
      <c r="A46" s="2" t="n">
        <v>46266</v>
      </c>
      <c r="B46" t="inlineStr">
        <is>
          <t>V(US92826C8394) Cash Dividend USD 0.67 per Share (Ordinary Dividend)</t>
        </is>
      </c>
      <c r="C46" t="inlineStr">
        <is>
          <t>USD</t>
        </is>
      </c>
      <c r="D46" t="n">
        <v>2.01</v>
      </c>
      <c r="E46" t="n">
        <v>2.01</v>
      </c>
      <c r="F46" t="n">
        <v>95</v>
      </c>
      <c r="G46" t="n">
        <v>191</v>
      </c>
    </row>
    <row r="47">
      <c r="A47" s="2" t="n">
        <v>46268</v>
      </c>
      <c r="B47" t="inlineStr">
        <is>
          <t>RTX(US75513E1010) Cash Dividend USD 0.73 per Share (Ordinary Dividend)</t>
        </is>
      </c>
      <c r="C47" t="inlineStr">
        <is>
          <t>USD</t>
        </is>
      </c>
      <c r="D47" t="n">
        <v>3.65</v>
      </c>
      <c r="E47" t="n">
        <v>3.65</v>
      </c>
      <c r="F47" t="n">
        <v>95</v>
      </c>
      <c r="G47" t="n">
        <v>347</v>
      </c>
    </row>
    <row r="48">
      <c r="B48" t="inlineStr">
        <is>
          <t>TOTAL DIVIDENDS</t>
        </is>
      </c>
      <c r="E48" t="n">
        <v>384.55</v>
      </c>
      <c r="G48" t="n">
        <v>36297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2026-09-10T12:34:05Z</dcterms:created>
  <dcterms:modified xsi:type="dcterms:W3CDTF">2026-09-10T12:34:06Z</dcterms:modified>
</cp:coreProperties>
</file>