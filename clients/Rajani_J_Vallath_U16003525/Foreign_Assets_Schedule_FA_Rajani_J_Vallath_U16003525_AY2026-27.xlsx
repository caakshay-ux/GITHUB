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  <sheet name="Capital Gains FY2026-27" sheetId="14" state="visible" r:id="rId14"/>
    <sheet name="Schedule OS - FY20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A4:C33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>
      <c r="A27" s="2" t="n">
        <v>46142</v>
      </c>
      <c r="B27" s="3" t="n">
        <v>94.8</v>
      </c>
      <c r="C27" s="3" t="n">
        <v>109.7</v>
      </c>
      <c r="D27" t="inlineStr">
        <is>
          <t>Month-end card — replace with exact SBI card rate if different</t>
        </is>
      </c>
    </row>
    <row r="28">
      <c r="A28" s="2" t="n">
        <v>46172</v>
      </c>
      <c r="B28" s="3" t="n">
        <v>94.59999999999999</v>
      </c>
      <c r="C28" s="3" t="n">
        <v>109.4</v>
      </c>
      <c r="D28" t="inlineStr">
        <is>
          <t>Month-end card — replace with exact SBI card rate if different</t>
        </is>
      </c>
    </row>
    <row r="29">
      <c r="A29" s="2" t="n">
        <v>46173</v>
      </c>
      <c r="B29" s="3" t="n">
        <v>94.59999999999999</v>
      </c>
      <c r="C29" s="3" t="n">
        <v>109.4</v>
      </c>
      <c r="D29" t="inlineStr">
        <is>
          <t>Month-end card — replace with exact SBI card rate if different</t>
        </is>
      </c>
    </row>
    <row r="30">
      <c r="A30" s="2" t="n">
        <v>46202</v>
      </c>
      <c r="B30" s="3" t="n">
        <v>93.95</v>
      </c>
      <c r="C30" s="3" t="n">
        <v>106.2</v>
      </c>
      <c r="D30" t="inlineStr">
        <is>
          <t>Month-end card — replace with exact SBI card rate if different</t>
        </is>
      </c>
    </row>
    <row r="31">
      <c r="A31" s="2" t="n">
        <v>46203</v>
      </c>
      <c r="B31" s="3" t="n">
        <v>93.95</v>
      </c>
      <c r="C31" s="3" t="n">
        <v>106.2</v>
      </c>
      <c r="D31" t="inlineStr">
        <is>
          <t>Month-end card — replace with exact SBI card rate if different</t>
        </is>
      </c>
    </row>
    <row r="32">
      <c r="A32" s="2" t="n">
        <v>46234</v>
      </c>
      <c r="B32" s="3" t="n">
        <v>95.2</v>
      </c>
      <c r="C32" s="3" t="n">
        <v>106.2</v>
      </c>
      <c r="D32" t="inlineStr">
        <is>
          <t>Month-end card — replace with exact SBI card rate if different</t>
        </is>
      </c>
    </row>
    <row r="33">
      <c r="A33" s="2" t="n">
        <v>46265</v>
      </c>
      <c r="B33" s="3" t="n">
        <v>95</v>
      </c>
      <c r="C33" s="3" t="n">
        <v>106.2</v>
      </c>
      <c r="D33" t="inlineStr">
        <is>
          <t>Month-end card — replace with exact SBI card rate if different</t>
        </is>
      </c>
    </row>
    <row r="35">
      <c r="A35" t="inlineStr">
        <is>
          <t>FCY→USD cross rates (IBKR 31-Dec-2025 close — edit if using trade-date FX)</t>
        </is>
      </c>
    </row>
    <row r="36">
      <c r="A36" s="1" t="inlineStr">
        <is>
          <t>Currency</t>
        </is>
      </c>
      <c r="B36" s="1" t="inlineStr">
        <is>
          <t>Units per 1 FCY → USD</t>
        </is>
      </c>
    </row>
    <row r="37">
      <c r="A37" t="inlineStr">
        <is>
          <t>CHF</t>
        </is>
      </c>
      <c r="B37" s="3" t="n">
        <v>1.2615</v>
      </c>
    </row>
    <row r="38">
      <c r="A38" t="inlineStr">
        <is>
          <t>CNH</t>
        </is>
      </c>
      <c r="B38" s="3" t="n">
        <v>0.14905</v>
      </c>
    </row>
    <row r="39">
      <c r="A39" t="inlineStr">
        <is>
          <t>CNY</t>
        </is>
      </c>
      <c r="B39" s="3" t="n">
        <v>0.14905</v>
      </c>
    </row>
    <row r="40">
      <c r="A40" t="inlineStr">
        <is>
          <t>DKK</t>
        </is>
      </c>
      <c r="B40" s="3" t="n">
        <v>0.15726</v>
      </c>
    </row>
    <row r="41">
      <c r="A41" t="inlineStr">
        <is>
          <t>EUR</t>
        </is>
      </c>
      <c r="B41" s="3" t="n">
        <v>1.1746</v>
      </c>
    </row>
    <row r="42">
      <c r="A42" t="inlineStr">
        <is>
          <t>GBP</t>
        </is>
      </c>
      <c r="B42" s="3" t="n">
        <v>1.342</v>
      </c>
    </row>
    <row r="43">
      <c r="A43" t="inlineStr">
        <is>
          <t>HKD</t>
        </is>
      </c>
      <c r="B43" s="3" t="n">
        <v>0.12849</v>
      </c>
    </row>
    <row r="44">
      <c r="A44" t="inlineStr">
        <is>
          <t>JPY</t>
        </is>
      </c>
      <c r="B44" s="3" t="n">
        <v>0.0063827</v>
      </c>
    </row>
    <row r="45">
      <c r="A45" t="inlineStr">
        <is>
          <t>SGD</t>
        </is>
      </c>
      <c r="B45" s="3" t="n">
        <v>0.7776049766718507</v>
      </c>
    </row>
    <row r="46">
      <c r="A46" t="inlineStr">
        <is>
          <t>TWD</t>
        </is>
      </c>
      <c r="B46" s="3" t="n">
        <v>0.031725</v>
      </c>
    </row>
    <row r="47">
      <c r="A47" t="inlineStr">
        <is>
          <t>USD</t>
        </is>
      </c>
      <c r="B47" s="3" t="n">
        <v>1</v>
      </c>
    </row>
    <row r="49">
      <c r="A49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37" customWidth="1" min="4" max="4"/>
    <col width="10" customWidth="1" min="5" max="5"/>
    <col width="39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AVGO</t>
        </is>
      </c>
      <c r="D5" t="inlineStr">
        <is>
          <t>3421 Hillview Avenue, Palo Alto, CA</t>
        </is>
      </c>
      <c r="E5" t="inlineStr">
        <is>
          <t>94304</t>
        </is>
      </c>
      <c r="F5" t="inlineStr">
        <is>
          <t>Listed Foreign Equity Share (Company)</t>
        </is>
      </c>
      <c r="G5" t="inlineStr">
        <is>
          <t>2025-12-18</t>
        </is>
      </c>
      <c r="H5" t="n">
        <v>1395892</v>
      </c>
      <c r="I5" t="n">
        <v>7292252</v>
      </c>
      <c r="J5" t="n">
        <v>7292252</v>
      </c>
      <c r="K5" t="n">
        <v>14454</v>
      </c>
      <c r="L5" t="n">
        <v>0</v>
      </c>
    </row>
    <row r="7">
      <c r="G7" t="inlineStr">
        <is>
          <t>TOTAL (Rs.)</t>
        </is>
      </c>
      <c r="H7" s="4" t="n">
        <v>1395892</v>
      </c>
      <c r="I7" s="4" t="n">
        <v>7292252</v>
      </c>
      <c r="J7" s="4" t="n">
        <v>7292252</v>
      </c>
      <c r="K7" s="4" t="n">
        <v>14454</v>
      </c>
      <c r="L7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14" customWidth="1" min="5" max="5"/>
    <col width="39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AVGO</t>
        </is>
      </c>
      <c r="E2" t="inlineStr">
        <is>
          <t>Broadcom Inc</t>
        </is>
      </c>
      <c r="F2" t="inlineStr">
        <is>
          <t>Listed Foreign Equity Share (Company)</t>
        </is>
      </c>
      <c r="G2" t="n">
        <v>250</v>
      </c>
      <c r="H2" t="inlineStr">
        <is>
          <t>2025-12-18</t>
        </is>
      </c>
      <c r="I2" t="n">
        <v>15693</v>
      </c>
      <c r="J2" t="n">
        <v>81505</v>
      </c>
      <c r="K2" t="n">
        <v>81505</v>
      </c>
      <c r="L2" t="n">
        <v>162.5</v>
      </c>
      <c r="M2" t="n">
        <v>0</v>
      </c>
    </row>
    <row r="3">
      <c r="H3" t="inlineStr">
        <is>
          <t>TOTAL (USD)</t>
        </is>
      </c>
      <c r="I3" t="n">
        <v>15693</v>
      </c>
      <c r="J3" t="n">
        <v>81505</v>
      </c>
      <c r="K3" t="n">
        <v>81505</v>
      </c>
      <c r="L3" t="n">
        <v>162.5</v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4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U16003525</t>
        </is>
      </c>
      <c r="G3" t="inlineStr">
        <is>
          <t>Owner - Sole beneficial owner</t>
        </is>
      </c>
      <c r="H3" t="inlineStr">
        <is>
          <t>2025-11-18 (first USD EFT USD 1)</t>
        </is>
      </c>
    </row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81505</v>
      </c>
      <c r="B6" t="n">
        <v>7292252</v>
      </c>
      <c r="C6" t="n">
        <v>81505</v>
      </c>
      <c r="D6" t="n">
        <v>7292252</v>
      </c>
      <c r="E6" t="n">
        <v>0</v>
      </c>
      <c r="F6" t="n">
        <v>0</v>
      </c>
      <c r="G6" t="n">
        <v>162.5</v>
      </c>
      <c r="H6" t="n">
        <v>14454</v>
      </c>
    </row>
    <row r="8">
      <c r="A8" t="inlineStr">
        <is>
          <t>NOTES:</t>
        </is>
      </c>
    </row>
    <row r="9">
      <c r="A9" t="inlineStr">
        <is>
          <t>Account: IBKR U16003525 — Rajani J Vallath (Individual, USD base, Cash).</t>
        </is>
      </c>
    </row>
    <row r="10">
      <c r="A10" t="inlineStr">
        <is>
          <t>Starting NAV 01-Jan-2025: USD 0.00; Ending NAV 31-Dec-2025: USD 81,505.00.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1.00 (2025-11-18: 1.0 USD).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A7" s="2" t="n">
        <v>46022</v>
      </c>
      <c r="B7" t="inlineStr">
        <is>
          <t>AVGO(US11135F1012) Cash Dividend USD 0.65 per Share (Ordinary Dividend)</t>
        </is>
      </c>
      <c r="C7" t="inlineStr">
        <is>
          <t>USD</t>
        </is>
      </c>
      <c r="D7" t="n">
        <v>162.5</v>
      </c>
      <c r="E7" t="n">
        <v>162.5</v>
      </c>
      <c r="F7" t="n">
        <v>88.95</v>
      </c>
      <c r="G7" t="n">
        <v>14454</v>
      </c>
    </row>
    <row r="8">
      <c r="B8" t="inlineStr">
        <is>
          <t>TOTAL DIVIDENDS</t>
        </is>
      </c>
      <c r="E8" t="n">
        <v>162.5</v>
      </c>
      <c r="G8" t="n">
        <v>14454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A7" s="2" t="n">
        <v>46022</v>
      </c>
      <c r="B7" t="inlineStr">
        <is>
          <t>AVGO(US11135F1012) Cash Dividend USD 0.65 per Share (Ordinary Dividend)</t>
        </is>
      </c>
      <c r="C7" t="inlineStr">
        <is>
          <t>USD</t>
        </is>
      </c>
      <c r="D7" t="n">
        <v>162.5</v>
      </c>
      <c r="E7" t="n">
        <v>162.5</v>
      </c>
      <c r="F7" t="n">
        <v>88.95</v>
      </c>
      <c r="G7" t="n">
        <v>14454</v>
      </c>
    </row>
    <row r="8">
      <c r="A8" s="2" t="n">
        <v>46112</v>
      </c>
      <c r="B8" t="inlineStr">
        <is>
          <t>AVGO(US11135F1012) Cash Dividend USD 0.65 per Share (Ordinary Dividend)</t>
        </is>
      </c>
      <c r="C8" t="inlineStr">
        <is>
          <t>USD</t>
        </is>
      </c>
      <c r="D8" t="n">
        <v>40.95</v>
      </c>
      <c r="E8" t="n">
        <v>40.95</v>
      </c>
      <c r="F8" t="n">
        <v>90.56</v>
      </c>
      <c r="G8" t="n">
        <v>3708</v>
      </c>
    </row>
    <row r="9">
      <c r="B9" t="inlineStr">
        <is>
          <t>TOTAL DIVIDENDS</t>
        </is>
      </c>
      <c r="E9" t="n">
        <v>203.45</v>
      </c>
      <c r="G9" t="n">
        <v>18163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46022</v>
      </c>
      <c r="C3" t="inlineStr">
        <is>
          <t>AVGO(US11135F1012) Cash Dividend USD 0.65 per Share - US Tax</t>
        </is>
      </c>
      <c r="D3" t="inlineStr">
        <is>
          <t>USD</t>
        </is>
      </c>
      <c r="E3" t="n">
        <v>-40.63</v>
      </c>
      <c r="F3" t="n">
        <v>-40.63</v>
      </c>
      <c r="G3" t="n">
        <v>88.95</v>
      </c>
      <c r="H3" t="n">
        <v>-3614</v>
      </c>
    </row>
    <row r="4">
      <c r="A4" t="inlineStr">
        <is>
          <t>FY2025-26</t>
        </is>
      </c>
      <c r="B4" s="2" t="n">
        <v>46022</v>
      </c>
      <c r="C4" t="inlineStr">
        <is>
          <t>AVGO(US11135F1012) Cash Dividend USD 0.65 per Share - US Tax</t>
        </is>
      </c>
      <c r="D4" t="inlineStr">
        <is>
          <t>USD</t>
        </is>
      </c>
      <c r="E4" t="n">
        <v>-40.63</v>
      </c>
      <c r="F4" t="n">
        <v>-40.63</v>
      </c>
      <c r="G4" t="n">
        <v>88.95</v>
      </c>
      <c r="H4" t="n">
        <v>-3614</v>
      </c>
    </row>
    <row r="5">
      <c r="A5" t="inlineStr">
        <is>
          <t>FY2025-26</t>
        </is>
      </c>
      <c r="B5" s="2" t="n">
        <v>46112</v>
      </c>
      <c r="C5" t="inlineStr">
        <is>
          <t>AVGO(US11135F1012) Cash Dividend USD 0.65 per Share - US Tax</t>
        </is>
      </c>
      <c r="D5" t="inlineStr">
        <is>
          <t>USD</t>
        </is>
      </c>
      <c r="E5" t="n">
        <v>-10.24</v>
      </c>
      <c r="F5" t="n">
        <v>-10.24</v>
      </c>
      <c r="G5" t="n">
        <v>90.56</v>
      </c>
      <c r="H5" t="n">
        <v>-927</v>
      </c>
    </row>
    <row r="6">
      <c r="A6" t="inlineStr">
        <is>
          <t>FY2026-27 YTD</t>
        </is>
      </c>
      <c r="B6" s="2" t="n">
        <v>46202</v>
      </c>
      <c r="C6" t="inlineStr">
        <is>
          <t>SCHD(US8085247976) Cash Dividend USD 0.2525 per Share - US Tax</t>
        </is>
      </c>
      <c r="D6" t="inlineStr">
        <is>
          <t>USD</t>
        </is>
      </c>
      <c r="E6" t="n">
        <v>-18.94</v>
      </c>
      <c r="F6" t="n">
        <v>-18.94</v>
      </c>
      <c r="G6" t="n">
        <v>94.59999999999999</v>
      </c>
      <c r="H6" t="n">
        <v>-1792</v>
      </c>
    </row>
    <row r="7">
      <c r="A7" t="inlineStr">
        <is>
          <t>FY2026-27 YTD</t>
        </is>
      </c>
      <c r="B7" s="2" t="n">
        <v>46203</v>
      </c>
      <c r="C7" t="inlineStr">
        <is>
          <t>AVGO(US11135F1012) Cash Dividend USD 0.65 per Share - US Tax</t>
        </is>
      </c>
      <c r="D7" t="inlineStr">
        <is>
          <t>USD</t>
        </is>
      </c>
      <c r="E7" t="n">
        <v>-30.39</v>
      </c>
      <c r="F7" t="n">
        <v>-30.39</v>
      </c>
      <c r="G7" t="n">
        <v>94.59999999999999</v>
      </c>
      <c r="H7" t="n">
        <v>-2875</v>
      </c>
    </row>
    <row r="8">
      <c r="A8" t="inlineStr">
        <is>
          <t>FY2026-27 YTD</t>
        </is>
      </c>
      <c r="B8" s="2" t="n">
        <v>46203</v>
      </c>
      <c r="C8" t="inlineStr">
        <is>
          <t>VOO(US9229083632) Cash Dividend USD 1.9622 per Share - US Tax</t>
        </is>
      </c>
      <c r="D8" t="inlineStr">
        <is>
          <t>USD</t>
        </is>
      </c>
      <c r="E8" t="n">
        <v>-8.83</v>
      </c>
      <c r="F8" t="n">
        <v>-8.83</v>
      </c>
      <c r="G8" t="n">
        <v>94.59999999999999</v>
      </c>
      <c r="H8" t="n">
        <v>-835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AVGO</t>
        </is>
      </c>
      <c r="B5" t="inlineStr">
        <is>
          <t>USD</t>
        </is>
      </c>
      <c r="C5" t="n">
        <v>7</v>
      </c>
      <c r="D5" s="2" t="n">
        <v>46009</v>
      </c>
      <c r="E5" s="2" t="n">
        <v>46101</v>
      </c>
      <c r="F5">
        <f>E5-D5</f>
        <v/>
      </c>
      <c r="G5">
        <f>IF(F5&gt;730,"LTCG","STCG")</f>
        <v/>
      </c>
      <c r="H5" s="3" t="n">
        <v>2229.08</v>
      </c>
      <c r="I5" s="3" t="n">
        <v>439.4</v>
      </c>
      <c r="J5" s="3" t="n">
        <v>1</v>
      </c>
      <c r="K5" s="3" t="n">
        <v>1</v>
      </c>
      <c r="L5">
        <f>H5*K5</f>
        <v/>
      </c>
      <c r="M5">
        <f>I5*K5</f>
        <v/>
      </c>
      <c r="N5" s="3" t="n">
        <v>90.56</v>
      </c>
      <c r="O5" s="3" t="n">
        <v>88.95</v>
      </c>
      <c r="P5" s="3" t="n">
        <v>90.56</v>
      </c>
      <c r="Q5">
        <f>L5*N5</f>
        <v/>
      </c>
      <c r="R5">
        <f>J5*P5</f>
        <v/>
      </c>
      <c r="S5">
        <f>M5*O5</f>
        <v/>
      </c>
      <c r="T5">
        <f>Q5-R5-S5</f>
        <v/>
      </c>
    </row>
    <row r="7">
      <c r="G7" s="4" t="inlineStr">
        <is>
          <t>TOTAL STCG (INR)</t>
        </is>
      </c>
      <c r="T7" s="4">
        <f>SUMIF(G5:G5,"STCG",T5:T5)</f>
        <v/>
      </c>
    </row>
    <row r="8">
      <c r="G8" s="4" t="inlineStr">
        <is>
          <t>TOTAL LTCG (INR)</t>
        </is>
      </c>
      <c r="T8" s="4">
        <f>SUMIF(G5:G5,"LTCG",T5:T5)</f>
        <v/>
      </c>
    </row>
    <row r="9">
      <c r="G9" s="4" t="inlineStr">
        <is>
          <t>TOTAL CG (INR)</t>
        </is>
      </c>
      <c r="T9" s="4">
        <f>T7+T8</f>
        <v/>
      </c>
    </row>
    <row r="11">
      <c r="A11" t="inlineStr">
        <is>
          <t>How to reconcile before filing:</t>
        </is>
      </c>
    </row>
    <row r="12">
      <c r="A12" t="inlineStr">
        <is>
          <t>1. Check Sale Proceeds (FCY) / Cost Basis (FCY) vs IBKR trade Proceeds &amp; Basis.</t>
        </is>
      </c>
    </row>
    <row r="13">
      <c r="A13" t="inlineStr">
        <is>
          <t>2. Edit yellow FX cells (N Sale FX, O Cost FX, P Comm USD/INR) to exact SBI TT Buy card rates.</t>
        </is>
      </c>
    </row>
    <row r="14">
      <c r="A14" t="inlineStr">
        <is>
          <t>3. For HKD/JPY, edit FCY→USD (K) if using trade-date FX instead of 31-Dec-2025 IBKR close.</t>
        </is>
      </c>
    </row>
    <row r="15">
      <c r="A15" t="inlineStr">
        <is>
          <t>4. Gain/(Loss) cell formula: =Q-R-S i.e. Sale INR − Comm INR − Cost INR.</t>
        </is>
      </c>
    </row>
    <row r="16">
      <c r="A16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AVGO</t>
        </is>
      </c>
      <c r="B2" t="n">
        <v>162690</v>
      </c>
      <c r="C2" t="n">
        <v>0</v>
      </c>
      <c r="D2" t="n">
        <v>162690</v>
      </c>
      <c r="E2" t="n">
        <v>2229.08</v>
      </c>
      <c r="F2" t="n">
        <v>439.4</v>
      </c>
    </row>
    <row r="4">
      <c r="A4" t="inlineStr">
        <is>
          <t>Note</t>
        </is>
      </c>
      <c r="B4" t="inlineStr">
        <is>
          <t>Detail P&amp;L with editable FX is on 'Capital Gains FY2025-26' (formula-driven). This summary is a static cross-check.</t>
        </is>
      </c>
    </row>
    <row r="6">
      <c r="A6" t="inlineStr">
        <is>
          <t>— FY 2026-27 YTD (to 14-Sep-2026) —</t>
        </is>
      </c>
    </row>
    <row r="7">
      <c r="A7" t="inlineStr">
        <is>
          <t>Symbol</t>
        </is>
      </c>
      <c r="B7" t="inlineStr">
        <is>
          <t>STCG INR</t>
        </is>
      </c>
      <c r="C7" t="inlineStr">
        <is>
          <t>LTCG INR</t>
        </is>
      </c>
      <c r="D7" t="inlineStr">
        <is>
          <t>Total Gain/(Loss) INR</t>
        </is>
      </c>
      <c r="E7" t="inlineStr">
        <is>
          <t>Sale Proceeds USD</t>
        </is>
      </c>
      <c r="F7" t="inlineStr">
        <is>
          <t>Cost USD</t>
        </is>
      </c>
    </row>
    <row r="8">
      <c r="A8" t="inlineStr">
        <is>
          <t>AVGO</t>
        </is>
      </c>
      <c r="B8" t="n">
        <v>1579098</v>
      </c>
      <c r="C8" t="n">
        <v>0</v>
      </c>
      <c r="D8" t="n">
        <v>1579098</v>
      </c>
      <c r="E8" t="n">
        <v>20406.1</v>
      </c>
      <c r="F8" t="n">
        <v>3452.46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Rajani J Vallath (U16003525)</t>
        </is>
      </c>
    </row>
    <row r="2">
      <c r="A2" t="inlineStr">
        <is>
          <t>Assessee</t>
        </is>
      </c>
      <c r="B2" t="inlineStr">
        <is>
          <t>Rajani J Vallath — IBKR U16003525 (Individual) — Advisor: MATCAP WEALTH ADVISORS PRIVATE LIMITED</t>
        </is>
      </c>
    </row>
    <row r="3">
      <c r="A3" t="inlineStr">
        <is>
          <t>Account opening</t>
        </is>
      </c>
      <c r="B3" t="inlineStr">
        <is>
          <t>Funded 18-Nov-2025 with USD 1 EFT. AVGO × 250 received via ACATS In on 18-Dec-2025 (from external account 27960235; carryover cost ~USD 62.772/share; ACATS MV USD 81,505).</t>
        </is>
      </c>
    </row>
    <row r="4">
      <c r="A4" t="inlineStr">
        <is>
          <t>Related Joint account</t>
        </is>
      </c>
      <c r="B4" t="inlineStr">
        <is>
          <t>Internal transfers of AVGO/BNO with U21864112 (Rajani &amp; Sanjeev Joint) — excluded from taxable CG (same beneficial owner / related transfer, code I). See Joint workbook.</t>
        </is>
      </c>
    </row>
    <row r="5">
      <c r="A5" t="inlineStr">
        <is>
          <t>Capital gains FY2025-26</t>
        </is>
      </c>
      <c r="B5" t="inlineStr">
        <is>
          <t>Taxable: sold AVGO × 7 on 20-Mar-2026 (proceeds USD 2,229.08, basis USD 439.40; IBKR realized ~USD 1,788.67 as L/T). FIFO acquisition date in workbook = ACATS In 18-Dec-2025 — IBKR tagged L/T, so original buy date at source account 27960235 likely predates ACATS. Confirm original AVGO acquisition date and edit yellow Acquisition Date on CG before filing.</t>
        </is>
      </c>
    </row>
    <row r="6">
      <c r="A6" t="inlineStr">
        <is>
          <t>Capital gains FY2026-27 YTD</t>
        </is>
      </c>
      <c r="B6" t="inlineStr">
        <is>
          <t>Partial (to 14-Sep-2026): taxable AVGO × 55 on 10-Apr-2026 (proceeds USD 20,406.10, basis USD 3,452.46; IBKR realized ~USD 16,952 as L/T). Acquisition date in workbook = Internal In 02-Apr-2026 from Joint — confirm original buy date for LTCG. Internal Outs to Joint excluded (code I).</t>
        </is>
      </c>
    </row>
    <row r="7">
      <c r="A7" t="inlineStr">
        <is>
          <t>Annual CY2025 / YE marks</t>
        </is>
      </c>
      <c r="B7" t="inlineStr">
        <is>
          <t>No Calendar-Year Annual furnished. CY2025 synthesized. YE2025 AVGO closing proxied from ACATS transfer price (USD 326.02 on 18-Dec-2025). Prefer IBKR Annual / PortfolioAnalyst for filing-quality YE &amp; peak.</t>
        </is>
      </c>
    </row>
    <row r="8">
      <c r="A8" t="inlineStr">
        <is>
          <t>Holdings at 31-Mar-2026</t>
        </is>
      </c>
      <c r="B8" t="inlineStr">
        <is>
          <t>AVGO × 63 (cost USD 3,954.64); BNO × 39 (cost USD 2,030.09)</t>
        </is>
      </c>
    </row>
    <row r="9">
      <c r="A9" t="inlineStr">
        <is>
          <t>Dividends</t>
        </is>
      </c>
      <c r="B9" t="inlineStr">
        <is>
          <t>CY2025: AVGO USD 162.50 (31-Dec-2025). FY2025-26: USD 203.45 total (incl. 40.95 on 31-Mar-2026). FY2026-27 YTD: SCHD/AVGO/VOO dividends (see Schedule OS - FY2026-27).</t>
        </is>
      </c>
    </row>
    <row r="10">
      <c r="A10" t="inlineStr">
        <is>
          <t>Assessee</t>
        </is>
      </c>
      <c r="B10" t="inlineStr">
        <is>
          <t>Rajani J Vallath</t>
        </is>
      </c>
    </row>
    <row r="11">
      <c r="A11" t="inlineStr">
        <is>
          <t>Account</t>
        </is>
      </c>
      <c r="B11" t="inlineStr">
        <is>
          <t>U16003525 — Interactive Brokers LLC (Advisor Client; Advisor: MATCAP WEALTH ADVISORS PRIVATE LIMITED)</t>
        </is>
      </c>
    </row>
    <row r="12">
      <c r="A12" t="inlineStr">
        <is>
          <t>Customer type</t>
        </is>
      </c>
      <c r="B12" t="inlineStr">
        <is>
          <t>Individual</t>
        </is>
      </c>
    </row>
    <row r="13">
      <c r="A13" t="inlineStr">
        <is>
          <t>Base currency</t>
        </is>
      </c>
      <c r="B13" t="inlineStr">
        <is>
          <t>USD</t>
        </is>
      </c>
    </row>
    <row r="14">
      <c r="A14" t="inlineStr">
        <is>
          <t>Account funded</t>
        </is>
      </c>
      <c r="B14" t="inlineStr">
        <is>
          <t>First deposit 2025-11-18 (inception statement)</t>
        </is>
      </c>
    </row>
    <row r="15">
      <c r="A15" t="inlineStr">
        <is>
          <t>Schedule FA period</t>
        </is>
      </c>
      <c r="B15" t="inlineStr">
        <is>
          <t>Calendar Year 2025 (01-Jan-2025 to 31-Dec-2025) — for ITR AY 2026-27</t>
        </is>
      </c>
    </row>
    <row r="16">
      <c r="A16" t="inlineStr">
        <is>
          <t>Income / CG period</t>
        </is>
      </c>
      <c r="B16" t="inlineStr">
        <is>
          <t>FY 2025-26 (01-Apr-2025 to 31-Mar-2026); also FY 2024-25 sheet for prior year</t>
        </is>
      </c>
    </row>
    <row r="17">
      <c r="A17" t="inlineStr">
        <is>
          <t>Source data</t>
        </is>
      </c>
      <c r="B17" t="inlineStr">
        <is>
          <t>IBKR Activity Statements: Inception FY2024-25 + Annual CY2025 + Fiscal FY2025-26</t>
        </is>
      </c>
    </row>
    <row r="18">
      <c r="A18" t="inlineStr">
        <is>
          <t>FIFO method</t>
        </is>
      </c>
      <c r="B18" t="inlineStr">
        <is>
          <t>Actual buy dates &amp; IBKR Basis from inception replay; splits (LRCX 10:1, NFLX 10:1) applied</t>
        </is>
      </c>
    </row>
    <row r="19">
      <c r="A19" t="inlineStr">
        <is>
          <t>CG reconciliation</t>
        </is>
      </c>
      <c r="B19" t="inlineStr">
        <is>
          <t>Sheets 'Capital Gains FY2025-26' / 'FY2024-25' are formula-driven — yellow cells editable; Gain = Sale INR − Comm INR − Cost INR</t>
        </is>
      </c>
    </row>
    <row r="20">
      <c r="A20" t="inlineStr">
        <is>
          <t>FX Lookup</t>
        </is>
      </c>
      <c r="B20" t="inlineStr">
        <is>
          <t>Editable SBI TT USD/INR &amp; EUR/INR month-end rates + FCY→USD cross rates</t>
        </is>
      </c>
    </row>
    <row r="21">
      <c r="A21" t="inlineStr">
        <is>
          <t>Starting NAV CY2025</t>
        </is>
      </c>
      <c r="B21" t="inlineStr">
        <is>
          <t>USD 0.00</t>
        </is>
      </c>
    </row>
    <row r="22">
      <c r="A22" t="inlineStr">
        <is>
          <t>Ending NAV CY2025</t>
        </is>
      </c>
      <c r="B22" t="inlineStr">
        <is>
          <t>USD 81,505.00</t>
        </is>
      </c>
    </row>
    <row r="23">
      <c r="A23" t="inlineStr">
        <is>
          <t>Deposits CY2025</t>
        </is>
      </c>
      <c r="B23" t="inlineStr">
        <is>
          <t>USD 1.00</t>
        </is>
      </c>
    </row>
    <row r="24">
      <c r="A24" t="inlineStr">
        <is>
          <t>Deposits since inception (to 31-Mar-2025)</t>
        </is>
      </c>
      <c r="B24" t="inlineStr">
        <is>
          <t>USD 1.00</t>
        </is>
      </c>
    </row>
    <row r="25">
      <c r="A25" t="inlineStr">
        <is>
          <t>Dividends CY2025</t>
        </is>
      </c>
      <c r="B25" t="inlineStr">
        <is>
          <t>USD 162.50 / INR 14,454 (Rule 115)</t>
        </is>
      </c>
    </row>
    <row r="26">
      <c r="A26" t="inlineStr">
        <is>
          <t>Interest CY2025</t>
        </is>
      </c>
      <c r="B26" t="inlineStr">
        <is>
          <t>USD 0.00 / INR 0 (Rule 115)</t>
        </is>
      </c>
    </row>
    <row r="27">
      <c r="A27" t="inlineStr">
        <is>
          <t>Dividends FY2025-26</t>
        </is>
      </c>
      <c r="B27" t="inlineStr">
        <is>
          <t>USD 203.45 / INR 18,163</t>
        </is>
      </c>
    </row>
    <row r="28">
      <c r="A28" t="inlineStr">
        <is>
          <t>Interest FY2025-26</t>
        </is>
      </c>
      <c r="B28" t="inlineStr">
        <is>
          <t>USD 0.00 / INR 0</t>
        </is>
      </c>
    </row>
    <row r="29">
      <c r="A29" t="inlineStr">
        <is>
          <t>STCG FY2025-26 (INR)</t>
        </is>
      </c>
      <c r="B29" t="inlineStr">
        <is>
          <t>162,690</t>
        </is>
      </c>
    </row>
    <row r="30">
      <c r="A30" t="inlineStr">
        <is>
          <t>LTCG FY2025-26 (INR)</t>
        </is>
      </c>
      <c r="B30" t="inlineStr">
        <is>
          <t>0</t>
        </is>
      </c>
    </row>
    <row r="31">
      <c r="A31" t="inlineStr">
        <is>
          <t>STCG FY2024-25 (INR)</t>
        </is>
      </c>
      <c r="B31" t="inlineStr">
        <is>
          <t>0</t>
        </is>
      </c>
    </row>
    <row r="32">
      <c r="A32" t="inlineStr">
        <is>
          <t>LTCG FY2024-25 (INR)</t>
        </is>
      </c>
      <c r="B32" t="inlineStr">
        <is>
          <t>0</t>
        </is>
      </c>
    </row>
    <row r="33">
      <c r="A33" t="inlineStr">
        <is>
          <t>A1 Foreign Bank/Depository</t>
        </is>
      </c>
      <c r="B33" t="inlineStr">
        <is>
          <t>Generally N/A separately — multi-currency cash sits inside IBKR custodial account (A2)</t>
        </is>
      </c>
    </row>
    <row r="34">
      <c r="A34" t="inlineStr">
        <is>
          <t>A2 Custodial Account</t>
        </is>
      </c>
      <c r="B34" t="inlineStr">
        <is>
          <t>Applicable — see sheet; opening: 2025-11-18 (first USD EFT USD 1)</t>
        </is>
      </c>
    </row>
    <row r="35">
      <c r="A35" t="inlineStr">
        <is>
          <t>A3 Equity &amp; Debt Interest</t>
        </is>
      </c>
      <c r="B35" t="inlineStr">
        <is>
          <t>Applicable — 1 FIFO lot lines (one row per acquisition lot; sold lots match Capital Gains)</t>
        </is>
      </c>
    </row>
    <row r="36">
      <c r="A36" t="inlineStr">
        <is>
          <t>A3 Col C (Name of entity)</t>
        </is>
      </c>
      <c r="B36" t="inlineStr">
        <is>
          <t>Symbol only (e.g. NOVd, AAPL). Legal name / address remain in Address &amp; Nature columns.</t>
        </is>
      </c>
    </row>
    <row r="37">
      <c r="A37" t="inlineStr">
        <is>
          <t>A3 vs CG</t>
        </is>
      </c>
      <c r="B37" t="inlineStr">
        <is>
          <t>Sold lots: A3 Initial = CG Cost (INR), A3 Sale = CG Sale (INR), same Rule 115/EUR FX. Multiple buys (e.g. NOVd 21-Mar &amp; 21-Aug) appear as separate A3 rows.</t>
        </is>
      </c>
    </row>
    <row r="38">
      <c r="A38" t="inlineStr">
        <is>
          <t>ADR country practice</t>
        </is>
      </c>
      <c r="B38" t="inlineStr">
        <is>
          <t>Underlying issuer country used for ADRs/GDRs (ASML NL, BTI UK, TSM TW, BYDDY CN, HYU KR, RIO UK)</t>
        </is>
      </c>
    </row>
    <row r="39">
      <c r="A39" t="inlineStr">
        <is>
          <t>CPNG</t>
        </is>
      </c>
      <c r="B39" t="inlineStr">
        <is>
          <t>USA (Delaware corporation, NYSE) despite Korea operations</t>
        </is>
      </c>
    </row>
    <row r="40">
      <c r="A40" t="inlineStr">
        <is>
          <t>NFLX split</t>
        </is>
      </c>
      <c r="B40" t="inlineStr">
        <is>
          <t>10-for-1 split on 14/17-Nov-2025 reflected in FIFO</t>
        </is>
      </c>
    </row>
    <row r="41">
      <c r="A41" t="inlineStr">
        <is>
          <t>LRCX split</t>
        </is>
      </c>
      <c r="B41" t="inlineStr">
        <is>
          <t>10-for-1 split on 02/03-Oct-2024 reflected in FIFO (bought 1 pre-split → 10)</t>
        </is>
      </c>
    </row>
    <row r="42">
      <c r="A42" t="inlineStr">
        <is>
          <t>HYU</t>
        </is>
      </c>
      <c r="B42" t="inlineStr">
        <is>
          <t>Cash merger acquisition Jul-2025 — sale proceeds USD 1,339.02 reported as redemption proceeds</t>
        </is>
      </c>
    </row>
    <row r="43">
      <c r="A43" t="inlineStr">
        <is>
          <t>Action required</t>
        </is>
      </c>
      <c r="B43" t="inlineStr">
        <is>
          <t>1) Confirm exact SBI TT Buy card rates; 2) Obtain PortfolioAnalyst for true peak NAV; 3) Map withholding to Schedule FSI/TR under DTAA.</t>
        </is>
      </c>
    </row>
    <row r="45">
      <c r="A45" t="inlineStr">
        <is>
          <t>FY 2026-27 YTD (01-Apr-2026 to 14-Sep-2026) — partial statement</t>
        </is>
      </c>
    </row>
    <row r="46">
      <c r="A46" t="inlineStr">
        <is>
          <t>Dividends FY2026-27 YTD</t>
        </is>
      </c>
      <c r="B46" t="inlineStr">
        <is>
          <t>USD 232.62 / INR 22,006</t>
        </is>
      </c>
    </row>
    <row r="47">
      <c r="A47" t="inlineStr">
        <is>
          <t>Interest FY2026-27 YTD</t>
        </is>
      </c>
      <c r="B47" t="inlineStr">
        <is>
          <t>USD 0.09 / INR 9</t>
        </is>
      </c>
    </row>
    <row r="48">
      <c r="A48" t="inlineStr">
        <is>
          <t>STCG FY2026-27 YTD (INR)</t>
        </is>
      </c>
      <c r="B48" t="inlineStr">
        <is>
          <t>1,579,098</t>
        </is>
      </c>
    </row>
    <row r="49">
      <c r="A49" t="inlineStr">
        <is>
          <t>LTCG FY2026-27 YTD (INR)</t>
        </is>
      </c>
      <c r="B49" t="inlineStr">
        <is>
          <t>0</t>
        </is>
      </c>
    </row>
    <row r="50">
      <c r="A50" t="inlineStr">
        <is>
          <t>FY2026-27 coverage</t>
        </is>
      </c>
      <c r="B50" t="inlineStr">
        <is>
          <t>Activity Statement ends 14-Sep-2026 — not full FY. Obtain statement to 31-Mar-2027 for complete year.</t>
        </is>
      </c>
    </row>
    <row r="51">
      <c r="A51" t="inlineStr">
        <is>
          <t>AVGO LTCG clock</t>
        </is>
      </c>
      <c r="B51" t="inlineStr">
        <is>
          <t>IBKR tagged Apr-2026 AVGO sale as L/T — confirm original acquisition date at 27960235 / prior lots; workbook uses Internal In date 02-Apr-2026 → STCG under 730-day test.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2026-27 YTD (01-Apr-2026 to 14-Sep-2026). Partial year — statement ends 14-Sep-2026. FIFO. Yellow cells editable.</t>
        </is>
      </c>
    </row>
    <row r="2">
      <c r="A2" t="inlineStr">
        <is>
          <t>RECONCILIATION SHEET (formula-driven). Gain/(Loss) INR = Sale INR − Comm INR − Cost INR. Holding &gt;730 → LTCG.</t>
        </is>
      </c>
    </row>
    <row r="3">
      <c r="A3" t="inlineStr">
        <is>
          <t>F=E-D | G=IF(F&gt;730,"LTCG","STCG") | L=H*K | M=I*K | Q=L*N | R=J*P | S=M*O | T=Q-R-S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AVGO</t>
        </is>
      </c>
      <c r="B5" t="inlineStr">
        <is>
          <t>USD</t>
        </is>
      </c>
      <c r="C5" t="n">
        <v>55</v>
      </c>
      <c r="D5" s="2" t="n">
        <v>46114</v>
      </c>
      <c r="E5" s="2" t="n">
        <v>46122</v>
      </c>
      <c r="F5">
        <f>E5-D5</f>
        <v/>
      </c>
      <c r="G5">
        <f>IF(F5&gt;730,"LTCG","STCG")</f>
        <v/>
      </c>
      <c r="H5" s="3" t="n">
        <v>20406.1</v>
      </c>
      <c r="I5" s="3" t="n">
        <v>3452.46</v>
      </c>
      <c r="J5" s="3" t="n">
        <v>1.43</v>
      </c>
      <c r="K5" s="3" t="n">
        <v>1</v>
      </c>
      <c r="L5">
        <f>H5*K5</f>
        <v/>
      </c>
      <c r="M5">
        <f>I5*K5</f>
        <v/>
      </c>
      <c r="N5" s="3" t="n">
        <v>93.15000000000001</v>
      </c>
      <c r="O5" s="3" t="n">
        <v>93.15000000000001</v>
      </c>
      <c r="P5" s="3" t="n">
        <v>93.15000000000001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/>
    <row r="7">
      <c r="G7" s="4" t="inlineStr">
        <is>
          <t>TOTAL STCG (INR)</t>
        </is>
      </c>
      <c r="T7" s="4">
        <f>SUMIF(G5:G5,"STCG",T5:T5)</f>
        <v/>
      </c>
    </row>
    <row r="8">
      <c r="G8" s="4" t="inlineStr">
        <is>
          <t>TOTAL LTCG (INR)</t>
        </is>
      </c>
      <c r="T8" s="4">
        <f>SUMIF(G5:G5,"LTCG",T5:T5)</f>
        <v/>
      </c>
    </row>
    <row r="9">
      <c r="G9" s="4" t="inlineStr">
        <is>
          <t>TOTAL CG (INR)</t>
        </is>
      </c>
      <c r="T9" s="4">
        <f>T7+T8</f>
        <v/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FY 2026-27 YTD (01-Apr-2026 to 14-Sep-2026). Partial — full year needs statement through 31-Mar-2027.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46147</v>
      </c>
      <c r="B4" t="inlineStr">
        <is>
          <t>USD Credit Interest for Apr-2026</t>
        </is>
      </c>
      <c r="C4" t="inlineStr">
        <is>
          <t>USD</t>
        </is>
      </c>
      <c r="D4" t="n">
        <v>0.09</v>
      </c>
      <c r="E4" t="n">
        <v>0.09</v>
      </c>
      <c r="F4" t="n">
        <v>94.8</v>
      </c>
      <c r="G4" t="n">
        <v>9</v>
      </c>
    </row>
    <row r="5">
      <c r="B5" t="inlineStr">
        <is>
          <t>TOTAL INTEREST</t>
        </is>
      </c>
      <c r="E5" t="n">
        <v>0.09</v>
      </c>
      <c r="G5" t="n">
        <v>9</v>
      </c>
    </row>
    <row r="6"/>
    <row r="7">
      <c r="A7" t="inlineStr">
        <is>
          <t>— DIVIDENDS —</t>
        </is>
      </c>
    </row>
    <row r="8">
      <c r="A8" s="2" t="n">
        <v>46202</v>
      </c>
      <c r="B8" t="inlineStr">
        <is>
          <t>SCHD(US8085247976) Cash Dividend USD 0.2525 per Share (Ordinary Dividend)</t>
        </is>
      </c>
      <c r="C8" t="inlineStr">
        <is>
          <t>USD</t>
        </is>
      </c>
      <c r="D8" t="n">
        <v>75.75</v>
      </c>
      <c r="E8" t="n">
        <v>75.75</v>
      </c>
      <c r="F8" t="n">
        <v>94.59999999999999</v>
      </c>
      <c r="G8" t="n">
        <v>7166</v>
      </c>
    </row>
    <row r="9">
      <c r="A9" s="2" t="n">
        <v>46203</v>
      </c>
      <c r="B9" t="inlineStr">
        <is>
          <t>AVGO(US11135F1012) Cash Dividend USD 0.65 per Share (Ordinary Dividend)</t>
        </is>
      </c>
      <c r="C9" t="inlineStr">
        <is>
          <t>USD</t>
        </is>
      </c>
      <c r="D9" t="n">
        <v>121.55</v>
      </c>
      <c r="E9" t="n">
        <v>121.55</v>
      </c>
      <c r="F9" t="n">
        <v>94.59999999999999</v>
      </c>
      <c r="G9" t="n">
        <v>11499</v>
      </c>
    </row>
    <row r="10">
      <c r="A10" s="2" t="n">
        <v>46203</v>
      </c>
      <c r="B10" t="inlineStr">
        <is>
          <t>VOO(US9229083632) Cash Dividend USD 1.9622 per Share (Ordinary Dividend)</t>
        </is>
      </c>
      <c r="C10" t="inlineStr">
        <is>
          <t>USD</t>
        </is>
      </c>
      <c r="D10" t="n">
        <v>35.32</v>
      </c>
      <c r="E10" t="n">
        <v>35.32</v>
      </c>
      <c r="F10" t="n">
        <v>94.59999999999999</v>
      </c>
      <c r="G10" t="n">
        <v>3341</v>
      </c>
    </row>
    <row r="11">
      <c r="B11" t="inlineStr">
        <is>
          <t>TOTAL DIVIDENDS</t>
        </is>
      </c>
      <c r="E11" t="n">
        <v>232.62</v>
      </c>
      <c r="G11" t="n">
        <v>22006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2026-09-15T11:41:48Z</dcterms:created>
  <dcterms:modified xsi:type="dcterms:W3CDTF">2026-09-15T11:41:48Z</dcterms:modified>
</cp:coreProperties>
</file>