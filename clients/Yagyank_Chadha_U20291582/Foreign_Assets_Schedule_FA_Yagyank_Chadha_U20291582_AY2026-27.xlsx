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CNH</t>
        </is>
      </c>
      <c r="B38" s="3" t="n">
        <v>0.14905</v>
      </c>
    </row>
    <row r="39">
      <c r="A39" t="inlineStr">
        <is>
          <t>CNY</t>
        </is>
      </c>
      <c r="B39" s="3" t="n">
        <v>0.14905</v>
      </c>
    </row>
    <row r="40">
      <c r="A40" t="inlineStr">
        <is>
          <t>DKK</t>
        </is>
      </c>
      <c r="B40" s="3" t="n">
        <v>0.15726</v>
      </c>
    </row>
    <row r="41">
      <c r="A41" t="inlineStr">
        <is>
          <t>EUR</t>
        </is>
      </c>
      <c r="B41" s="3" t="n">
        <v>1.1746</v>
      </c>
    </row>
    <row r="42">
      <c r="A42" t="inlineStr">
        <is>
          <t>GBP</t>
        </is>
      </c>
      <c r="B42" s="3" t="n">
        <v>1.342</v>
      </c>
    </row>
    <row r="43">
      <c r="A43" t="inlineStr">
        <is>
          <t>HKD</t>
        </is>
      </c>
      <c r="B43" s="3" t="n">
        <v>0.12849</v>
      </c>
    </row>
    <row r="44">
      <c r="A44" t="inlineStr">
        <is>
          <t>JPY</t>
        </is>
      </c>
      <c r="B44" s="3" t="n">
        <v>0.0063827</v>
      </c>
    </row>
    <row r="45">
      <c r="A45" t="inlineStr">
        <is>
          <t>SGD</t>
        </is>
      </c>
      <c r="B45" s="3" t="n">
        <v>0.7776049766718507</v>
      </c>
    </row>
    <row r="46">
      <c r="A46" t="inlineStr">
        <is>
          <t>TWD</t>
        </is>
      </c>
      <c r="B46" s="3" t="n">
        <v>0.031725</v>
      </c>
    </row>
    <row r="47">
      <c r="A47" t="inlineStr">
        <is>
          <t>USD</t>
        </is>
      </c>
      <c r="B47" s="3" t="n">
        <v>1</v>
      </c>
    </row>
    <row r="49">
      <c r="A49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GOOG</t>
        </is>
      </c>
      <c r="D5" t="inlineStr">
        <is>
          <t>1600 Amphitheatre Parkway, Mountain View, CA</t>
        </is>
      </c>
      <c r="E5" t="inlineStr">
        <is>
          <t>94043</t>
        </is>
      </c>
      <c r="F5" t="inlineStr">
        <is>
          <t>Listed Foreign Equity Share (Company)</t>
        </is>
      </c>
      <c r="G5" t="inlineStr">
        <is>
          <t>2025-12-01</t>
        </is>
      </c>
      <c r="H5" t="n">
        <v>2605031</v>
      </c>
      <c r="I5" t="n">
        <v>2947947</v>
      </c>
      <c r="J5" t="n">
        <v>2947947</v>
      </c>
      <c r="K5" t="n">
        <v>1961</v>
      </c>
      <c r="L5" t="n">
        <v>0</v>
      </c>
    </row>
    <row r="6">
      <c r="A6" t="inlineStr">
        <is>
          <t>Luxembourg</t>
        </is>
      </c>
      <c r="B6" t="n">
        <v>127</v>
      </c>
      <c r="C6" t="inlineStr">
        <is>
          <t>LU0099574567</t>
        </is>
      </c>
      <c r="D6" t="inlineStr">
        <is>
          <t>Fidelity Funds SICAV, 2a rue Albert Borschette, Luxembourg</t>
        </is>
      </c>
      <c r="E6" t="inlineStr">
        <is>
          <t>L-1246</t>
        </is>
      </c>
      <c r="F6" t="inlineStr">
        <is>
          <t>Foreign Mutual Fund (Investment Trust / UCITS)</t>
        </is>
      </c>
      <c r="G6" t="inlineStr">
        <is>
          <t>2025-05-23</t>
        </is>
      </c>
      <c r="H6" t="n">
        <v>3251246</v>
      </c>
      <c r="I6" t="n">
        <v>4341592</v>
      </c>
      <c r="J6" t="n">
        <v>4341592</v>
      </c>
      <c r="K6" t="n">
        <v>0</v>
      </c>
      <c r="L6" t="n">
        <v>0</v>
      </c>
    </row>
    <row r="7">
      <c r="A7" t="inlineStr">
        <is>
          <t>Luxembourg</t>
        </is>
      </c>
      <c r="B7" t="n">
        <v>127</v>
      </c>
      <c r="C7" t="inlineStr">
        <is>
          <t>LU0106831901</t>
        </is>
      </c>
      <c r="D7" t="inlineStr">
        <is>
          <t>BlackRock Global Funds, 2-4 rue Eugène Ruppert, Luxembourg</t>
        </is>
      </c>
      <c r="E7" t="inlineStr">
        <is>
          <t>L-2453</t>
        </is>
      </c>
      <c r="F7" t="inlineStr">
        <is>
          <t>Foreign Mutual Fund (Investment Trust / UCITS)</t>
        </is>
      </c>
      <c r="G7" t="inlineStr">
        <is>
          <t>2025-05-23</t>
        </is>
      </c>
      <c r="H7" t="n">
        <v>3273434</v>
      </c>
      <c r="I7" t="n">
        <v>5488408</v>
      </c>
      <c r="J7" t="n">
        <v>5488408</v>
      </c>
      <c r="K7" t="n">
        <v>0</v>
      </c>
      <c r="L7" t="n">
        <v>0</v>
      </c>
    </row>
    <row r="8">
      <c r="A8" t="inlineStr">
        <is>
          <t>Canada</t>
        </is>
      </c>
      <c r="B8" t="n">
        <v>36</v>
      </c>
      <c r="C8" t="inlineStr">
        <is>
          <t>SHOP</t>
        </is>
      </c>
      <c r="D8" t="inlineStr">
        <is>
          <t>151 O'Connor Street, Ground Floor, Ottawa, ON</t>
        </is>
      </c>
      <c r="E8" t="inlineStr">
        <is>
          <t>K2P 2L8</t>
        </is>
      </c>
      <c r="F8" t="inlineStr">
        <is>
          <t>Listed Foreign Equity Share (Company)</t>
        </is>
      </c>
      <c r="G8" t="inlineStr">
        <is>
          <t>2025-05-23</t>
        </is>
      </c>
      <c r="H8" t="n">
        <v>532332</v>
      </c>
      <c r="I8" t="n">
        <v>1209767</v>
      </c>
      <c r="J8" t="n">
        <v>1209767</v>
      </c>
      <c r="K8" t="n">
        <v>0</v>
      </c>
      <c r="L8" t="n">
        <v>0</v>
      </c>
    </row>
    <row r="10">
      <c r="G10" t="inlineStr">
        <is>
          <t>TOTAL (Rs.)</t>
        </is>
      </c>
      <c r="H10" s="4" t="n">
        <v>9662043</v>
      </c>
      <c r="I10" s="4" t="n">
        <v>13987714</v>
      </c>
      <c r="J10" s="4" t="n">
        <v>13987714</v>
      </c>
      <c r="K10" s="4" t="n">
        <v>1961</v>
      </c>
      <c r="L10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GOOG</t>
        </is>
      </c>
      <c r="E2" t="inlineStr">
        <is>
          <t>Alphabet Inc - Class C</t>
        </is>
      </c>
      <c r="F2" t="inlineStr">
        <is>
          <t>Listed Foreign Equity Share (Company)</t>
        </is>
      </c>
      <c r="G2" t="n">
        <v>105</v>
      </c>
      <c r="H2" t="inlineStr">
        <is>
          <t>2025-12-01</t>
        </is>
      </c>
      <c r="I2" t="n">
        <v>29286.46</v>
      </c>
      <c r="J2" t="n">
        <v>32949</v>
      </c>
      <c r="K2" t="n">
        <v>32949</v>
      </c>
      <c r="L2" t="n">
        <v>22.05</v>
      </c>
      <c r="M2" t="n">
        <v>0</v>
      </c>
    </row>
    <row r="3">
      <c r="A3" t="n">
        <v>2</v>
      </c>
      <c r="B3" t="inlineStr">
        <is>
          <t>Luxembourg</t>
        </is>
      </c>
      <c r="C3" t="n">
        <v>127</v>
      </c>
      <c r="D3" t="inlineStr">
        <is>
          <t>LU0099574567</t>
        </is>
      </c>
      <c r="E3" t="inlineStr">
        <is>
          <t>Fidelity Funds - Global Technology Fund A-INC (EUR)</t>
        </is>
      </c>
      <c r="F3" t="inlineStr">
        <is>
          <t>Foreign Mutual Fund (Investment Trust / UCITS)</t>
        </is>
      </c>
      <c r="G3" t="n">
        <v>511.42</v>
      </c>
      <c r="H3" t="inlineStr">
        <is>
          <t>2025-05-23</t>
        </is>
      </c>
      <c r="I3" t="n">
        <v>40211.78</v>
      </c>
      <c r="J3" t="n">
        <v>48525.67</v>
      </c>
      <c r="K3" t="n">
        <v>48525.67</v>
      </c>
      <c r="L3" t="n">
        <v>0</v>
      </c>
      <c r="M3" t="n">
        <v>0</v>
      </c>
    </row>
    <row r="4">
      <c r="A4" t="n">
        <v>3</v>
      </c>
      <c r="B4" t="inlineStr">
        <is>
          <t>Luxembourg</t>
        </is>
      </c>
      <c r="C4" t="n">
        <v>127</v>
      </c>
      <c r="D4" t="inlineStr">
        <is>
          <t>LU0106831901</t>
        </is>
      </c>
      <c r="E4" t="inlineStr">
        <is>
          <t>BGF World Financials Fund A2 Acc (USD)</t>
        </is>
      </c>
      <c r="F4" t="inlineStr">
        <is>
          <t>Foreign Mutual Fund (Investment Trust / UCITS)</t>
        </is>
      </c>
      <c r="G4" t="n">
        <v>792.45</v>
      </c>
      <c r="H4" t="inlineStr">
        <is>
          <t>2025-05-23</t>
        </is>
      </c>
      <c r="I4" t="n">
        <v>38853.82</v>
      </c>
      <c r="J4" t="n">
        <v>61343.55</v>
      </c>
      <c r="K4" t="n">
        <v>61343.55</v>
      </c>
      <c r="L4" t="n">
        <v>0</v>
      </c>
      <c r="M4" t="n">
        <v>0</v>
      </c>
    </row>
    <row r="5">
      <c r="A5" t="n">
        <v>4</v>
      </c>
      <c r="B5" t="inlineStr">
        <is>
          <t>Canada</t>
        </is>
      </c>
      <c r="C5" t="n">
        <v>36</v>
      </c>
      <c r="D5" t="inlineStr">
        <is>
          <t>SHOP</t>
        </is>
      </c>
      <c r="E5" t="inlineStr">
        <is>
          <t>Shopify Inc - Class A</t>
        </is>
      </c>
      <c r="F5" t="inlineStr">
        <is>
          <t>Listed Foreign Equity Share (Company)</t>
        </is>
      </c>
      <c r="G5" t="n">
        <v>84</v>
      </c>
      <c r="H5" t="inlineStr">
        <is>
          <t>2025-05-23</t>
        </is>
      </c>
      <c r="I5" t="n">
        <v>6318.48</v>
      </c>
      <c r="J5" t="n">
        <v>13521.48</v>
      </c>
      <c r="K5" t="n">
        <v>13521.48</v>
      </c>
      <c r="L5" t="n">
        <v>0</v>
      </c>
      <c r="M5" t="n">
        <v>0</v>
      </c>
    </row>
    <row r="6">
      <c r="H6" t="inlineStr">
        <is>
          <t>TOTAL (USD)</t>
        </is>
      </c>
      <c r="I6" t="n">
        <v>114670.54</v>
      </c>
      <c r="J6" t="n">
        <v>156339.7</v>
      </c>
      <c r="K6" t="n">
        <v>156339.7</v>
      </c>
      <c r="L6" t="n">
        <v>22.05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1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U20291582</t>
        </is>
      </c>
      <c r="G3" t="inlineStr">
        <is>
          <t>Owner - Sole beneficial owner</t>
        </is>
      </c>
      <c r="H3" t="inlineStr">
        <is>
          <t>2025-05-23 (Internal In from U15172057)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156356.25</v>
      </c>
      <c r="B6" t="n">
        <v>13989194</v>
      </c>
      <c r="C6" t="n">
        <v>156356.25</v>
      </c>
      <c r="D6" t="n">
        <v>13989194</v>
      </c>
      <c r="E6" t="n">
        <v>0</v>
      </c>
      <c r="F6" t="n">
        <v>0</v>
      </c>
      <c r="G6" t="n">
        <v>22.05</v>
      </c>
      <c r="H6" t="n">
        <v>1961</v>
      </c>
    </row>
    <row r="8">
      <c r="A8" t="inlineStr">
        <is>
          <t>NOTES:</t>
        </is>
      </c>
    </row>
    <row r="9">
      <c r="A9" t="inlineStr">
        <is>
          <t>Account: IBKR U20291582 — Yagyank Chadha (Individual, USD base, Cash).</t>
        </is>
      </c>
    </row>
    <row r="10">
      <c r="A10" t="inlineStr">
        <is>
          <t>Starting NAV 01-Jan-2025: USD 0.00; Ending NAV 31-Dec-2025: USD 156,356.25.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46006</v>
      </c>
      <c r="B7" t="inlineStr">
        <is>
          <t>GOOG(US02079K1079) Cash Dividend USD 0.21 per Share (Ordinary Dividend)</t>
        </is>
      </c>
      <c r="C7" t="inlineStr">
        <is>
          <t>USD</t>
        </is>
      </c>
      <c r="D7" t="n">
        <v>22.05</v>
      </c>
      <c r="E7" t="n">
        <v>22.05</v>
      </c>
      <c r="F7" t="n">
        <v>88.95</v>
      </c>
      <c r="G7" t="n">
        <v>1961</v>
      </c>
    </row>
    <row r="8">
      <c r="B8" t="inlineStr">
        <is>
          <t>TOTAL DIVIDENDS</t>
        </is>
      </c>
      <c r="E8" t="n">
        <v>22.05</v>
      </c>
      <c r="G8" t="n">
        <v>1961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46006</v>
      </c>
      <c r="B7" t="inlineStr">
        <is>
          <t>GOOG(US02079K1079) Cash Dividend USD 0.21 per Share (Ordinary Dividend)</t>
        </is>
      </c>
      <c r="C7" t="inlineStr">
        <is>
          <t>USD</t>
        </is>
      </c>
      <c r="D7" t="n">
        <v>22.05</v>
      </c>
      <c r="E7" t="n">
        <v>22.05</v>
      </c>
      <c r="F7" t="n">
        <v>88.95</v>
      </c>
      <c r="G7" t="n">
        <v>1961</v>
      </c>
    </row>
    <row r="8">
      <c r="A8" s="2" t="n">
        <v>46097</v>
      </c>
      <c r="B8" t="inlineStr">
        <is>
          <t>GOOG(US02079K1079) Cash Dividend USD 0.21 per Share (Ordinary Dividend)</t>
        </is>
      </c>
      <c r="C8" t="inlineStr">
        <is>
          <t>USD</t>
        </is>
      </c>
      <c r="D8" t="n">
        <v>22.05</v>
      </c>
      <c r="E8" t="n">
        <v>22.05</v>
      </c>
      <c r="F8" t="n">
        <v>90.56</v>
      </c>
      <c r="G8" t="n">
        <v>1997</v>
      </c>
    </row>
    <row r="9">
      <c r="B9" t="inlineStr">
        <is>
          <t>TOTAL DIVIDENDS</t>
        </is>
      </c>
      <c r="E9" t="n">
        <v>44.1</v>
      </c>
      <c r="G9" t="n">
        <v>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46006</v>
      </c>
      <c r="C3" t="inlineStr">
        <is>
          <t>GOOG(US02079K1079) Cash Dividend USD 0.21 per Share - US Tax</t>
        </is>
      </c>
      <c r="D3" t="inlineStr">
        <is>
          <t>USD</t>
        </is>
      </c>
      <c r="E3" t="n">
        <v>-5.51</v>
      </c>
      <c r="F3" t="n">
        <v>-5.51</v>
      </c>
      <c r="G3" t="n">
        <v>88.95</v>
      </c>
      <c r="H3" t="n">
        <v>-490</v>
      </c>
    </row>
    <row r="4">
      <c r="A4" t="inlineStr">
        <is>
          <t>FY2025-26</t>
        </is>
      </c>
      <c r="B4" s="2" t="n">
        <v>46006</v>
      </c>
      <c r="C4" t="inlineStr">
        <is>
          <t>GOOG(US02079K1079) Cash Dividend USD 0.21 per Share - US Tax</t>
        </is>
      </c>
      <c r="D4" t="inlineStr">
        <is>
          <t>USD</t>
        </is>
      </c>
      <c r="E4" t="n">
        <v>-5.51</v>
      </c>
      <c r="F4" t="n">
        <v>-5.51</v>
      </c>
      <c r="G4" t="n">
        <v>88.95</v>
      </c>
      <c r="H4" t="n">
        <v>-490</v>
      </c>
    </row>
    <row r="5">
      <c r="A5" t="inlineStr">
        <is>
          <t>FY2025-26</t>
        </is>
      </c>
      <c r="B5" s="2" t="n">
        <v>46097</v>
      </c>
      <c r="C5" t="inlineStr">
        <is>
          <t>GOOG(US02079K1079) Cash Dividend USD 0.21 per Share - US Tax</t>
        </is>
      </c>
      <c r="D5" t="inlineStr">
        <is>
          <t>USD</t>
        </is>
      </c>
      <c r="E5" t="n">
        <v>-5.51</v>
      </c>
      <c r="F5" t="n">
        <v>-5.51</v>
      </c>
      <c r="G5" t="n">
        <v>90.56</v>
      </c>
      <c r="H5" t="n">
        <v>-499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  <row r="5">
      <c r="A5" t="inlineStr">
        <is>
          <t>— FY 2026-27 YTD (to 10-Sep-2026) —</t>
        </is>
      </c>
    </row>
    <row r="6">
      <c r="A6" t="inlineStr">
        <is>
          <t>Symbol</t>
        </is>
      </c>
      <c r="B6" t="inlineStr">
        <is>
          <t>STCG INR</t>
        </is>
      </c>
      <c r="C6" t="inlineStr">
        <is>
          <t>LTCG INR</t>
        </is>
      </c>
      <c r="D6" t="inlineStr">
        <is>
          <t>Total Gain/(Loss) INR</t>
        </is>
      </c>
      <c r="E6" t="inlineStr">
        <is>
          <t>Sale Proceeds USD</t>
        </is>
      </c>
      <c r="F6" t="inlineStr">
        <is>
          <t>Cost USD</t>
        </is>
      </c>
    </row>
    <row r="7">
      <c r="A7" t="inlineStr">
        <is>
          <t>GOOG</t>
        </is>
      </c>
      <c r="B7" t="n">
        <v>1222236</v>
      </c>
      <c r="C7" t="n">
        <v>0</v>
      </c>
      <c r="D7" t="n">
        <v>1222236</v>
      </c>
      <c r="E7" t="n">
        <v>40373.86</v>
      </c>
      <c r="F7" t="n">
        <v>29286.46</v>
      </c>
    </row>
    <row r="8">
      <c r="A8" t="inlineStr">
        <is>
          <t>SHOP</t>
        </is>
      </c>
      <c r="B8" t="n">
        <v>327389</v>
      </c>
      <c r="C8" t="n">
        <v>0</v>
      </c>
      <c r="D8" t="n">
        <v>327389</v>
      </c>
      <c r="E8" t="n">
        <v>6389.5</v>
      </c>
      <c r="F8" t="n">
        <v>3309.68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Yagyank Chadha (U20291582)</t>
        </is>
      </c>
    </row>
    <row r="2">
      <c r="A2" t="inlineStr">
        <is>
          <t>Assessee</t>
        </is>
      </c>
      <c r="B2" t="inlineStr">
        <is>
          <t>Yagyank Chadha (also spelled Chaddha) — IBKR U20291582 (Individual) — Advisor: MATCAP WEALTH ADVISORS PRIVATE LIMITED. Satellite / Chaddha_1 account.</t>
        </is>
      </c>
    </row>
    <row r="3">
      <c r="A3" t="inlineStr">
        <is>
          <t>Source data</t>
        </is>
      </c>
      <c r="B3" t="inlineStr">
        <is>
          <t>Real IBKR Activity Statement FY2025-26 (23-May-2025–31-Mar-2026). FY2026-27 YTD Activity Statement (01-Apr-2026–10-Sep-2026). CY2025 Annual synthesized; YE marks from PortfolioAnalyst CY2025 Open Position Summary.</t>
        </is>
      </c>
    </row>
    <row r="4">
      <c r="A4" t="inlineStr">
        <is>
          <t>Account opening</t>
        </is>
      </c>
      <c r="B4" t="inlineStr">
        <is>
          <t>Opened 23-May-2025 via Internal In from U15172057: SHOP × 84, Fidelity Global Technology LU0099574567 × 511.42, BGF World Financials LU0106831901 × 792.45. FOP/ACATS In GOOG × 105 on 01-Dec-2025. FOP In GOOG × 323 on 08-Sep-2026.</t>
        </is>
      </c>
    </row>
    <row r="5">
      <c r="A5" t="inlineStr">
        <is>
          <t>Related account</t>
        </is>
      </c>
      <c r="B5" t="inlineStr">
        <is>
          <t>Assets transferred in from main trading account U15172057 (same beneficial owner). See U15172057 workbook for Internal Out (code I — not taxable CG).</t>
        </is>
      </c>
    </row>
    <row r="6">
      <c r="A6" t="inlineStr">
        <is>
          <t>Capital gains FY2025-26</t>
        </is>
      </c>
      <c r="B6" t="inlineStr">
        <is>
          <t>Nil taxable stock/fund sales in FY2025-26 (inbound transfers only).</t>
        </is>
      </c>
    </row>
    <row r="7">
      <c r="A7" t="inlineStr">
        <is>
          <t>Capital gains FY2026-27 YTD</t>
        </is>
      </c>
      <c r="B7" t="inlineStr">
        <is>
          <t>Partial (to 10-Sep-2026): taxable sales of GOOG × 105 (12-May-2026) and SHOP × 44 (Jul–Aug 2026). Acquisition dates = inbound transfer dates (confirm original buys at U15172057 / prior broker for LTCG — workbook uses transfer dates → STCG if &lt;730 days).</t>
        </is>
      </c>
    </row>
    <row r="8">
      <c r="A8" t="inlineStr">
        <is>
          <t>Dividends / FTC</t>
        </is>
      </c>
      <c r="B8" t="inlineStr">
        <is>
          <t>FY2025-26: GOOG USD 22.05 on 15-Dec-2025 and 16-Mar-2026 (FY total USD 44.10); US withholding 25% (USD 5.51 × 2) — see FTC sheet. FY2026-27 YTD: nil dividends; interest only (USD credit interest).</t>
        </is>
      </c>
    </row>
    <row r="9">
      <c r="A9" t="inlineStr">
        <is>
          <t>Cost / acquisition dates</t>
        </is>
      </c>
      <c r="B9" t="inlineStr">
        <is>
          <t>Cost basis from IBKR Open Positions carryover. Acquisition dates = inbound transfer dates. Confirm original buy dates at U15172057 / prior broker for LTCG on future sales (SHOP/funds originally FOP into U15172057 in Sep-2024).</t>
        </is>
      </c>
    </row>
    <row r="10">
      <c r="A10" t="inlineStr">
        <is>
          <t>Assessee</t>
        </is>
      </c>
      <c r="B10" t="inlineStr">
        <is>
          <t>Yagyank Chadha</t>
        </is>
      </c>
    </row>
    <row r="11">
      <c r="A11" t="inlineStr">
        <is>
          <t>Account</t>
        </is>
      </c>
      <c r="B11" t="inlineStr">
        <is>
          <t>U20291582 — Interactive Brokers LLC (Advisor Client; Advisor: MATCAP WEALTH ADVISORS PRIVATE LIMITED)</t>
        </is>
      </c>
    </row>
    <row r="12">
      <c r="A12" t="inlineStr">
        <is>
          <t>Customer type</t>
        </is>
      </c>
      <c r="B12" t="inlineStr">
        <is>
          <t>Individual</t>
        </is>
      </c>
    </row>
    <row r="13">
      <c r="A13" t="inlineStr">
        <is>
          <t>Base currency</t>
        </is>
      </c>
      <c r="B13" t="inlineStr">
        <is>
          <t>USD</t>
        </is>
      </c>
    </row>
    <row r="14">
      <c r="A14" t="inlineStr">
        <is>
          <t>Account funded</t>
        </is>
      </c>
      <c r="B14" t="inlineStr">
        <is>
          <t>First deposit n/a (inception statement)</t>
        </is>
      </c>
    </row>
    <row r="15">
      <c r="A15" t="inlineStr">
        <is>
          <t>Schedule FA period</t>
        </is>
      </c>
      <c r="B15" t="inlineStr">
        <is>
          <t>Calendar Year 2025 (01-Jan-2025 to 31-Dec-2025) — for ITR AY 2026-27</t>
        </is>
      </c>
    </row>
    <row r="16">
      <c r="A16" t="inlineStr">
        <is>
          <t>Income / CG period</t>
        </is>
      </c>
      <c r="B16" t="inlineStr">
        <is>
          <t>FY 2025-26 (01-Apr-2025 to 31-Mar-2026); also FY 2024-25 sheet for prior year</t>
        </is>
      </c>
    </row>
    <row r="17">
      <c r="A17" t="inlineStr">
        <is>
          <t>Source data</t>
        </is>
      </c>
      <c r="B17" t="inlineStr">
        <is>
          <t>IBKR Activity Statements: Inception FY2024-25 + Annual CY2025 + Fiscal FY2025-26</t>
        </is>
      </c>
    </row>
    <row r="18">
      <c r="A18" t="inlineStr">
        <is>
          <t>FIFO method</t>
        </is>
      </c>
      <c r="B18" t="inlineStr">
        <is>
          <t>Actual buy dates &amp; IBKR Basis from inception replay; splits (LRCX 10:1, NFLX 10:1) applied</t>
        </is>
      </c>
    </row>
    <row r="19">
      <c r="A19" t="inlineStr">
        <is>
          <t>CG reconciliation</t>
        </is>
      </c>
      <c r="B19" t="inlineStr">
        <is>
          <t>Sheets 'Capital Gains FY2025-26' / 'FY2024-25' are formula-driven — yellow cells editable; Gain = Sale INR − Comm INR − Cost INR</t>
        </is>
      </c>
    </row>
    <row r="20">
      <c r="A20" t="inlineStr">
        <is>
          <t>FX Lookup</t>
        </is>
      </c>
      <c r="B20" t="inlineStr">
        <is>
          <t>Editable SBI TT USD/INR &amp; EUR/INR month-end rates + FCY→USD cross rates</t>
        </is>
      </c>
    </row>
    <row r="21">
      <c r="A21" t="inlineStr">
        <is>
          <t>Starting NAV CY2025</t>
        </is>
      </c>
      <c r="B21" t="inlineStr">
        <is>
          <t>USD 0.00</t>
        </is>
      </c>
    </row>
    <row r="22">
      <c r="A22" t="inlineStr">
        <is>
          <t>Ending NAV CY2025</t>
        </is>
      </c>
      <c r="B22" t="inlineStr">
        <is>
          <t>USD 156,356.25</t>
        </is>
      </c>
    </row>
    <row r="23">
      <c r="A23" t="inlineStr">
        <is>
          <t>Deposits CY2025</t>
        </is>
      </c>
      <c r="B23" t="inlineStr">
        <is>
          <t>USD 0.00</t>
        </is>
      </c>
    </row>
    <row r="24">
      <c r="A24" t="inlineStr">
        <is>
          <t>Deposits since inception (to 31-Mar-2025)</t>
        </is>
      </c>
      <c r="B24" t="inlineStr">
        <is>
          <t>USD 0.00</t>
        </is>
      </c>
    </row>
    <row r="25">
      <c r="A25" t="inlineStr">
        <is>
          <t>Dividends CY2025</t>
        </is>
      </c>
      <c r="B25" t="inlineStr">
        <is>
          <t>USD 22.05 / INR 1,961 (Rule 115)</t>
        </is>
      </c>
    </row>
    <row r="26">
      <c r="A26" t="inlineStr">
        <is>
          <t>Interest CY2025</t>
        </is>
      </c>
      <c r="B26" t="inlineStr">
        <is>
          <t>USD 0.00 / INR 0 (Rule 115)</t>
        </is>
      </c>
    </row>
    <row r="27">
      <c r="A27" t="inlineStr">
        <is>
          <t>Dividends FY2025-26</t>
        </is>
      </c>
      <c r="B27" t="inlineStr">
        <is>
          <t>USD 44.10 / INR 3,958</t>
        </is>
      </c>
    </row>
    <row r="28">
      <c r="A28" t="inlineStr">
        <is>
          <t>Interest FY2025-26</t>
        </is>
      </c>
      <c r="B28" t="inlineStr">
        <is>
          <t>USD 0.00 / INR 0</t>
        </is>
      </c>
    </row>
    <row r="29">
      <c r="A29" t="inlineStr">
        <is>
          <t>STCG FY2025-26 (INR)</t>
        </is>
      </c>
      <c r="B29" t="inlineStr">
        <is>
          <t>0</t>
        </is>
      </c>
    </row>
    <row r="30">
      <c r="A30" t="inlineStr">
        <is>
          <t>LTCG FY2025-26 (INR)</t>
        </is>
      </c>
      <c r="B30" t="inlineStr">
        <is>
          <t>0</t>
        </is>
      </c>
    </row>
    <row r="31">
      <c r="A31" t="inlineStr">
        <is>
          <t>STCG FY2024-25 (INR)</t>
        </is>
      </c>
      <c r="B31" t="inlineStr">
        <is>
          <t>0</t>
        </is>
      </c>
    </row>
    <row r="32">
      <c r="A32" t="inlineStr">
        <is>
          <t>LTCG FY2024-25 (INR)</t>
        </is>
      </c>
      <c r="B32" t="inlineStr">
        <is>
          <t>0</t>
        </is>
      </c>
    </row>
    <row r="33">
      <c r="A33" t="inlineStr">
        <is>
          <t>A1 Foreign Bank/Depository</t>
        </is>
      </c>
      <c r="B33" t="inlineStr">
        <is>
          <t>Generally N/A separately — multi-currency cash sits inside IBKR custodial account (A2)</t>
        </is>
      </c>
    </row>
    <row r="34">
      <c r="A34" t="inlineStr">
        <is>
          <t>A2 Custodial Account</t>
        </is>
      </c>
      <c r="B34" t="inlineStr">
        <is>
          <t>Applicable — see sheet; opening: 2025-05-23 (Internal In from U15172057)</t>
        </is>
      </c>
    </row>
    <row r="35">
      <c r="A35" t="inlineStr">
        <is>
          <t>A3 Equity &amp; Debt Interest</t>
        </is>
      </c>
      <c r="B35" t="inlineStr">
        <is>
          <t>Applicable — 4 FIFO lot lines (one row per acquisition lot; sold lots match Capital Gains)</t>
        </is>
      </c>
    </row>
    <row r="36">
      <c r="A36" t="inlineStr">
        <is>
          <t>A3 Col C (Name of entity)</t>
        </is>
      </c>
      <c r="B36" t="inlineStr">
        <is>
          <t>Symbol only (e.g. NOVd, AAPL). Legal name / address remain in Address &amp; Nature columns.</t>
        </is>
      </c>
    </row>
    <row r="37">
      <c r="A37" t="inlineStr">
        <is>
          <t>A3 vs CG</t>
        </is>
      </c>
      <c r="B37" t="inlineStr">
        <is>
          <t>Sold lots: A3 Initial = CG Cost (INR), A3 Sale = CG Sale (INR), same Rule 115/EUR FX. Multiple buys (e.g. NOVd 21-Mar &amp; 21-Aug) appear as separate A3 rows.</t>
        </is>
      </c>
    </row>
    <row r="38">
      <c r="A38" t="inlineStr">
        <is>
          <t>ADR country practice</t>
        </is>
      </c>
      <c r="B38" t="inlineStr">
        <is>
          <t>Underlying issuer country used for ADRs/GDRs (ASML NL, BTI UK, TSM TW, BYDDY CN, HYU KR, RIO UK)</t>
        </is>
      </c>
    </row>
    <row r="39">
      <c r="A39" t="inlineStr">
        <is>
          <t>CPNG</t>
        </is>
      </c>
      <c r="B39" t="inlineStr">
        <is>
          <t>USA (Delaware corporation, NYSE) despite Korea operations</t>
        </is>
      </c>
    </row>
    <row r="40">
      <c r="A40" t="inlineStr">
        <is>
          <t>NFLX split</t>
        </is>
      </c>
      <c r="B40" t="inlineStr">
        <is>
          <t>10-for-1 split on 14/17-Nov-2025 reflected in FIFO</t>
        </is>
      </c>
    </row>
    <row r="41">
      <c r="A41" t="inlineStr">
        <is>
          <t>LRCX split</t>
        </is>
      </c>
      <c r="B41" t="inlineStr">
        <is>
          <t>10-for-1 split on 02/03-Oct-2024 reflected in FIFO (bought 1 pre-split → 10)</t>
        </is>
      </c>
    </row>
    <row r="42">
      <c r="A42" t="inlineStr">
        <is>
          <t>HYU</t>
        </is>
      </c>
      <c r="B42" t="inlineStr">
        <is>
          <t>Cash merger acquisition Jul-2025 — sale proceeds USD 1,339.02 reported as redemption proceeds</t>
        </is>
      </c>
    </row>
    <row r="43">
      <c r="A43" t="inlineStr">
        <is>
          <t>Action required</t>
        </is>
      </c>
      <c r="B43" t="inlineStr">
        <is>
          <t>1) Confirm exact SBI TT Buy card rates; 2) Obtain PortfolioAnalyst for true peak NAV; 3) Map withholding to Schedule FSI/TR under DTAA.</t>
        </is>
      </c>
    </row>
    <row r="45">
      <c r="A45" t="inlineStr">
        <is>
          <t>FY 2026-27 YTD (01-Apr-2026 to 10-Sep-2026) — partial statement</t>
        </is>
      </c>
    </row>
    <row r="46">
      <c r="A46" t="inlineStr">
        <is>
          <t>Dividends FY2026-27 YTD</t>
        </is>
      </c>
      <c r="B46" t="inlineStr">
        <is>
          <t>USD 0.00 / INR 0</t>
        </is>
      </c>
    </row>
    <row r="47">
      <c r="A47" t="inlineStr">
        <is>
          <t>Interest FY2026-27 YTD</t>
        </is>
      </c>
      <c r="B47" t="inlineStr">
        <is>
          <t>USD 126.95 / INR 11,961</t>
        </is>
      </c>
    </row>
    <row r="48">
      <c r="A48" t="inlineStr">
        <is>
          <t>STCG FY2026-27 YTD (INR)</t>
        </is>
      </c>
      <c r="B48" t="inlineStr">
        <is>
          <t>1,549,625</t>
        </is>
      </c>
    </row>
    <row r="49">
      <c r="A49" t="inlineStr">
        <is>
          <t>LTCG FY2026-27 YTD (INR)</t>
        </is>
      </c>
      <c r="B49" t="inlineStr">
        <is>
          <t>0</t>
        </is>
      </c>
    </row>
    <row r="50">
      <c r="A50" t="inlineStr">
        <is>
          <t>FY2026-27 coverage</t>
        </is>
      </c>
      <c r="B50" t="inlineStr">
        <is>
          <t>Activity Statement ends 10-Sep-2026 — not full FY. Obtain statement to 31-Mar-2027 for complete year.</t>
        </is>
      </c>
    </row>
    <row r="51">
      <c r="A51" t="inlineStr">
        <is>
          <t>GOOG FOP 08-Sep-2026</t>
        </is>
      </c>
      <c r="B51" t="inlineStr">
        <is>
          <t>FOP In GOOG × 323 after May sale — held at period end; not taxable CG. Confirm original buy dates for LTCG on future sales.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10" customWidth="1" min="21" max="21"/>
  </cols>
  <sheetData>
    <row r="1">
      <c r="A1" t="inlineStr">
        <is>
          <t>Capital gains — FY 2026-27 YTD (01-Apr-2026 to 10-Sep-2026). Partial year — statement ends 10-Sep-2026. FIFO. Yellow cells editable.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GOOG</t>
        </is>
      </c>
      <c r="B5" t="inlineStr">
        <is>
          <t>USD</t>
        </is>
      </c>
      <c r="C5" t="n">
        <v>105</v>
      </c>
      <c r="D5" s="2" t="n">
        <v>45992</v>
      </c>
      <c r="E5" s="2" t="n">
        <v>46154</v>
      </c>
      <c r="F5">
        <f>E5-D5</f>
        <v/>
      </c>
      <c r="G5">
        <f>IF(F5&gt;730,"LTCG","STCG")</f>
        <v/>
      </c>
      <c r="H5" s="3" t="n">
        <v>40373.86</v>
      </c>
      <c r="I5" s="3" t="n">
        <v>29286.46</v>
      </c>
      <c r="J5" s="3" t="n">
        <v>1.85</v>
      </c>
      <c r="K5" s="3" t="n">
        <v>1</v>
      </c>
      <c r="L5">
        <f>H5*K5</f>
        <v/>
      </c>
      <c r="M5">
        <f>I5*K5</f>
        <v/>
      </c>
      <c r="N5" s="3" t="n">
        <v>94.8</v>
      </c>
      <c r="O5" s="3" t="n">
        <v>88.95</v>
      </c>
      <c r="P5" s="3" t="n">
        <v>94.8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SHOP</t>
        </is>
      </c>
      <c r="B6" t="inlineStr">
        <is>
          <t>USD</t>
        </is>
      </c>
      <c r="C6" t="n">
        <v>5</v>
      </c>
      <c r="D6" s="2" t="n">
        <v>45800</v>
      </c>
      <c r="E6" s="2" t="n">
        <v>46219</v>
      </c>
      <c r="F6">
        <f>E6-D6</f>
        <v/>
      </c>
      <c r="G6">
        <f>IF(F6&gt;730,"LTCG","STCG")</f>
        <v/>
      </c>
      <c r="H6" s="3" t="n">
        <v>617</v>
      </c>
      <c r="I6" s="3" t="n">
        <v>376.1</v>
      </c>
      <c r="J6" s="3" t="n">
        <v>1.01</v>
      </c>
      <c r="K6" s="3" t="n">
        <v>1</v>
      </c>
      <c r="L6">
        <f>H6*K6</f>
        <v/>
      </c>
      <c r="M6">
        <f>I6*K6</f>
        <v/>
      </c>
      <c r="N6" s="3" t="n">
        <v>93.95</v>
      </c>
      <c r="O6" s="3" t="n">
        <v>84.25</v>
      </c>
      <c r="P6" s="3" t="n">
        <v>93.95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SHOP</t>
        </is>
      </c>
      <c r="B7" t="inlineStr">
        <is>
          <t>USD</t>
        </is>
      </c>
      <c r="C7" t="n">
        <v>5</v>
      </c>
      <c r="D7" s="2" t="n">
        <v>45800</v>
      </c>
      <c r="E7" s="2" t="n">
        <v>46223</v>
      </c>
      <c r="F7">
        <f>E7-D7</f>
        <v/>
      </c>
      <c r="G7">
        <f>IF(F7&gt;730,"LTCG","STCG")</f>
        <v/>
      </c>
      <c r="H7" s="3" t="n">
        <v>634.5</v>
      </c>
      <c r="I7" s="3" t="n">
        <v>376.1</v>
      </c>
      <c r="J7" s="3" t="n">
        <v>1.01</v>
      </c>
      <c r="K7" s="3" t="n">
        <v>1</v>
      </c>
      <c r="L7">
        <f>H7*K7</f>
        <v/>
      </c>
      <c r="M7">
        <f>I7*K7</f>
        <v/>
      </c>
      <c r="N7" s="3" t="n">
        <v>93.95</v>
      </c>
      <c r="O7" s="3" t="n">
        <v>84.25</v>
      </c>
      <c r="P7" s="3" t="n">
        <v>93.95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SHOP</t>
        </is>
      </c>
      <c r="B8" t="inlineStr">
        <is>
          <t>USD</t>
        </is>
      </c>
      <c r="C8" t="n">
        <v>20</v>
      </c>
      <c r="D8" s="2" t="n">
        <v>45800</v>
      </c>
      <c r="E8" s="2" t="n">
        <v>46241</v>
      </c>
      <c r="F8">
        <f>E8-D8</f>
        <v/>
      </c>
      <c r="G8">
        <f>IF(F8&gt;730,"LTCG","STCG")</f>
        <v/>
      </c>
      <c r="H8" s="3" t="n">
        <v>3010</v>
      </c>
      <c r="I8" s="3" t="n">
        <v>1504.4</v>
      </c>
      <c r="J8" s="3" t="n">
        <v>1.07</v>
      </c>
      <c r="K8" s="3" t="n">
        <v>1</v>
      </c>
      <c r="L8">
        <f>H8*K8</f>
        <v/>
      </c>
      <c r="M8">
        <f>I8*K8</f>
        <v/>
      </c>
      <c r="N8" s="3" t="n">
        <v>95.2</v>
      </c>
      <c r="O8" s="3" t="n">
        <v>84.25</v>
      </c>
      <c r="P8" s="3" t="n">
        <v>95.2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SHOP</t>
        </is>
      </c>
      <c r="B9" t="inlineStr">
        <is>
          <t>USD</t>
        </is>
      </c>
      <c r="C9" t="n">
        <v>7</v>
      </c>
      <c r="D9" s="2" t="n">
        <v>45800</v>
      </c>
      <c r="E9" s="2" t="n">
        <v>46252</v>
      </c>
      <c r="F9">
        <f>E9-D9</f>
        <v/>
      </c>
      <c r="G9">
        <f>IF(F9&gt;730,"LTCG","STCG")</f>
        <v/>
      </c>
      <c r="H9" s="3" t="n">
        <v>1050</v>
      </c>
      <c r="I9" s="3" t="n">
        <v>526.54</v>
      </c>
      <c r="J9" s="3" t="n">
        <v>1.02</v>
      </c>
      <c r="K9" s="3" t="n">
        <v>1</v>
      </c>
      <c r="L9">
        <f>H9*K9</f>
        <v/>
      </c>
      <c r="M9">
        <f>I9*K9</f>
        <v/>
      </c>
      <c r="N9" s="3" t="n">
        <v>95.2</v>
      </c>
      <c r="O9" s="3" t="n">
        <v>84.25</v>
      </c>
      <c r="P9" s="3" t="n">
        <v>95.2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SHOP</t>
        </is>
      </c>
      <c r="B10" t="inlineStr">
        <is>
          <t>USD</t>
        </is>
      </c>
      <c r="C10" t="n">
        <v>7</v>
      </c>
      <c r="D10" s="2" t="n">
        <v>45800</v>
      </c>
      <c r="E10" s="2" t="n">
        <v>46259</v>
      </c>
      <c r="F10">
        <f>E10-D10</f>
        <v/>
      </c>
      <c r="G10">
        <f>IF(F10&gt;730,"LTCG","STCG")</f>
        <v/>
      </c>
      <c r="H10" s="3" t="n">
        <v>1078</v>
      </c>
      <c r="I10" s="3" t="n">
        <v>526.54</v>
      </c>
      <c r="J10" s="3" t="n">
        <v>1.02</v>
      </c>
      <c r="K10" s="3" t="n">
        <v>1</v>
      </c>
      <c r="L10">
        <f>H10*K10</f>
        <v/>
      </c>
      <c r="M10">
        <f>I10*K10</f>
        <v/>
      </c>
      <c r="N10" s="3" t="n">
        <v>95.2</v>
      </c>
      <c r="O10" s="3" t="n">
        <v>84.25</v>
      </c>
      <c r="P10" s="3" t="n">
        <v>95.2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/>
    <row r="12">
      <c r="G12" s="4" t="inlineStr">
        <is>
          <t>TOTAL STCG (INR)</t>
        </is>
      </c>
      <c r="T12" s="4">
        <f>SUMIF(G5:G10,"STCG",T5:T10)</f>
        <v/>
      </c>
    </row>
    <row r="13">
      <c r="G13" s="4" t="inlineStr">
        <is>
          <t>TOTAL LTCG (INR)</t>
        </is>
      </c>
      <c r="T13" s="4">
        <f>SUMIF(G5:G10,"LTCG",T5:T10)</f>
        <v/>
      </c>
    </row>
    <row r="14">
      <c r="G14" s="4" t="inlineStr">
        <is>
          <t>TOTAL CG (INR)</t>
        </is>
      </c>
      <c r="T14" s="4">
        <f>T12+T13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FY 2026-27 YTD (01-Apr-2026 to 10-Sep-2026). Partial — full year needs statement through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46176</v>
      </c>
      <c r="B4" t="inlineStr">
        <is>
          <t>USD Credit Interest for May-2026</t>
        </is>
      </c>
      <c r="C4" t="inlineStr">
        <is>
          <t>USD</t>
        </is>
      </c>
      <c r="D4" t="n">
        <v>50.16</v>
      </c>
      <c r="E4" t="n">
        <v>50.16</v>
      </c>
      <c r="F4" t="n">
        <v>94.59999999999999</v>
      </c>
      <c r="G4" t="n">
        <v>4745</v>
      </c>
    </row>
    <row r="5">
      <c r="A5" s="2" t="n">
        <v>46209</v>
      </c>
      <c r="B5" t="inlineStr">
        <is>
          <t>USD Credit Interest for Jun-2026</t>
        </is>
      </c>
      <c r="C5" t="inlineStr">
        <is>
          <t>USD</t>
        </is>
      </c>
      <c r="D5" t="n">
        <v>75.88</v>
      </c>
      <c r="E5" t="n">
        <v>75.88</v>
      </c>
      <c r="F5" t="n">
        <v>93.95</v>
      </c>
      <c r="G5" t="n">
        <v>7129</v>
      </c>
    </row>
    <row r="6">
      <c r="A6" s="2" t="n">
        <v>46239</v>
      </c>
      <c r="B6" t="inlineStr">
        <is>
          <t>USD Credit Interest for Jul-2026</t>
        </is>
      </c>
      <c r="C6" t="inlineStr">
        <is>
          <t>USD</t>
        </is>
      </c>
      <c r="D6" t="n">
        <v>0.91</v>
      </c>
      <c r="E6" t="n">
        <v>0.91</v>
      </c>
      <c r="F6" t="n">
        <v>95.2</v>
      </c>
      <c r="G6" t="n">
        <v>87</v>
      </c>
    </row>
    <row r="7">
      <c r="B7" t="inlineStr">
        <is>
          <t>TOTAL INTEREST</t>
        </is>
      </c>
      <c r="E7" t="n">
        <v>126.95</v>
      </c>
      <c r="G7" t="n">
        <v>11961</v>
      </c>
    </row>
    <row r="8"/>
    <row r="9">
      <c r="A9" t="inlineStr">
        <is>
          <t>— DIVIDENDS —</t>
        </is>
      </c>
    </row>
    <row r="10">
      <c r="B10" t="inlineStr">
        <is>
          <t>TOTAL DIVIDENDS</t>
        </is>
      </c>
      <c r="E10" t="n">
        <v>0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2026-09-11T11:11:26Z</dcterms:created>
  <dcterms:modified xsi:type="dcterms:W3CDTF">2026-09-11T11:11:26Z</dcterms:modified>
</cp:coreProperties>
</file>